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85" firstSheet="0" activeTab="0" autoFilterDateGrouping="1"/>
  </bookViews>
  <sheets>
    <sheet name="Conciliacao" sheetId="1" state="visible" r:id="rId1"/>
    <sheet name="df_extrato_zig" sheetId="2" state="visible" r:id="rId2"/>
    <sheet name="df_zig_faturam" sheetId="3" state="visible" r:id="rId3"/>
    <sheet name="view_parc_agrup" sheetId="4" state="visible" r:id="rId4"/>
    <sheet name="df_eventos" sheetId="5" state="visible" r:id="rId5"/>
    <sheet name="df_blueme_sem_parcelamento" sheetId="6" state="visible" r:id="rId6"/>
    <sheet name="df_blueme_com_parcelamento" sheetId="7" state="visible" r:id="rId7"/>
    <sheet name="df_extratos" sheetId="8" state="visible" r:id="rId8"/>
    <sheet name="df_mutuos" sheetId="9" state="visible" r:id="rId9"/>
    <sheet name="df_tesouraria_trans" sheetId="10" state="visible" r:id="rId10"/>
    <sheet name="df_ajustes_conciliaco" sheetId="11" state="visible" r:id="rId11"/>
    <sheet name="df_bloqueios_judiciais" sheetId="12" state="visible" r:id="rId12"/>
  </sheets>
  <definedNames>
    <definedName name="_xlnm._FilterDatabase" localSheetId="0" hidden="1">'Conciliacao'!$A$1:$Q$731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4" fontId="0" fillId="7" borderId="0" applyAlignment="1" pivotButton="0" quotePrefix="0" xfId="0">
      <alignment horizontal="center"/>
    </xf>
    <xf numFmtId="4" fontId="0" fillId="9" borderId="0" applyAlignment="1" pivotButton="0" quotePrefix="0" xfId="0">
      <alignment horizontal="center"/>
    </xf>
    <xf numFmtId="14" fontId="0" fillId="6" borderId="1" applyAlignment="1" pivotButton="0" quotePrefix="0" xfId="0">
      <alignment horizontal="center"/>
    </xf>
    <xf numFmtId="4" fontId="0" fillId="7" borderId="1" applyAlignment="1" pivotButton="0" quotePrefix="0" xfId="0">
      <alignment horizontal="center"/>
    </xf>
    <xf numFmtId="4" fontId="0" fillId="6" borderId="1" applyAlignment="1" pivotButton="0" quotePrefix="0" xfId="0">
      <alignment horizontal="center"/>
    </xf>
    <xf numFmtId="4" fontId="0" fillId="9" borderId="1" applyAlignment="1" pivotButton="0" quotePrefix="0" xfId="0">
      <alignment horizontal="center"/>
    </xf>
    <xf numFmtId="4" fontId="0" fillId="8" borderId="2" applyAlignment="1" pivotButton="0" quotePrefix="0" xfId="0">
      <alignment horizontal="center"/>
    </xf>
    <xf numFmtId="4" fontId="0" fillId="6" borderId="4" applyAlignment="1" pivotButton="0" quotePrefix="0" xfId="0">
      <alignment horizontal="center"/>
    </xf>
    <xf numFmtId="4" fontId="0" fillId="8" borderId="3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" fontId="1" fillId="3" borderId="0" applyAlignment="1" pivotButton="0" quotePrefix="0" xfId="0">
      <alignment horizontal="center" vertical="center" wrapText="1"/>
    </xf>
    <xf numFmtId="4" fontId="1" fillId="3" borderId="1" applyAlignment="1" pivotButton="0" quotePrefix="0" xfId="0">
      <alignment horizontal="center" vertical="center" wrapText="1"/>
    </xf>
    <xf numFmtId="4" fontId="1" fillId="4" borderId="2" applyAlignment="1" pivotButton="0" quotePrefix="0" xfId="0">
      <alignment horizontal="center" vertical="center" wrapText="1"/>
    </xf>
    <xf numFmtId="4" fontId="1" fillId="5" borderId="0" applyAlignment="1" pivotButton="0" quotePrefix="0" xfId="0">
      <alignment horizontal="center" vertical="center" wrapText="1"/>
    </xf>
    <xf numFmtId="4" fontId="1" fillId="5" borderId="1" applyAlignment="1" pivotButton="0" quotePrefix="0" xfId="0">
      <alignment horizontal="center" vertical="center" wrapText="1"/>
    </xf>
    <xf numFmtId="4" fontId="1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pivotButton="0" quotePrefix="0" xfId="0"/>
    <xf numFmtId="0" fontId="1" fillId="10" borderId="5" applyAlignment="1" pivotButton="0" quotePrefix="0" xfId="0">
      <alignment horizontal="center" vertical="center" wrapText="1"/>
    </xf>
    <xf numFmtId="4" fontId="0" fillId="6" borderId="6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4" fontId="0" fillId="11" borderId="2" applyAlignment="1" pivotButton="0" quotePrefix="0" xfId="0">
      <alignment horizontal="center"/>
    </xf>
    <xf numFmtId="4" fontId="1" fillId="12" borderId="2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31"/>
  <sheetViews>
    <sheetView tabSelected="1" topLeftCell="H1" workbookViewId="0">
      <pane ySplit="1" topLeftCell="A337" activePane="bottomLeft" state="frozen"/>
      <selection pane="bottomLeft" activeCell="Q366" sqref="Q366"/>
    </sheetView>
  </sheetViews>
  <sheetFormatPr baseColWidth="8" defaultRowHeight="14.4"/>
  <cols>
    <col width="20.21875" customWidth="1" style="1" min="1" max="1"/>
    <col width="20.21875" customWidth="1" style="2" min="2" max="3"/>
    <col width="17.109375" customWidth="1" style="2" min="4" max="6"/>
    <col width="19.88671875" customWidth="1" style="2" min="7" max="7"/>
    <col width="19.33203125" bestFit="1" customWidth="1" style="2" min="8" max="8"/>
    <col width="22.77734375" bestFit="1" customWidth="1" style="2" min="9" max="9"/>
    <col width="20.21875" customWidth="1" style="2" min="10" max="12"/>
    <col width="17.77734375" bestFit="1" customWidth="1" style="2" min="13" max="13"/>
    <col width="19.33203125" bestFit="1" customWidth="1" style="2" min="14" max="14"/>
    <col width="22.77734375" bestFit="1" customWidth="1" style="2" min="15" max="15"/>
    <col width="22.77734375" customWidth="1" style="2" min="16" max="16"/>
    <col width="18.77734375" customWidth="1" style="1" min="17" max="17"/>
    <col width="18.109375" bestFit="1" customWidth="1" min="57" max="60"/>
  </cols>
  <sheetData>
    <row r="1" ht="28.95" customFormat="1" customHeight="1" s="19">
      <c r="A1" s="12" t="inlineStr">
        <is>
          <t>Data</t>
        </is>
      </c>
      <c r="B1" s="13" t="inlineStr">
        <is>
          <t>Extrato Zig (Saques)</t>
        </is>
      </c>
      <c r="C1" s="13" t="inlineStr">
        <is>
          <t>Faturam Dinheiro</t>
        </is>
      </c>
      <c r="D1" s="13" t="inlineStr">
        <is>
          <t>Receitas Extraord</t>
        </is>
      </c>
      <c r="E1" s="13" t="inlineStr">
        <is>
          <t>Eventos</t>
        </is>
      </c>
      <c r="F1" s="13" t="inlineStr">
        <is>
          <t>Entradas Mútuos</t>
        </is>
      </c>
      <c r="G1" s="14" t="inlineStr">
        <is>
          <t>Desbloqueios Judiciais</t>
        </is>
      </c>
      <c r="H1" s="12" t="inlineStr">
        <is>
          <t>Extrato Bancário (Crédito)</t>
        </is>
      </c>
      <c r="I1" s="15" t="inlineStr">
        <is>
          <t>Diferenças (Contas a Receber)</t>
        </is>
      </c>
      <c r="J1" s="16" t="inlineStr">
        <is>
          <t>Custos Sem Parcelamento</t>
        </is>
      </c>
      <c r="K1" s="16" t="inlineStr">
        <is>
          <t>Custos Com Parcelamento</t>
        </is>
      </c>
      <c r="L1" s="16" t="inlineStr">
        <is>
          <t>Saídas Mútuos</t>
        </is>
      </c>
      <c r="M1" s="17" t="inlineStr">
        <is>
          <t>Bloqueios Judiciais</t>
        </is>
      </c>
      <c r="N1" s="12" t="inlineStr">
        <is>
          <t>Extrato Bancário (Débito)</t>
        </is>
      </c>
      <c r="O1" s="18" t="inlineStr">
        <is>
          <t>Diferenças (Contas a Pagar)</t>
        </is>
      </c>
      <c r="P1" s="26" t="inlineStr">
        <is>
          <t>Ajustes Conciliação</t>
        </is>
      </c>
      <c r="Q1" s="21" t="inlineStr">
        <is>
          <t>Conciliação</t>
        </is>
      </c>
      <c r="AC1" s="23" t="n"/>
      <c r="BE1" s="24" t="inlineStr">
        <is>
          <t>Coluna Auxiliar Data</t>
        </is>
      </c>
      <c r="BF1" s="24" t="inlineStr">
        <is>
          <t>Coluna Auxiliar Data 2</t>
        </is>
      </c>
      <c r="BG1" s="24" t="inlineStr">
        <is>
          <t>Coluna Auxiliar Data 3</t>
        </is>
      </c>
      <c r="BH1" s="24" t="inlineStr">
        <is>
          <t>Coluna Auxiliar Data 4</t>
        </is>
      </c>
    </row>
    <row r="2">
      <c r="A2" s="5" t="n">
        <v>45658</v>
      </c>
      <c r="B2" s="3">
        <f>-SUMIFS(df_extrato_zig!G:G,df_extrato_zig!E:E,Conciliacao!A2,df_extrato_zig!D:D,"Saque")-SUMIFS(df_extrato_zig!G:G,df_extrato_zig!E:E,Conciliacao!A2,df_extrato_zig!D:D,"Antecipação")</f>
        <v/>
      </c>
      <c r="C2" s="3">
        <f>SUMIFS(df_extrato_zig!E:E,df_extrato_zig!L:L,Conciliacao!A2,df_extrato_zig!F:F,"DINHEIRO")</f>
        <v/>
      </c>
      <c r="D2" s="3">
        <f>SUMIFS(view_parc_agrup!H:H,view_parc_agrup!G:G,Conciliacao!A2)</f>
        <v/>
      </c>
      <c r="E2" s="3">
        <f>SUMIFS(df_eventos!F:F,df_eventos!H:H,Conciliacao!A2)</f>
        <v/>
      </c>
      <c r="F2" s="3">
        <f>SUMIFS(df_mutuos!M:M,df_mutuos!B:B,Conciliacao!A2)</f>
        <v/>
      </c>
      <c r="G2" s="6">
        <f>SUMIFS(df_bloqueios_judiciais!G:G,df_bloqueios_judiciais!D:D,Conciliacao!A2,df_bloqueios_judiciais!G:G,"&gt;0")</f>
        <v/>
      </c>
      <c r="H2" s="7">
        <f>SUMIFS(df_extratos!I:I,df_extratos!F:F,Conciliacao!BE2,df_extratos!G:G,"CREDITO")+SUMIFS(df_extratos!I:I,df_extratos!F:F,Conciliacao!A2,df_extratos!G:G,"CREDITO")+SUMIFS(df_extratos!I:I,df_extratos!F:F,Conciliacao!BF2,df_extratos!G:G,"CREDITO")+SUMIFS(df_extratos!I:I,df_extratos!F:F,Conciliacao!BG2,df_extratos!G:G,"CREDITO")+SUMIFS(df_extratos!I:I,df_extratos!F:F,Conciliacao!BH2,df_extratos!G:G,"CREDITO")</f>
        <v/>
      </c>
      <c r="I2" s="9">
        <f>H2-SUM(B2:G2)</f>
        <v/>
      </c>
      <c r="J2" s="4">
        <f>SUMIFS(df_blueme_sem_parcelamento!E:E,df_blueme_sem_parcelamento!H:H,Conciliacao!A2)*(-1)</f>
        <v/>
      </c>
      <c r="K2" s="4">
        <f>SUMIFS(df_blueme_com_parcelamento!J:J,df_blueme_com_parcelamento!M:M,Conciliacao!A2)*(-1)</f>
        <v/>
      </c>
      <c r="L2" s="4">
        <f>SUMIFS(df_mutuos!N:N,df_mutuos!B:B,Conciliacao!A2)*(-1)</f>
        <v/>
      </c>
      <c r="M2" s="8">
        <f>SUMIFS(df_bloqueios_judiciais!E:E,df_bloqueios_judiciais!D:D,Conciliacao!A2,df_bloqueios_judiciais!E:E,"&lt;0")</f>
        <v/>
      </c>
      <c r="N2" s="10">
        <f>SUMIFS(df_extratos!I:I,df_extratos!F:F,Conciliacao!BE2,df_extratos!G:G,"DEBITO")+SUMIFS(df_extratos!I:I,df_extratos!F:F,Conciliacao!A2,df_extratos!G:G,"DEBITO")+SUMIFS(df_extratos!I:I,df_extratos!F:F,Conciliacao!BF2,df_extratos!G:G,"DEBITO")+SUMIFS(df_extratos!I:I,df_extratos!F:F,Conciliacao!BG2,df_extratos!G:G,"DEBITO")+SUMIFS(df_extratos!I:I,df_extratos!F:F,Conciliacao!BH2,df_extratos!G:G,"DEBITO")</f>
        <v/>
      </c>
      <c r="O2" s="11">
        <f>N2-SUM(J2:M2)</f>
        <v/>
      </c>
      <c r="P2" s="25">
        <f>SUMIFS(df_ajustes_conciliaco!D:D,df_ajustes_conciliaco!C:C,Conciliacao!A2)</f>
        <v/>
      </c>
      <c r="Q2" s="22">
        <f>O2+I2-P2</f>
        <v/>
      </c>
      <c r="BE2" s="20" t="n">
        <v>45658.5</v>
      </c>
      <c r="BF2" s="20" t="n">
        <v>45658.125</v>
      </c>
      <c r="BG2" s="20" t="n">
        <v>45658.54166666666</v>
      </c>
      <c r="BH2" s="20" t="n">
        <v>45658.625</v>
      </c>
    </row>
    <row r="3">
      <c r="A3" s="5">
        <f>A2+1</f>
        <v/>
      </c>
      <c r="B3" s="3">
        <f>-SUMIFS(df_extrato_zig!G:G,df_extrato_zig!E:E,Conciliacao!A3,df_extrato_zig!D:D,"Saque")-SUMIFS(df_extrato_zig!G:G,df_extrato_zig!E:E,Conciliacao!A3,df_extrato_zig!D:D,"Antecipação")</f>
        <v/>
      </c>
      <c r="C3" s="3">
        <f>SUMIFS(df_extrato_zig!E:E,df_extrato_zig!L:L,Conciliacao!A3,df_extrato_zig!F:F,"DINHEIRO")</f>
        <v/>
      </c>
      <c r="D3" s="3">
        <f>SUMIFS(view_parc_agrup!H:H,view_parc_agrup!G:G,Conciliacao!A3)</f>
        <v/>
      </c>
      <c r="E3" s="3">
        <f>SUMIFS(df_eventos!F:F,df_eventos!H:H,Conciliacao!A3)</f>
        <v/>
      </c>
      <c r="F3" s="3">
        <f>SUMIFS(df_mutuos!M:M,df_mutuos!B:B,Conciliacao!A3)</f>
        <v/>
      </c>
      <c r="G3" s="6">
        <f>SUMIFS(df_bloqueios_judiciais!G:G,df_bloqueios_judiciais!D:D,Conciliacao!A3,df_bloqueios_judiciais!G:G,"&gt;0")</f>
        <v/>
      </c>
      <c r="H3" s="7">
        <f>SUMIFS(df_extratos!I:I,df_extratos!F:F,Conciliacao!BE3,df_extratos!G:G,"CREDITO")+SUMIFS(df_extratos!I:I,df_extratos!F:F,Conciliacao!A3,df_extratos!G:G,"CREDITO")+SUMIFS(df_extratos!I:I,df_extratos!F:F,Conciliacao!BF3,df_extratos!G:G,"CREDITO")+SUMIFS(df_extratos!I:I,df_extratos!F:F,Conciliacao!BG3,df_extratos!G:G,"CREDITO")+SUMIFS(df_extratos!I:I,df_extratos!F:F,Conciliacao!BH3,df_extratos!G:G,"CREDITO")</f>
        <v/>
      </c>
      <c r="I3" s="9">
        <f>H3-SUM(B3:G3)</f>
        <v/>
      </c>
      <c r="J3" s="4">
        <f>SUMIFS(df_blueme_sem_parcelamento!E:E,df_blueme_sem_parcelamento!H:H,Conciliacao!A3)*(-1)</f>
        <v/>
      </c>
      <c r="K3" s="4">
        <f>SUMIFS(df_blueme_com_parcelamento!J:J,df_blueme_com_parcelamento!M:M,Conciliacao!A3)*(-1)</f>
        <v/>
      </c>
      <c r="L3" s="4">
        <f>SUMIFS(df_mutuos!N:N,df_mutuos!B:B,Conciliacao!A3)*(-1)</f>
        <v/>
      </c>
      <c r="M3" s="8">
        <f>SUMIFS(df_bloqueios_judiciais!E:E,df_bloqueios_judiciais!D:D,Conciliacao!A3,df_bloqueios_judiciais!E:E,"&lt;0")</f>
        <v/>
      </c>
      <c r="N3" s="10">
        <f>SUMIFS(df_extratos!I:I,df_extratos!F:F,Conciliacao!BE3,df_extratos!G:G,"DEBITO")+SUMIFS(df_extratos!I:I,df_extratos!F:F,Conciliacao!A3,df_extratos!G:G,"DEBITO")+SUMIFS(df_extratos!I:I,df_extratos!F:F,Conciliacao!BF3,df_extratos!G:G,"DEBITO")+SUMIFS(df_extratos!I:I,df_extratos!F:F,Conciliacao!BG3,df_extratos!G:G,"DEBITO")+SUMIFS(df_extratos!I:I,df_extratos!F:F,Conciliacao!BH3,df_extratos!G:G,"DEBITO")</f>
        <v/>
      </c>
      <c r="O3" s="11">
        <f>N3-SUM(J3:M3)</f>
        <v/>
      </c>
      <c r="P3" s="25">
        <f>SUMIFS(df_ajustes_conciliaco!D:D,df_ajustes_conciliaco!C:C,Conciliacao!A3)</f>
        <v/>
      </c>
      <c r="Q3" s="22">
        <f>O3+I3-P3</f>
        <v/>
      </c>
      <c r="BE3" s="20" t="n">
        <v>45659.5</v>
      </c>
      <c r="BF3" s="20" t="n">
        <v>45659.125</v>
      </c>
      <c r="BG3" s="20" t="n">
        <v>45659.54166666666</v>
      </c>
      <c r="BH3" s="20" t="n">
        <v>45659.625</v>
      </c>
    </row>
    <row r="4">
      <c r="A4" s="5">
        <f>A3+1</f>
        <v/>
      </c>
      <c r="B4" s="3">
        <f>-SUMIFS(df_extrato_zig!G:G,df_extrato_zig!E:E,Conciliacao!A4,df_extrato_zig!D:D,"Saque")-SUMIFS(df_extrato_zig!G:G,df_extrato_zig!E:E,Conciliacao!A4,df_extrato_zig!D:D,"Antecipação")</f>
        <v/>
      </c>
      <c r="C4" s="3">
        <f>SUMIFS(df_extrato_zig!E:E,df_extrato_zig!L:L,Conciliacao!A4,df_extrato_zig!F:F,"DINHEIRO")</f>
        <v/>
      </c>
      <c r="D4" s="3">
        <f>SUMIFS(view_parc_agrup!H:H,view_parc_agrup!G:G,Conciliacao!A4)</f>
        <v/>
      </c>
      <c r="E4" s="3">
        <f>SUMIFS(df_eventos!F:F,df_eventos!H:H,Conciliacao!A4)</f>
        <v/>
      </c>
      <c r="F4" s="3">
        <f>SUMIFS(df_mutuos!M:M,df_mutuos!B:B,Conciliacao!A4)</f>
        <v/>
      </c>
      <c r="G4" s="6">
        <f>SUMIFS(df_bloqueios_judiciais!G:G,df_bloqueios_judiciais!D:D,Conciliacao!A4,df_bloqueios_judiciais!G:G,"&gt;0")</f>
        <v/>
      </c>
      <c r="H4" s="7">
        <f>SUMIFS(df_extratos!I:I,df_extratos!F:F,Conciliacao!BE4,df_extratos!G:G,"CREDITO")+SUMIFS(df_extratos!I:I,df_extratos!F:F,Conciliacao!A4,df_extratos!G:G,"CREDITO")+SUMIFS(df_extratos!I:I,df_extratos!F:F,Conciliacao!BF4,df_extratos!G:G,"CREDITO")+SUMIFS(df_extratos!I:I,df_extratos!F:F,Conciliacao!BG4,df_extratos!G:G,"CREDITO")+SUMIFS(df_extratos!I:I,df_extratos!F:F,Conciliacao!BH4,df_extratos!G:G,"CREDITO")</f>
        <v/>
      </c>
      <c r="I4" s="9">
        <f>H4-SUM(B4:G4)</f>
        <v/>
      </c>
      <c r="J4" s="4">
        <f>SUMIFS(df_blueme_sem_parcelamento!E:E,df_blueme_sem_parcelamento!H:H,Conciliacao!A4)*(-1)</f>
        <v/>
      </c>
      <c r="K4" s="4">
        <f>SUMIFS(df_blueme_com_parcelamento!J:J,df_blueme_com_parcelamento!M:M,Conciliacao!A4)*(-1)</f>
        <v/>
      </c>
      <c r="L4" s="4">
        <f>SUMIFS(df_mutuos!N:N,df_mutuos!B:B,Conciliacao!A4)*(-1)</f>
        <v/>
      </c>
      <c r="M4" s="8">
        <f>SUMIFS(df_bloqueios_judiciais!E:E,df_bloqueios_judiciais!D:D,Conciliacao!A4,df_bloqueios_judiciais!E:E,"&lt;0")</f>
        <v/>
      </c>
      <c r="N4" s="10">
        <f>SUMIFS(df_extratos!I:I,df_extratos!F:F,Conciliacao!BE4,df_extratos!G:G,"DEBITO")+SUMIFS(df_extratos!I:I,df_extratos!F:F,Conciliacao!A4,df_extratos!G:G,"DEBITO")+SUMIFS(df_extratos!I:I,df_extratos!F:F,Conciliacao!BF4,df_extratos!G:G,"DEBITO")+SUMIFS(df_extratos!I:I,df_extratos!F:F,Conciliacao!BG4,df_extratos!G:G,"DEBITO")+SUMIFS(df_extratos!I:I,df_extratos!F:F,Conciliacao!BH4,df_extratos!G:G,"DEBITO")</f>
        <v/>
      </c>
      <c r="O4" s="11">
        <f>N4-SUM(J4:M4)</f>
        <v/>
      </c>
      <c r="P4" s="25">
        <f>SUMIFS(df_ajustes_conciliaco!D:D,df_ajustes_conciliaco!C:C,Conciliacao!A4)</f>
        <v/>
      </c>
      <c r="Q4" s="22">
        <f>O4+I4-P4</f>
        <v/>
      </c>
      <c r="BE4" s="20" t="n">
        <v>45660.5</v>
      </c>
      <c r="BF4" s="20" t="n">
        <v>45660.125</v>
      </c>
      <c r="BG4" s="20" t="n">
        <v>45660.54166666666</v>
      </c>
      <c r="BH4" s="20" t="n">
        <v>45660.625</v>
      </c>
    </row>
    <row r="5">
      <c r="A5" s="5">
        <f>A4+1</f>
        <v/>
      </c>
      <c r="B5" s="3">
        <f>-SUMIFS(df_extrato_zig!G:G,df_extrato_zig!E:E,Conciliacao!A5,df_extrato_zig!D:D,"Saque")-SUMIFS(df_extrato_zig!G:G,df_extrato_zig!E:E,Conciliacao!A5,df_extrato_zig!D:D,"Antecipação")</f>
        <v/>
      </c>
      <c r="C5" s="3">
        <f>SUMIFS(df_extrato_zig!E:E,df_extrato_zig!L:L,Conciliacao!A5,df_extrato_zig!F:F,"DINHEIRO")</f>
        <v/>
      </c>
      <c r="D5" s="3">
        <f>SUMIFS(view_parc_agrup!H:H,view_parc_agrup!G:G,Conciliacao!A5)</f>
        <v/>
      </c>
      <c r="E5" s="3">
        <f>SUMIFS(df_eventos!F:F,df_eventos!H:H,Conciliacao!A5)</f>
        <v/>
      </c>
      <c r="F5" s="3">
        <f>SUMIFS(df_mutuos!M:M,df_mutuos!B:B,Conciliacao!A5)</f>
        <v/>
      </c>
      <c r="G5" s="6">
        <f>SUMIFS(df_bloqueios_judiciais!G:G,df_bloqueios_judiciais!D:D,Conciliacao!A5,df_bloqueios_judiciais!G:G,"&gt;0")</f>
        <v/>
      </c>
      <c r="H5" s="7">
        <f>SUMIFS(df_extratos!I:I,df_extratos!F:F,Conciliacao!BE5,df_extratos!G:G,"CREDITO")+SUMIFS(df_extratos!I:I,df_extratos!F:F,Conciliacao!A5,df_extratos!G:G,"CREDITO")+SUMIFS(df_extratos!I:I,df_extratos!F:F,Conciliacao!BF5,df_extratos!G:G,"CREDITO")+SUMIFS(df_extratos!I:I,df_extratos!F:F,Conciliacao!BG5,df_extratos!G:G,"CREDITO")+SUMIFS(df_extratos!I:I,df_extratos!F:F,Conciliacao!BH5,df_extratos!G:G,"CREDITO")</f>
        <v/>
      </c>
      <c r="I5" s="9">
        <f>H5-SUM(B5:G5)</f>
        <v/>
      </c>
      <c r="J5" s="4">
        <f>SUMIFS(df_blueme_sem_parcelamento!E:E,df_blueme_sem_parcelamento!H:H,Conciliacao!A5)*(-1)</f>
        <v/>
      </c>
      <c r="K5" s="4">
        <f>SUMIFS(df_blueme_com_parcelamento!J:J,df_blueme_com_parcelamento!M:M,Conciliacao!A5)*(-1)</f>
        <v/>
      </c>
      <c r="L5" s="4">
        <f>SUMIFS(df_mutuos!N:N,df_mutuos!B:B,Conciliacao!A5)*(-1)</f>
        <v/>
      </c>
      <c r="M5" s="8">
        <f>SUMIFS(df_bloqueios_judiciais!E:E,df_bloqueios_judiciais!D:D,Conciliacao!A5,df_bloqueios_judiciais!E:E,"&lt;0")</f>
        <v/>
      </c>
      <c r="N5" s="10">
        <f>SUMIFS(df_extratos!I:I,df_extratos!F:F,Conciliacao!BE5,df_extratos!G:G,"DEBITO")+SUMIFS(df_extratos!I:I,df_extratos!F:F,Conciliacao!A5,df_extratos!G:G,"DEBITO")+SUMIFS(df_extratos!I:I,df_extratos!F:F,Conciliacao!BF5,df_extratos!G:G,"DEBITO")+SUMIFS(df_extratos!I:I,df_extratos!F:F,Conciliacao!BG5,df_extratos!G:G,"DEBITO")+SUMIFS(df_extratos!I:I,df_extratos!F:F,Conciliacao!BH5,df_extratos!G:G,"DEBITO")</f>
        <v/>
      </c>
      <c r="O5" s="11">
        <f>N5-SUM(J5:M5)</f>
        <v/>
      </c>
      <c r="P5" s="25">
        <f>SUMIFS(df_ajustes_conciliaco!D:D,df_ajustes_conciliaco!C:C,Conciliacao!A5)</f>
        <v/>
      </c>
      <c r="Q5" s="22">
        <f>O5+I5-P5</f>
        <v/>
      </c>
      <c r="BE5" s="20" t="n">
        <v>45661.5</v>
      </c>
      <c r="BF5" s="20" t="n">
        <v>45661.125</v>
      </c>
      <c r="BG5" s="20" t="n">
        <v>45661.54166666666</v>
      </c>
      <c r="BH5" s="20" t="n">
        <v>45661.625</v>
      </c>
    </row>
    <row r="6">
      <c r="A6" s="5">
        <f>A5+1</f>
        <v/>
      </c>
      <c r="B6" s="3">
        <f>-SUMIFS(df_extrato_zig!G:G,df_extrato_zig!E:E,Conciliacao!A6,df_extrato_zig!D:D,"Saque")-SUMIFS(df_extrato_zig!G:G,df_extrato_zig!E:E,Conciliacao!A6,df_extrato_zig!D:D,"Antecipação")</f>
        <v/>
      </c>
      <c r="C6" s="3">
        <f>SUMIFS(df_extrato_zig!E:E,df_extrato_zig!L:L,Conciliacao!A6,df_extrato_zig!F:F,"DINHEIRO")</f>
        <v/>
      </c>
      <c r="D6" s="3">
        <f>SUMIFS(view_parc_agrup!H:H,view_parc_agrup!G:G,Conciliacao!A6)</f>
        <v/>
      </c>
      <c r="E6" s="3">
        <f>SUMIFS(df_eventos!F:F,df_eventos!H:H,Conciliacao!A6)</f>
        <v/>
      </c>
      <c r="F6" s="3">
        <f>SUMIFS(df_mutuos!M:M,df_mutuos!B:B,Conciliacao!A6)</f>
        <v/>
      </c>
      <c r="G6" s="6">
        <f>SUMIFS(df_bloqueios_judiciais!G:G,df_bloqueios_judiciais!D:D,Conciliacao!A6,df_bloqueios_judiciais!G:G,"&gt;0")</f>
        <v/>
      </c>
      <c r="H6" s="7">
        <f>SUMIFS(df_extratos!I:I,df_extratos!F:F,Conciliacao!BE6,df_extratos!G:G,"CREDITO")+SUMIFS(df_extratos!I:I,df_extratos!F:F,Conciliacao!A6,df_extratos!G:G,"CREDITO")+SUMIFS(df_extratos!I:I,df_extratos!F:F,Conciliacao!BF6,df_extratos!G:G,"CREDITO")+SUMIFS(df_extratos!I:I,df_extratos!F:F,Conciliacao!BG6,df_extratos!G:G,"CREDITO")+SUMIFS(df_extratos!I:I,df_extratos!F:F,Conciliacao!BH6,df_extratos!G:G,"CREDITO")</f>
        <v/>
      </c>
      <c r="I6" s="9">
        <f>H6-SUM(B6:G6)</f>
        <v/>
      </c>
      <c r="J6" s="4">
        <f>SUMIFS(df_blueme_sem_parcelamento!E:E,df_blueme_sem_parcelamento!H:H,Conciliacao!A6)*(-1)</f>
        <v/>
      </c>
      <c r="K6" s="4">
        <f>SUMIFS(df_blueme_com_parcelamento!J:J,df_blueme_com_parcelamento!M:M,Conciliacao!A6)*(-1)</f>
        <v/>
      </c>
      <c r="L6" s="4">
        <f>SUMIFS(df_mutuos!N:N,df_mutuos!B:B,Conciliacao!A6)*(-1)</f>
        <v/>
      </c>
      <c r="M6" s="8">
        <f>SUMIFS(df_bloqueios_judiciais!E:E,df_bloqueios_judiciais!D:D,Conciliacao!A6,df_bloqueios_judiciais!E:E,"&lt;0")</f>
        <v/>
      </c>
      <c r="N6" s="10">
        <f>SUMIFS(df_extratos!I:I,df_extratos!F:F,Conciliacao!BE6,df_extratos!G:G,"DEBITO")+SUMIFS(df_extratos!I:I,df_extratos!F:F,Conciliacao!A6,df_extratos!G:G,"DEBITO")+SUMIFS(df_extratos!I:I,df_extratos!F:F,Conciliacao!BF6,df_extratos!G:G,"DEBITO")+SUMIFS(df_extratos!I:I,df_extratos!F:F,Conciliacao!BG6,df_extratos!G:G,"DEBITO")+SUMIFS(df_extratos!I:I,df_extratos!F:F,Conciliacao!BH6,df_extratos!G:G,"DEBITO")</f>
        <v/>
      </c>
      <c r="O6" s="11">
        <f>N6-SUM(J6:M6)</f>
        <v/>
      </c>
      <c r="P6" s="25">
        <f>SUMIFS(df_ajustes_conciliaco!D:D,df_ajustes_conciliaco!C:C,Conciliacao!A6)</f>
        <v/>
      </c>
      <c r="Q6" s="22">
        <f>O6+I6-P6</f>
        <v/>
      </c>
      <c r="BE6" s="20" t="n">
        <v>45662.5</v>
      </c>
      <c r="BF6" s="20" t="n">
        <v>45662.125</v>
      </c>
      <c r="BG6" s="20" t="n">
        <v>45662.54166666666</v>
      </c>
      <c r="BH6" s="20" t="n">
        <v>45662.625</v>
      </c>
    </row>
    <row r="7">
      <c r="A7" s="5">
        <f>A6+1</f>
        <v/>
      </c>
      <c r="B7" s="3">
        <f>-SUMIFS(df_extrato_zig!G:G,df_extrato_zig!E:E,Conciliacao!A7,df_extrato_zig!D:D,"Saque")-SUMIFS(df_extrato_zig!G:G,df_extrato_zig!E:E,Conciliacao!A7,df_extrato_zig!D:D,"Antecipação")</f>
        <v/>
      </c>
      <c r="C7" s="3">
        <f>SUMIFS(df_extrato_zig!E:E,df_extrato_zig!L:L,Conciliacao!A7,df_extrato_zig!F:F,"DINHEIRO")</f>
        <v/>
      </c>
      <c r="D7" s="3">
        <f>SUMIFS(view_parc_agrup!H:H,view_parc_agrup!G:G,Conciliacao!A7)</f>
        <v/>
      </c>
      <c r="E7" s="3">
        <f>SUMIFS(df_eventos!F:F,df_eventos!H:H,Conciliacao!A7)</f>
        <v/>
      </c>
      <c r="F7" s="3">
        <f>SUMIFS(df_mutuos!M:M,df_mutuos!B:B,Conciliacao!A7)</f>
        <v/>
      </c>
      <c r="G7" s="6">
        <f>SUMIFS(df_bloqueios_judiciais!G:G,df_bloqueios_judiciais!D:D,Conciliacao!A7,df_bloqueios_judiciais!G:G,"&gt;0")</f>
        <v/>
      </c>
      <c r="H7" s="7">
        <f>SUMIFS(df_extratos!I:I,df_extratos!F:F,Conciliacao!BE7,df_extratos!G:G,"CREDITO")+SUMIFS(df_extratos!I:I,df_extratos!F:F,Conciliacao!A7,df_extratos!G:G,"CREDITO")+SUMIFS(df_extratos!I:I,df_extratos!F:F,Conciliacao!BF7,df_extratos!G:G,"CREDITO")+SUMIFS(df_extratos!I:I,df_extratos!F:F,Conciliacao!BG7,df_extratos!G:G,"CREDITO")+SUMIFS(df_extratos!I:I,df_extratos!F:F,Conciliacao!BH7,df_extratos!G:G,"CREDITO")</f>
        <v/>
      </c>
      <c r="I7" s="9">
        <f>H7-SUM(B7:G7)</f>
        <v/>
      </c>
      <c r="J7" s="4">
        <f>SUMIFS(df_blueme_sem_parcelamento!E:E,df_blueme_sem_parcelamento!H:H,Conciliacao!A7)*(-1)</f>
        <v/>
      </c>
      <c r="K7" s="4">
        <f>SUMIFS(df_blueme_com_parcelamento!J:J,df_blueme_com_parcelamento!M:M,Conciliacao!A7)*(-1)</f>
        <v/>
      </c>
      <c r="L7" s="4">
        <f>SUMIFS(df_mutuos!N:N,df_mutuos!B:B,Conciliacao!A7)*(-1)</f>
        <v/>
      </c>
      <c r="M7" s="8">
        <f>SUMIFS(df_bloqueios_judiciais!E:E,df_bloqueios_judiciais!D:D,Conciliacao!A7,df_bloqueios_judiciais!E:E,"&lt;0")</f>
        <v/>
      </c>
      <c r="N7" s="10">
        <f>SUMIFS(df_extratos!I:I,df_extratos!F:F,Conciliacao!BE7,df_extratos!G:G,"DEBITO")+SUMIFS(df_extratos!I:I,df_extratos!F:F,Conciliacao!A7,df_extratos!G:G,"DEBITO")+SUMIFS(df_extratos!I:I,df_extratos!F:F,Conciliacao!BF7,df_extratos!G:G,"DEBITO")+SUMIFS(df_extratos!I:I,df_extratos!F:F,Conciliacao!BG7,df_extratos!G:G,"DEBITO")+SUMIFS(df_extratos!I:I,df_extratos!F:F,Conciliacao!BH7,df_extratos!G:G,"DEBITO")</f>
        <v/>
      </c>
      <c r="O7" s="11">
        <f>N7-SUM(J7:M7)</f>
        <v/>
      </c>
      <c r="P7" s="25">
        <f>SUMIFS(df_ajustes_conciliaco!D:D,df_ajustes_conciliaco!C:C,Conciliacao!A7)</f>
        <v/>
      </c>
      <c r="Q7" s="22">
        <f>O7+I7-P7</f>
        <v/>
      </c>
      <c r="BE7" s="20" t="n">
        <v>45663.5</v>
      </c>
      <c r="BF7" s="20" t="n">
        <v>45663.125</v>
      </c>
      <c r="BG7" s="20" t="n">
        <v>45663.54166666666</v>
      </c>
      <c r="BH7" s="20" t="n">
        <v>45663.625</v>
      </c>
    </row>
    <row r="8">
      <c r="A8" s="5">
        <f>A7+1</f>
        <v/>
      </c>
      <c r="B8" s="3">
        <f>-SUMIFS(df_extrato_zig!G:G,df_extrato_zig!E:E,Conciliacao!A8,df_extrato_zig!D:D,"Saque")-SUMIFS(df_extrato_zig!G:G,df_extrato_zig!E:E,Conciliacao!A8,df_extrato_zig!D:D,"Antecipação")</f>
        <v/>
      </c>
      <c r="C8" s="3">
        <f>SUMIFS(df_extrato_zig!E:E,df_extrato_zig!L:L,Conciliacao!A8,df_extrato_zig!F:F,"DINHEIRO")</f>
        <v/>
      </c>
      <c r="D8" s="3">
        <f>SUMIFS(view_parc_agrup!H:H,view_parc_agrup!G:G,Conciliacao!A8)</f>
        <v/>
      </c>
      <c r="E8" s="3">
        <f>SUMIFS(df_eventos!F:F,df_eventos!H:H,Conciliacao!A8)</f>
        <v/>
      </c>
      <c r="F8" s="3">
        <f>SUMIFS(df_mutuos!M:M,df_mutuos!B:B,Conciliacao!A8)</f>
        <v/>
      </c>
      <c r="G8" s="6">
        <f>SUMIFS(df_bloqueios_judiciais!G:G,df_bloqueios_judiciais!D:D,Conciliacao!A8,df_bloqueios_judiciais!G:G,"&gt;0")</f>
        <v/>
      </c>
      <c r="H8" s="7">
        <f>SUMIFS(df_extratos!I:I,df_extratos!F:F,Conciliacao!BE8,df_extratos!G:G,"CREDITO")+SUMIFS(df_extratos!I:I,df_extratos!F:F,Conciliacao!A8,df_extratos!G:G,"CREDITO")+SUMIFS(df_extratos!I:I,df_extratos!F:F,Conciliacao!BF8,df_extratos!G:G,"CREDITO")+SUMIFS(df_extratos!I:I,df_extratos!F:F,Conciliacao!BG8,df_extratos!G:G,"CREDITO")+SUMIFS(df_extratos!I:I,df_extratos!F:F,Conciliacao!BH8,df_extratos!G:G,"CREDITO")</f>
        <v/>
      </c>
      <c r="I8" s="9">
        <f>H8-SUM(B8:G8)</f>
        <v/>
      </c>
      <c r="J8" s="4">
        <f>SUMIFS(df_blueme_sem_parcelamento!E:E,df_blueme_sem_parcelamento!H:H,Conciliacao!A8)*(-1)</f>
        <v/>
      </c>
      <c r="K8" s="4">
        <f>SUMIFS(df_blueme_com_parcelamento!J:J,df_blueme_com_parcelamento!M:M,Conciliacao!A8)*(-1)</f>
        <v/>
      </c>
      <c r="L8" s="4">
        <f>SUMIFS(df_mutuos!N:N,df_mutuos!B:B,Conciliacao!A8)*(-1)</f>
        <v/>
      </c>
      <c r="M8" s="8">
        <f>SUMIFS(df_bloqueios_judiciais!E:E,df_bloqueios_judiciais!D:D,Conciliacao!A8,df_bloqueios_judiciais!E:E,"&lt;0")</f>
        <v/>
      </c>
      <c r="N8" s="10">
        <f>SUMIFS(df_extratos!I:I,df_extratos!F:F,Conciliacao!BE8,df_extratos!G:G,"DEBITO")+SUMIFS(df_extratos!I:I,df_extratos!F:F,Conciliacao!A8,df_extratos!G:G,"DEBITO")+SUMIFS(df_extratos!I:I,df_extratos!F:F,Conciliacao!BF8,df_extratos!G:G,"DEBITO")+SUMIFS(df_extratos!I:I,df_extratos!F:F,Conciliacao!BG8,df_extratos!G:G,"DEBITO")+SUMIFS(df_extratos!I:I,df_extratos!F:F,Conciliacao!BH8,df_extratos!G:G,"DEBITO")</f>
        <v/>
      </c>
      <c r="O8" s="11">
        <f>N8-SUM(J8:M8)</f>
        <v/>
      </c>
      <c r="P8" s="25">
        <f>SUMIFS(df_ajustes_conciliaco!D:D,df_ajustes_conciliaco!C:C,Conciliacao!A8)</f>
        <v/>
      </c>
      <c r="Q8" s="22">
        <f>O8+I8-P8</f>
        <v/>
      </c>
      <c r="BE8" s="20" t="n">
        <v>45664.5</v>
      </c>
      <c r="BF8" s="20" t="n">
        <v>45664.125</v>
      </c>
      <c r="BG8" s="20" t="n">
        <v>45664.54166666666</v>
      </c>
      <c r="BH8" s="20" t="n">
        <v>45664.625</v>
      </c>
    </row>
    <row r="9">
      <c r="A9" s="5">
        <f>A8+1</f>
        <v/>
      </c>
      <c r="B9" s="3">
        <f>-SUMIFS(df_extrato_zig!G:G,df_extrato_zig!E:E,Conciliacao!A9,df_extrato_zig!D:D,"Saque")-SUMIFS(df_extrato_zig!G:G,df_extrato_zig!E:E,Conciliacao!A9,df_extrato_zig!D:D,"Antecipação")</f>
        <v/>
      </c>
      <c r="C9" s="3">
        <f>SUMIFS(df_extrato_zig!E:E,df_extrato_zig!L:L,Conciliacao!A9,df_extrato_zig!F:F,"DINHEIRO")</f>
        <v/>
      </c>
      <c r="D9" s="3">
        <f>SUMIFS(view_parc_agrup!H:H,view_parc_agrup!G:G,Conciliacao!A9)</f>
        <v/>
      </c>
      <c r="E9" s="3">
        <f>SUMIFS(df_eventos!F:F,df_eventos!H:H,Conciliacao!A9)</f>
        <v/>
      </c>
      <c r="F9" s="3">
        <f>SUMIFS(df_mutuos!M:M,df_mutuos!B:B,Conciliacao!A9)</f>
        <v/>
      </c>
      <c r="G9" s="6">
        <f>SUMIFS(df_bloqueios_judiciais!G:G,df_bloqueios_judiciais!D:D,Conciliacao!A9,df_bloqueios_judiciais!G:G,"&gt;0")</f>
        <v/>
      </c>
      <c r="H9" s="7">
        <f>SUMIFS(df_extratos!I:I,df_extratos!F:F,Conciliacao!BE9,df_extratos!G:G,"CREDITO")+SUMIFS(df_extratos!I:I,df_extratos!F:F,Conciliacao!A9,df_extratos!G:G,"CREDITO")+SUMIFS(df_extratos!I:I,df_extratos!F:F,Conciliacao!BF9,df_extratos!G:G,"CREDITO")+SUMIFS(df_extratos!I:I,df_extratos!F:F,Conciliacao!BG9,df_extratos!G:G,"CREDITO")+SUMIFS(df_extratos!I:I,df_extratos!F:F,Conciliacao!BH9,df_extratos!G:G,"CREDITO")</f>
        <v/>
      </c>
      <c r="I9" s="9">
        <f>H9-SUM(B9:G9)</f>
        <v/>
      </c>
      <c r="J9" s="4">
        <f>SUMIFS(df_blueme_sem_parcelamento!E:E,df_blueme_sem_parcelamento!H:H,Conciliacao!A9)*(-1)</f>
        <v/>
      </c>
      <c r="K9" s="4">
        <f>SUMIFS(df_blueme_com_parcelamento!J:J,df_blueme_com_parcelamento!M:M,Conciliacao!A9)*(-1)</f>
        <v/>
      </c>
      <c r="L9" s="4">
        <f>SUMIFS(df_mutuos!N:N,df_mutuos!B:B,Conciliacao!A9)*(-1)</f>
        <v/>
      </c>
      <c r="M9" s="8">
        <f>SUMIFS(df_bloqueios_judiciais!E:E,df_bloqueios_judiciais!D:D,Conciliacao!A9,df_bloqueios_judiciais!E:E,"&lt;0")</f>
        <v/>
      </c>
      <c r="N9" s="10">
        <f>SUMIFS(df_extratos!I:I,df_extratos!F:F,Conciliacao!BE9,df_extratos!G:G,"DEBITO")+SUMIFS(df_extratos!I:I,df_extratos!F:F,Conciliacao!A9,df_extratos!G:G,"DEBITO")+SUMIFS(df_extratos!I:I,df_extratos!F:F,Conciliacao!BF9,df_extratos!G:G,"DEBITO")+SUMIFS(df_extratos!I:I,df_extratos!F:F,Conciliacao!BG9,df_extratos!G:G,"DEBITO")+SUMIFS(df_extratos!I:I,df_extratos!F:F,Conciliacao!BH9,df_extratos!G:G,"DEBITO")</f>
        <v/>
      </c>
      <c r="O9" s="11">
        <f>N9-SUM(J9:M9)</f>
        <v/>
      </c>
      <c r="P9" s="25">
        <f>SUMIFS(df_ajustes_conciliaco!D:D,df_ajustes_conciliaco!C:C,Conciliacao!A9)</f>
        <v/>
      </c>
      <c r="Q9" s="22">
        <f>O9+I9-P9</f>
        <v/>
      </c>
      <c r="BE9" s="20" t="n">
        <v>45665.5</v>
      </c>
      <c r="BF9" s="20" t="n">
        <v>45665.125</v>
      </c>
      <c r="BG9" s="20" t="n">
        <v>45665.54166666666</v>
      </c>
      <c r="BH9" s="20" t="n">
        <v>45665.625</v>
      </c>
    </row>
    <row r="10">
      <c r="A10" s="5">
        <f>A9+1</f>
        <v/>
      </c>
      <c r="B10" s="3">
        <f>-SUMIFS(df_extrato_zig!G:G,df_extrato_zig!E:E,Conciliacao!A10,df_extrato_zig!D:D,"Saque")-SUMIFS(df_extrato_zig!G:G,df_extrato_zig!E:E,Conciliacao!A10,df_extrato_zig!D:D,"Antecipação")</f>
        <v/>
      </c>
      <c r="C10" s="3">
        <f>SUMIFS(df_extrato_zig!E:E,df_extrato_zig!L:L,Conciliacao!A10,df_extrato_zig!F:F,"DINHEIRO")</f>
        <v/>
      </c>
      <c r="D10" s="3">
        <f>SUMIFS(view_parc_agrup!H:H,view_parc_agrup!G:G,Conciliacao!A10)</f>
        <v/>
      </c>
      <c r="E10" s="3">
        <f>SUMIFS(df_eventos!F:F,df_eventos!H:H,Conciliacao!A10)</f>
        <v/>
      </c>
      <c r="F10" s="3">
        <f>SUMIFS(df_mutuos!M:M,df_mutuos!B:B,Conciliacao!A10)</f>
        <v/>
      </c>
      <c r="G10" s="6">
        <f>SUMIFS(df_bloqueios_judiciais!G:G,df_bloqueios_judiciais!D:D,Conciliacao!A10,df_bloqueios_judiciais!G:G,"&gt;0")</f>
        <v/>
      </c>
      <c r="H10" s="7">
        <f>SUMIFS(df_extratos!I:I,df_extratos!F:F,Conciliacao!BE10,df_extratos!G:G,"CREDITO")+SUMIFS(df_extratos!I:I,df_extratos!F:F,Conciliacao!A10,df_extratos!G:G,"CREDITO")+SUMIFS(df_extratos!I:I,df_extratos!F:F,Conciliacao!BF10,df_extratos!G:G,"CREDITO")+SUMIFS(df_extratos!I:I,df_extratos!F:F,Conciliacao!BG10,df_extratos!G:G,"CREDITO")+SUMIFS(df_extratos!I:I,df_extratos!F:F,Conciliacao!BH10,df_extratos!G:G,"CREDITO")</f>
        <v/>
      </c>
      <c r="I10" s="9">
        <f>H10-SUM(B10:G10)</f>
        <v/>
      </c>
      <c r="J10" s="4">
        <f>SUMIFS(df_blueme_sem_parcelamento!E:E,df_blueme_sem_parcelamento!H:H,Conciliacao!A10)*(-1)</f>
        <v/>
      </c>
      <c r="K10" s="4">
        <f>SUMIFS(df_blueme_com_parcelamento!J:J,df_blueme_com_parcelamento!M:M,Conciliacao!A10)*(-1)</f>
        <v/>
      </c>
      <c r="L10" s="4">
        <f>SUMIFS(df_mutuos!N:N,df_mutuos!B:B,Conciliacao!A10)*(-1)</f>
        <v/>
      </c>
      <c r="M10" s="8">
        <f>SUMIFS(df_bloqueios_judiciais!E:E,df_bloqueios_judiciais!D:D,Conciliacao!A10,df_bloqueios_judiciais!E:E,"&lt;0")</f>
        <v/>
      </c>
      <c r="N10" s="10">
        <f>SUMIFS(df_extratos!I:I,df_extratos!F:F,Conciliacao!BE10,df_extratos!G:G,"DEBITO")+SUMIFS(df_extratos!I:I,df_extratos!F:F,Conciliacao!A10,df_extratos!G:G,"DEBITO")+SUMIFS(df_extratos!I:I,df_extratos!F:F,Conciliacao!BF10,df_extratos!G:G,"DEBITO")+SUMIFS(df_extratos!I:I,df_extratos!F:F,Conciliacao!BG10,df_extratos!G:G,"DEBITO")+SUMIFS(df_extratos!I:I,df_extratos!F:F,Conciliacao!BH10,df_extratos!G:G,"DEBITO")</f>
        <v/>
      </c>
      <c r="O10" s="11">
        <f>N10-SUM(J10:M10)</f>
        <v/>
      </c>
      <c r="P10" s="25">
        <f>SUMIFS(df_ajustes_conciliaco!D:D,df_ajustes_conciliaco!C:C,Conciliacao!A10)</f>
        <v/>
      </c>
      <c r="Q10" s="22">
        <f>O10+I10-P10</f>
        <v/>
      </c>
      <c r="BE10" s="20" t="n">
        <v>45666.5</v>
      </c>
      <c r="BF10" s="20" t="n">
        <v>45666.125</v>
      </c>
      <c r="BG10" s="20" t="n">
        <v>45666.54166666666</v>
      </c>
      <c r="BH10" s="20" t="n">
        <v>45666.625</v>
      </c>
    </row>
    <row r="11">
      <c r="A11" s="5">
        <f>A10+1</f>
        <v/>
      </c>
      <c r="B11" s="3">
        <f>-SUMIFS(df_extrato_zig!G:G,df_extrato_zig!E:E,Conciliacao!A11,df_extrato_zig!D:D,"Saque")-SUMIFS(df_extrato_zig!G:G,df_extrato_zig!E:E,Conciliacao!A11,df_extrato_zig!D:D,"Antecipação")</f>
        <v/>
      </c>
      <c r="C11" s="3">
        <f>SUMIFS(df_extrato_zig!E:E,df_extrato_zig!L:L,Conciliacao!A11,df_extrato_zig!F:F,"DINHEIRO")</f>
        <v/>
      </c>
      <c r="D11" s="3">
        <f>SUMIFS(view_parc_agrup!H:H,view_parc_agrup!G:G,Conciliacao!A11)</f>
        <v/>
      </c>
      <c r="E11" s="3">
        <f>SUMIFS(df_eventos!F:F,df_eventos!H:H,Conciliacao!A11)</f>
        <v/>
      </c>
      <c r="F11" s="3">
        <f>SUMIFS(df_mutuos!M:M,df_mutuos!B:B,Conciliacao!A11)</f>
        <v/>
      </c>
      <c r="G11" s="6">
        <f>SUMIFS(df_bloqueios_judiciais!G:G,df_bloqueios_judiciais!D:D,Conciliacao!A11,df_bloqueios_judiciais!G:G,"&gt;0")</f>
        <v/>
      </c>
      <c r="H11" s="7">
        <f>SUMIFS(df_extratos!I:I,df_extratos!F:F,Conciliacao!BE11,df_extratos!G:G,"CREDITO")+SUMIFS(df_extratos!I:I,df_extratos!F:F,Conciliacao!A11,df_extratos!G:G,"CREDITO")+SUMIFS(df_extratos!I:I,df_extratos!F:F,Conciliacao!BF11,df_extratos!G:G,"CREDITO")+SUMIFS(df_extratos!I:I,df_extratos!F:F,Conciliacao!BG11,df_extratos!G:G,"CREDITO")+SUMIFS(df_extratos!I:I,df_extratos!F:F,Conciliacao!BH11,df_extratos!G:G,"CREDITO")</f>
        <v/>
      </c>
      <c r="I11" s="9">
        <f>H11-SUM(B11:G11)</f>
        <v/>
      </c>
      <c r="J11" s="4">
        <f>SUMIFS(df_blueme_sem_parcelamento!E:E,df_blueme_sem_parcelamento!H:H,Conciliacao!A11)*(-1)</f>
        <v/>
      </c>
      <c r="K11" s="4">
        <f>SUMIFS(df_blueme_com_parcelamento!J:J,df_blueme_com_parcelamento!M:M,Conciliacao!A11)*(-1)</f>
        <v/>
      </c>
      <c r="L11" s="4">
        <f>SUMIFS(df_mutuos!N:N,df_mutuos!B:B,Conciliacao!A11)*(-1)</f>
        <v/>
      </c>
      <c r="M11" s="8">
        <f>SUMIFS(df_bloqueios_judiciais!E:E,df_bloqueios_judiciais!D:D,Conciliacao!A11,df_bloqueios_judiciais!E:E,"&lt;0")</f>
        <v/>
      </c>
      <c r="N11" s="10">
        <f>SUMIFS(df_extratos!I:I,df_extratos!F:F,Conciliacao!BE11,df_extratos!G:G,"DEBITO")+SUMIFS(df_extratos!I:I,df_extratos!F:F,Conciliacao!A11,df_extratos!G:G,"DEBITO")+SUMIFS(df_extratos!I:I,df_extratos!F:F,Conciliacao!BF11,df_extratos!G:G,"DEBITO")+SUMIFS(df_extratos!I:I,df_extratos!F:F,Conciliacao!BG11,df_extratos!G:G,"DEBITO")+SUMIFS(df_extratos!I:I,df_extratos!F:F,Conciliacao!BH11,df_extratos!G:G,"DEBITO")</f>
        <v/>
      </c>
      <c r="O11" s="11">
        <f>N11-SUM(J11:M11)</f>
        <v/>
      </c>
      <c r="P11" s="25">
        <f>SUMIFS(df_ajustes_conciliaco!D:D,df_ajustes_conciliaco!C:C,Conciliacao!A11)</f>
        <v/>
      </c>
      <c r="Q11" s="22">
        <f>O11+I11-P11</f>
        <v/>
      </c>
      <c r="BE11" s="20" t="n">
        <v>45667.5</v>
      </c>
      <c r="BF11" s="20" t="n">
        <v>45667.125</v>
      </c>
      <c r="BG11" s="20" t="n">
        <v>45667.54166666666</v>
      </c>
      <c r="BH11" s="20" t="n">
        <v>45667.625</v>
      </c>
    </row>
    <row r="12">
      <c r="A12" s="5">
        <f>A11+1</f>
        <v/>
      </c>
      <c r="B12" s="3">
        <f>-SUMIFS(df_extrato_zig!G:G,df_extrato_zig!E:E,Conciliacao!A12,df_extrato_zig!D:D,"Saque")-SUMIFS(df_extrato_zig!G:G,df_extrato_zig!E:E,Conciliacao!A12,df_extrato_zig!D:D,"Antecipação")</f>
        <v/>
      </c>
      <c r="C12" s="3">
        <f>SUMIFS(df_extrato_zig!E:E,df_extrato_zig!L:L,Conciliacao!A12,df_extrato_zig!F:F,"DINHEIRO")</f>
        <v/>
      </c>
      <c r="D12" s="3">
        <f>SUMIFS(view_parc_agrup!H:H,view_parc_agrup!G:G,Conciliacao!A12)</f>
        <v/>
      </c>
      <c r="E12" s="3">
        <f>SUMIFS(df_eventos!F:F,df_eventos!H:H,Conciliacao!A12)</f>
        <v/>
      </c>
      <c r="F12" s="3">
        <f>SUMIFS(df_mutuos!M:M,df_mutuos!B:B,Conciliacao!A12)</f>
        <v/>
      </c>
      <c r="G12" s="6">
        <f>SUMIFS(df_bloqueios_judiciais!G:G,df_bloqueios_judiciais!D:D,Conciliacao!A12,df_bloqueios_judiciais!G:G,"&gt;0")</f>
        <v/>
      </c>
      <c r="H12" s="7">
        <f>SUMIFS(df_extratos!I:I,df_extratos!F:F,Conciliacao!BE12,df_extratos!G:G,"CREDITO")+SUMIFS(df_extratos!I:I,df_extratos!F:F,Conciliacao!A12,df_extratos!G:G,"CREDITO")+SUMIFS(df_extratos!I:I,df_extratos!F:F,Conciliacao!BF12,df_extratos!G:G,"CREDITO")+SUMIFS(df_extratos!I:I,df_extratos!F:F,Conciliacao!BG12,df_extratos!G:G,"CREDITO")+SUMIFS(df_extratos!I:I,df_extratos!F:F,Conciliacao!BH12,df_extratos!G:G,"CREDITO")</f>
        <v/>
      </c>
      <c r="I12" s="9">
        <f>H12-SUM(B12:G12)</f>
        <v/>
      </c>
      <c r="J12" s="4">
        <f>SUMIFS(df_blueme_sem_parcelamento!E:E,df_blueme_sem_parcelamento!H:H,Conciliacao!A12)*(-1)</f>
        <v/>
      </c>
      <c r="K12" s="4">
        <f>SUMIFS(df_blueme_com_parcelamento!J:J,df_blueme_com_parcelamento!M:M,Conciliacao!A12)*(-1)</f>
        <v/>
      </c>
      <c r="L12" s="4">
        <f>SUMIFS(df_mutuos!N:N,df_mutuos!B:B,Conciliacao!A12)*(-1)</f>
        <v/>
      </c>
      <c r="M12" s="8">
        <f>SUMIFS(df_bloqueios_judiciais!E:E,df_bloqueios_judiciais!D:D,Conciliacao!A12,df_bloqueios_judiciais!E:E,"&lt;0")</f>
        <v/>
      </c>
      <c r="N12" s="10">
        <f>SUMIFS(df_extratos!I:I,df_extratos!F:F,Conciliacao!BE12,df_extratos!G:G,"DEBITO")+SUMIFS(df_extratos!I:I,df_extratos!F:F,Conciliacao!A12,df_extratos!G:G,"DEBITO")+SUMIFS(df_extratos!I:I,df_extratos!F:F,Conciliacao!BF12,df_extratos!G:G,"DEBITO")+SUMIFS(df_extratos!I:I,df_extratos!F:F,Conciliacao!BG12,df_extratos!G:G,"DEBITO")+SUMIFS(df_extratos!I:I,df_extratos!F:F,Conciliacao!BH12,df_extratos!G:G,"DEBITO")</f>
        <v/>
      </c>
      <c r="O12" s="11">
        <f>N12-SUM(J12:M12)</f>
        <v/>
      </c>
      <c r="P12" s="25">
        <f>SUMIFS(df_ajustes_conciliaco!D:D,df_ajustes_conciliaco!C:C,Conciliacao!A12)</f>
        <v/>
      </c>
      <c r="Q12" s="22">
        <f>O12+I12-P12</f>
        <v/>
      </c>
      <c r="BE12" s="20" t="n">
        <v>45668.5</v>
      </c>
      <c r="BF12" s="20" t="n">
        <v>45668.125</v>
      </c>
      <c r="BG12" s="20" t="n">
        <v>45668.54166666666</v>
      </c>
      <c r="BH12" s="20" t="n">
        <v>45668.625</v>
      </c>
    </row>
    <row r="13">
      <c r="A13" s="5">
        <f>A12+1</f>
        <v/>
      </c>
      <c r="B13" s="3">
        <f>-SUMIFS(df_extrato_zig!G:G,df_extrato_zig!E:E,Conciliacao!A13,df_extrato_zig!D:D,"Saque")-SUMIFS(df_extrato_zig!G:G,df_extrato_zig!E:E,Conciliacao!A13,df_extrato_zig!D:D,"Antecipação")</f>
        <v/>
      </c>
      <c r="C13" s="3">
        <f>SUMIFS(df_extrato_zig!E:E,df_extrato_zig!L:L,Conciliacao!A13,df_extrato_zig!F:F,"DINHEIRO")</f>
        <v/>
      </c>
      <c r="D13" s="3">
        <f>SUMIFS(view_parc_agrup!H:H,view_parc_agrup!G:G,Conciliacao!A13)</f>
        <v/>
      </c>
      <c r="E13" s="3">
        <f>SUMIFS(df_eventos!F:F,df_eventos!H:H,Conciliacao!A13)</f>
        <v/>
      </c>
      <c r="F13" s="3">
        <f>SUMIFS(df_mutuos!M:M,df_mutuos!B:B,Conciliacao!A13)</f>
        <v/>
      </c>
      <c r="G13" s="6">
        <f>SUMIFS(df_bloqueios_judiciais!G:G,df_bloqueios_judiciais!D:D,Conciliacao!A13,df_bloqueios_judiciais!G:G,"&gt;0")</f>
        <v/>
      </c>
      <c r="H13" s="7">
        <f>SUMIFS(df_extratos!I:I,df_extratos!F:F,Conciliacao!BE13,df_extratos!G:G,"CREDITO")+SUMIFS(df_extratos!I:I,df_extratos!F:F,Conciliacao!A13,df_extratos!G:G,"CREDITO")+SUMIFS(df_extratos!I:I,df_extratos!F:F,Conciliacao!BF13,df_extratos!G:G,"CREDITO")+SUMIFS(df_extratos!I:I,df_extratos!F:F,Conciliacao!BG13,df_extratos!G:G,"CREDITO")+SUMIFS(df_extratos!I:I,df_extratos!F:F,Conciliacao!BH13,df_extratos!G:G,"CREDITO")</f>
        <v/>
      </c>
      <c r="I13" s="9">
        <f>H13-SUM(B13:G13)</f>
        <v/>
      </c>
      <c r="J13" s="4">
        <f>SUMIFS(df_blueme_sem_parcelamento!E:E,df_blueme_sem_parcelamento!H:H,Conciliacao!A13)*(-1)</f>
        <v/>
      </c>
      <c r="K13" s="4">
        <f>SUMIFS(df_blueme_com_parcelamento!J:J,df_blueme_com_parcelamento!M:M,Conciliacao!A13)*(-1)</f>
        <v/>
      </c>
      <c r="L13" s="4">
        <f>SUMIFS(df_mutuos!N:N,df_mutuos!B:B,Conciliacao!A13)*(-1)</f>
        <v/>
      </c>
      <c r="M13" s="8">
        <f>SUMIFS(df_bloqueios_judiciais!E:E,df_bloqueios_judiciais!D:D,Conciliacao!A13,df_bloqueios_judiciais!E:E,"&lt;0")</f>
        <v/>
      </c>
      <c r="N13" s="10">
        <f>SUMIFS(df_extratos!I:I,df_extratos!F:F,Conciliacao!BE13,df_extratos!G:G,"DEBITO")+SUMIFS(df_extratos!I:I,df_extratos!F:F,Conciliacao!A13,df_extratos!G:G,"DEBITO")+SUMIFS(df_extratos!I:I,df_extratos!F:F,Conciliacao!BF13,df_extratos!G:G,"DEBITO")+SUMIFS(df_extratos!I:I,df_extratos!F:F,Conciliacao!BG13,df_extratos!G:G,"DEBITO")+SUMIFS(df_extratos!I:I,df_extratos!F:F,Conciliacao!BH13,df_extratos!G:G,"DEBITO")</f>
        <v/>
      </c>
      <c r="O13" s="11">
        <f>N13-SUM(J13:M13)</f>
        <v/>
      </c>
      <c r="P13" s="25">
        <f>SUMIFS(df_ajustes_conciliaco!D:D,df_ajustes_conciliaco!C:C,Conciliacao!A13)</f>
        <v/>
      </c>
      <c r="Q13" s="22">
        <f>O13+I13-P13</f>
        <v/>
      </c>
      <c r="BE13" s="20" t="n">
        <v>45669.5</v>
      </c>
      <c r="BF13" s="20" t="n">
        <v>45669.125</v>
      </c>
      <c r="BG13" s="20" t="n">
        <v>45669.54166666666</v>
      </c>
      <c r="BH13" s="20" t="n">
        <v>45669.625</v>
      </c>
    </row>
    <row r="14">
      <c r="A14" s="5">
        <f>A13+1</f>
        <v/>
      </c>
      <c r="B14" s="3">
        <f>-SUMIFS(df_extrato_zig!G:G,df_extrato_zig!E:E,Conciliacao!A14,df_extrato_zig!D:D,"Saque")-SUMIFS(df_extrato_zig!G:G,df_extrato_zig!E:E,Conciliacao!A14,df_extrato_zig!D:D,"Antecipação")</f>
        <v/>
      </c>
      <c r="C14" s="3">
        <f>SUMIFS(df_extrato_zig!E:E,df_extrato_zig!L:L,Conciliacao!A14,df_extrato_zig!F:F,"DINHEIRO")</f>
        <v/>
      </c>
      <c r="D14" s="3">
        <f>SUMIFS(view_parc_agrup!H:H,view_parc_agrup!G:G,Conciliacao!A14)</f>
        <v/>
      </c>
      <c r="E14" s="3">
        <f>SUMIFS(df_eventos!F:F,df_eventos!H:H,Conciliacao!A14)</f>
        <v/>
      </c>
      <c r="F14" s="3">
        <f>SUMIFS(df_mutuos!M:M,df_mutuos!B:B,Conciliacao!A14)</f>
        <v/>
      </c>
      <c r="G14" s="6">
        <f>SUMIFS(df_bloqueios_judiciais!G:G,df_bloqueios_judiciais!D:D,Conciliacao!A14,df_bloqueios_judiciais!G:G,"&gt;0")</f>
        <v/>
      </c>
      <c r="H14" s="7">
        <f>SUMIFS(df_extratos!I:I,df_extratos!F:F,Conciliacao!BE14,df_extratos!G:G,"CREDITO")+SUMIFS(df_extratos!I:I,df_extratos!F:F,Conciliacao!A14,df_extratos!G:G,"CREDITO")+SUMIFS(df_extratos!I:I,df_extratos!F:F,Conciliacao!BF14,df_extratos!G:G,"CREDITO")+SUMIFS(df_extratos!I:I,df_extratos!F:F,Conciliacao!BG14,df_extratos!G:G,"CREDITO")+SUMIFS(df_extratos!I:I,df_extratos!F:F,Conciliacao!BH14,df_extratos!G:G,"CREDITO")</f>
        <v/>
      </c>
      <c r="I14" s="9">
        <f>H14-SUM(B14:G14)</f>
        <v/>
      </c>
      <c r="J14" s="4">
        <f>SUMIFS(df_blueme_sem_parcelamento!E:E,df_blueme_sem_parcelamento!H:H,Conciliacao!A14)*(-1)</f>
        <v/>
      </c>
      <c r="K14" s="4">
        <f>SUMIFS(df_blueme_com_parcelamento!J:J,df_blueme_com_parcelamento!M:M,Conciliacao!A14)*(-1)</f>
        <v/>
      </c>
      <c r="L14" s="4">
        <f>SUMIFS(df_mutuos!N:N,df_mutuos!B:B,Conciliacao!A14)*(-1)</f>
        <v/>
      </c>
      <c r="M14" s="8">
        <f>SUMIFS(df_bloqueios_judiciais!E:E,df_bloqueios_judiciais!D:D,Conciliacao!A14,df_bloqueios_judiciais!E:E,"&lt;0")</f>
        <v/>
      </c>
      <c r="N14" s="10">
        <f>SUMIFS(df_extratos!I:I,df_extratos!F:F,Conciliacao!BE14,df_extratos!G:G,"DEBITO")+SUMIFS(df_extratos!I:I,df_extratos!F:F,Conciliacao!A14,df_extratos!G:G,"DEBITO")+SUMIFS(df_extratos!I:I,df_extratos!F:F,Conciliacao!BF14,df_extratos!G:G,"DEBITO")+SUMIFS(df_extratos!I:I,df_extratos!F:F,Conciliacao!BG14,df_extratos!G:G,"DEBITO")+SUMIFS(df_extratos!I:I,df_extratos!F:F,Conciliacao!BH14,df_extratos!G:G,"DEBITO")</f>
        <v/>
      </c>
      <c r="O14" s="11">
        <f>N14-SUM(J14:M14)</f>
        <v/>
      </c>
      <c r="P14" s="25">
        <f>SUMIFS(df_ajustes_conciliaco!D:D,df_ajustes_conciliaco!C:C,Conciliacao!A14)</f>
        <v/>
      </c>
      <c r="Q14" s="22">
        <f>O14+I14-P14</f>
        <v/>
      </c>
      <c r="BE14" s="20" t="n">
        <v>45670.5</v>
      </c>
      <c r="BF14" s="20" t="n">
        <v>45670.125</v>
      </c>
      <c r="BG14" s="20" t="n">
        <v>45670.54166666666</v>
      </c>
      <c r="BH14" s="20" t="n">
        <v>45670.625</v>
      </c>
    </row>
    <row r="15">
      <c r="A15" s="5">
        <f>A14+1</f>
        <v/>
      </c>
      <c r="B15" s="3">
        <f>-SUMIFS(df_extrato_zig!G:G,df_extrato_zig!E:E,Conciliacao!A15,df_extrato_zig!D:D,"Saque")-SUMIFS(df_extrato_zig!G:G,df_extrato_zig!E:E,Conciliacao!A15,df_extrato_zig!D:D,"Antecipação")</f>
        <v/>
      </c>
      <c r="C15" s="3">
        <f>SUMIFS(df_extrato_zig!E:E,df_extrato_zig!L:L,Conciliacao!A15,df_extrato_zig!F:F,"DINHEIRO")</f>
        <v/>
      </c>
      <c r="D15" s="3">
        <f>SUMIFS(view_parc_agrup!H:H,view_parc_agrup!G:G,Conciliacao!A15)</f>
        <v/>
      </c>
      <c r="E15" s="3">
        <f>SUMIFS(df_eventos!F:F,df_eventos!H:H,Conciliacao!A15)</f>
        <v/>
      </c>
      <c r="F15" s="3">
        <f>SUMIFS(df_mutuos!M:M,df_mutuos!B:B,Conciliacao!A15)</f>
        <v/>
      </c>
      <c r="G15" s="6">
        <f>SUMIFS(df_bloqueios_judiciais!G:G,df_bloqueios_judiciais!D:D,Conciliacao!A15,df_bloqueios_judiciais!G:G,"&gt;0")</f>
        <v/>
      </c>
      <c r="H15" s="7">
        <f>SUMIFS(df_extratos!I:I,df_extratos!F:F,Conciliacao!BE15,df_extratos!G:G,"CREDITO")+SUMIFS(df_extratos!I:I,df_extratos!F:F,Conciliacao!A15,df_extratos!G:G,"CREDITO")+SUMIFS(df_extratos!I:I,df_extratos!F:F,Conciliacao!BF15,df_extratos!G:G,"CREDITO")+SUMIFS(df_extratos!I:I,df_extratos!F:F,Conciliacao!BG15,df_extratos!G:G,"CREDITO")+SUMIFS(df_extratos!I:I,df_extratos!F:F,Conciliacao!BH15,df_extratos!G:G,"CREDITO")</f>
        <v/>
      </c>
      <c r="I15" s="9">
        <f>H15-SUM(B15:G15)</f>
        <v/>
      </c>
      <c r="J15" s="4">
        <f>SUMIFS(df_blueme_sem_parcelamento!E:E,df_blueme_sem_parcelamento!H:H,Conciliacao!A15)*(-1)</f>
        <v/>
      </c>
      <c r="K15" s="4">
        <f>SUMIFS(df_blueme_com_parcelamento!J:J,df_blueme_com_parcelamento!M:M,Conciliacao!A15)*(-1)</f>
        <v/>
      </c>
      <c r="L15" s="4">
        <f>SUMIFS(df_mutuos!N:N,df_mutuos!B:B,Conciliacao!A15)*(-1)</f>
        <v/>
      </c>
      <c r="M15" s="8">
        <f>SUMIFS(df_bloqueios_judiciais!E:E,df_bloqueios_judiciais!D:D,Conciliacao!A15,df_bloqueios_judiciais!E:E,"&lt;0")</f>
        <v/>
      </c>
      <c r="N15" s="10">
        <f>SUMIFS(df_extratos!I:I,df_extratos!F:F,Conciliacao!BE15,df_extratos!G:G,"DEBITO")+SUMIFS(df_extratos!I:I,df_extratos!F:F,Conciliacao!A15,df_extratos!G:G,"DEBITO")+SUMIFS(df_extratos!I:I,df_extratos!F:F,Conciliacao!BF15,df_extratos!G:G,"DEBITO")+SUMIFS(df_extratos!I:I,df_extratos!F:F,Conciliacao!BG15,df_extratos!G:G,"DEBITO")+SUMIFS(df_extratos!I:I,df_extratos!F:F,Conciliacao!BH15,df_extratos!G:G,"DEBITO")</f>
        <v/>
      </c>
      <c r="O15" s="11">
        <f>N15-SUM(J15:M15)</f>
        <v/>
      </c>
      <c r="P15" s="25">
        <f>SUMIFS(df_ajustes_conciliaco!D:D,df_ajustes_conciliaco!C:C,Conciliacao!A15)</f>
        <v/>
      </c>
      <c r="Q15" s="22">
        <f>O15+I15-P15</f>
        <v/>
      </c>
      <c r="BE15" s="20" t="n">
        <v>45671.5</v>
      </c>
      <c r="BF15" s="20" t="n">
        <v>45671.125</v>
      </c>
      <c r="BG15" s="20" t="n">
        <v>45671.54166666666</v>
      </c>
      <c r="BH15" s="20" t="n">
        <v>45671.625</v>
      </c>
    </row>
    <row r="16">
      <c r="A16" s="5">
        <f>A15+1</f>
        <v/>
      </c>
      <c r="B16" s="3">
        <f>-SUMIFS(df_extrato_zig!G:G,df_extrato_zig!E:E,Conciliacao!A16,df_extrato_zig!D:D,"Saque")-SUMIFS(df_extrato_zig!G:G,df_extrato_zig!E:E,Conciliacao!A16,df_extrato_zig!D:D,"Antecipação")</f>
        <v/>
      </c>
      <c r="C16" s="3">
        <f>SUMIFS(df_extrato_zig!E:E,df_extrato_zig!L:L,Conciliacao!A16,df_extrato_zig!F:F,"DINHEIRO")</f>
        <v/>
      </c>
      <c r="D16" s="3">
        <f>SUMIFS(view_parc_agrup!H:H,view_parc_agrup!G:G,Conciliacao!A16)</f>
        <v/>
      </c>
      <c r="E16" s="3">
        <f>SUMIFS(df_eventos!F:F,df_eventos!H:H,Conciliacao!A16)</f>
        <v/>
      </c>
      <c r="F16" s="3">
        <f>SUMIFS(df_mutuos!M:M,df_mutuos!B:B,Conciliacao!A16)</f>
        <v/>
      </c>
      <c r="G16" s="6">
        <f>SUMIFS(df_bloqueios_judiciais!G:G,df_bloqueios_judiciais!D:D,Conciliacao!A16,df_bloqueios_judiciais!G:G,"&gt;0")</f>
        <v/>
      </c>
      <c r="H16" s="7">
        <f>SUMIFS(df_extratos!I:I,df_extratos!F:F,Conciliacao!BE16,df_extratos!G:G,"CREDITO")+SUMIFS(df_extratos!I:I,df_extratos!F:F,Conciliacao!A16,df_extratos!G:G,"CREDITO")+SUMIFS(df_extratos!I:I,df_extratos!F:F,Conciliacao!BF16,df_extratos!G:G,"CREDITO")+SUMIFS(df_extratos!I:I,df_extratos!F:F,Conciliacao!BG16,df_extratos!G:G,"CREDITO")+SUMIFS(df_extratos!I:I,df_extratos!F:F,Conciliacao!BH16,df_extratos!G:G,"CREDITO")</f>
        <v/>
      </c>
      <c r="I16" s="9">
        <f>H16-SUM(B16:G16)</f>
        <v/>
      </c>
      <c r="J16" s="4">
        <f>SUMIFS(df_blueme_sem_parcelamento!E:E,df_blueme_sem_parcelamento!H:H,Conciliacao!A16)*(-1)</f>
        <v/>
      </c>
      <c r="K16" s="4">
        <f>SUMIFS(df_blueme_com_parcelamento!J:J,df_blueme_com_parcelamento!M:M,Conciliacao!A16)*(-1)</f>
        <v/>
      </c>
      <c r="L16" s="4">
        <f>SUMIFS(df_mutuos!N:N,df_mutuos!B:B,Conciliacao!A16)*(-1)</f>
        <v/>
      </c>
      <c r="M16" s="8">
        <f>SUMIFS(df_bloqueios_judiciais!E:E,df_bloqueios_judiciais!D:D,Conciliacao!A16,df_bloqueios_judiciais!E:E,"&lt;0")</f>
        <v/>
      </c>
      <c r="N16" s="10">
        <f>SUMIFS(df_extratos!I:I,df_extratos!F:F,Conciliacao!BE16,df_extratos!G:G,"DEBITO")+SUMIFS(df_extratos!I:I,df_extratos!F:F,Conciliacao!A16,df_extratos!G:G,"DEBITO")+SUMIFS(df_extratos!I:I,df_extratos!F:F,Conciliacao!BF16,df_extratos!G:G,"DEBITO")+SUMIFS(df_extratos!I:I,df_extratos!F:F,Conciliacao!BG16,df_extratos!G:G,"DEBITO")+SUMIFS(df_extratos!I:I,df_extratos!F:F,Conciliacao!BH16,df_extratos!G:G,"DEBITO")</f>
        <v/>
      </c>
      <c r="O16" s="11">
        <f>N16-SUM(J16:M16)</f>
        <v/>
      </c>
      <c r="P16" s="25">
        <f>SUMIFS(df_ajustes_conciliaco!D:D,df_ajustes_conciliaco!C:C,Conciliacao!A16)</f>
        <v/>
      </c>
      <c r="Q16" s="22">
        <f>O16+I16-P16</f>
        <v/>
      </c>
      <c r="BE16" s="20" t="n">
        <v>45672.5</v>
      </c>
      <c r="BF16" s="20" t="n">
        <v>45672.125</v>
      </c>
      <c r="BG16" s="20" t="n">
        <v>45672.54166666666</v>
      </c>
      <c r="BH16" s="20" t="n">
        <v>45672.625</v>
      </c>
    </row>
    <row r="17">
      <c r="A17" s="5">
        <f>A16+1</f>
        <v/>
      </c>
      <c r="B17" s="3">
        <f>-SUMIFS(df_extrato_zig!G:G,df_extrato_zig!E:E,Conciliacao!A17,df_extrato_zig!D:D,"Saque")-SUMIFS(df_extrato_zig!G:G,df_extrato_zig!E:E,Conciliacao!A17,df_extrato_zig!D:D,"Antecipação")</f>
        <v/>
      </c>
      <c r="C17" s="3">
        <f>SUMIFS(df_extrato_zig!E:E,df_extrato_zig!L:L,Conciliacao!A17,df_extrato_zig!F:F,"DINHEIRO")</f>
        <v/>
      </c>
      <c r="D17" s="3">
        <f>SUMIFS(view_parc_agrup!H:H,view_parc_agrup!G:G,Conciliacao!A17)</f>
        <v/>
      </c>
      <c r="E17" s="3">
        <f>SUMIFS(df_eventos!F:F,df_eventos!H:H,Conciliacao!A17)</f>
        <v/>
      </c>
      <c r="F17" s="3">
        <f>SUMIFS(df_mutuos!M:M,df_mutuos!B:B,Conciliacao!A17)</f>
        <v/>
      </c>
      <c r="G17" s="6">
        <f>SUMIFS(df_bloqueios_judiciais!G:G,df_bloqueios_judiciais!D:D,Conciliacao!A17,df_bloqueios_judiciais!G:G,"&gt;0")</f>
        <v/>
      </c>
      <c r="H17" s="7">
        <f>SUMIFS(df_extratos!I:I,df_extratos!F:F,Conciliacao!BE17,df_extratos!G:G,"CREDITO")+SUMIFS(df_extratos!I:I,df_extratos!F:F,Conciliacao!A17,df_extratos!G:G,"CREDITO")+SUMIFS(df_extratos!I:I,df_extratos!F:F,Conciliacao!BF17,df_extratos!G:G,"CREDITO")+SUMIFS(df_extratos!I:I,df_extratos!F:F,Conciliacao!BG17,df_extratos!G:G,"CREDITO")+SUMIFS(df_extratos!I:I,df_extratos!F:F,Conciliacao!BH17,df_extratos!G:G,"CREDITO")</f>
        <v/>
      </c>
      <c r="I17" s="9">
        <f>H17-SUM(B17:G17)</f>
        <v/>
      </c>
      <c r="J17" s="4">
        <f>SUMIFS(df_blueme_sem_parcelamento!E:E,df_blueme_sem_parcelamento!H:H,Conciliacao!A17)*(-1)</f>
        <v/>
      </c>
      <c r="K17" s="4">
        <f>SUMIFS(df_blueme_com_parcelamento!J:J,df_blueme_com_parcelamento!M:M,Conciliacao!A17)*(-1)</f>
        <v/>
      </c>
      <c r="L17" s="4">
        <f>SUMIFS(df_mutuos!N:N,df_mutuos!B:B,Conciliacao!A17)*(-1)</f>
        <v/>
      </c>
      <c r="M17" s="8">
        <f>SUMIFS(df_bloqueios_judiciais!E:E,df_bloqueios_judiciais!D:D,Conciliacao!A17,df_bloqueios_judiciais!E:E,"&lt;0")</f>
        <v/>
      </c>
      <c r="N17" s="10">
        <f>SUMIFS(df_extratos!I:I,df_extratos!F:F,Conciliacao!BE17,df_extratos!G:G,"DEBITO")+SUMIFS(df_extratos!I:I,df_extratos!F:F,Conciliacao!A17,df_extratos!G:G,"DEBITO")+SUMIFS(df_extratos!I:I,df_extratos!F:F,Conciliacao!BF17,df_extratos!G:G,"DEBITO")+SUMIFS(df_extratos!I:I,df_extratos!F:F,Conciliacao!BG17,df_extratos!G:G,"DEBITO")+SUMIFS(df_extratos!I:I,df_extratos!F:F,Conciliacao!BH17,df_extratos!G:G,"DEBITO")</f>
        <v/>
      </c>
      <c r="O17" s="11">
        <f>N17-SUM(J17:M17)</f>
        <v/>
      </c>
      <c r="P17" s="25">
        <f>SUMIFS(df_ajustes_conciliaco!D:D,df_ajustes_conciliaco!C:C,Conciliacao!A17)</f>
        <v/>
      </c>
      <c r="Q17" s="22">
        <f>O17+I17-P17</f>
        <v/>
      </c>
      <c r="BE17" s="20" t="n">
        <v>45673.5</v>
      </c>
      <c r="BF17" s="20" t="n">
        <v>45673.125</v>
      </c>
      <c r="BG17" s="20" t="n">
        <v>45673.54166666666</v>
      </c>
      <c r="BH17" s="20" t="n">
        <v>45673.625</v>
      </c>
    </row>
    <row r="18">
      <c r="A18" s="5">
        <f>A17+1</f>
        <v/>
      </c>
      <c r="B18" s="3">
        <f>-SUMIFS(df_extrato_zig!G:G,df_extrato_zig!E:E,Conciliacao!A18,df_extrato_zig!D:D,"Saque")-SUMIFS(df_extrato_zig!G:G,df_extrato_zig!E:E,Conciliacao!A18,df_extrato_zig!D:D,"Antecipação")</f>
        <v/>
      </c>
      <c r="C18" s="3">
        <f>SUMIFS(df_extrato_zig!E:E,df_extrato_zig!L:L,Conciliacao!A18,df_extrato_zig!F:F,"DINHEIRO")</f>
        <v/>
      </c>
      <c r="D18" s="3">
        <f>SUMIFS(view_parc_agrup!H:H,view_parc_agrup!G:G,Conciliacao!A18)</f>
        <v/>
      </c>
      <c r="E18" s="3">
        <f>SUMIFS(df_eventos!F:F,df_eventos!H:H,Conciliacao!A18)</f>
        <v/>
      </c>
      <c r="F18" s="3">
        <f>SUMIFS(df_mutuos!M:M,df_mutuos!B:B,Conciliacao!A18)</f>
        <v/>
      </c>
      <c r="G18" s="6">
        <f>SUMIFS(df_bloqueios_judiciais!G:G,df_bloqueios_judiciais!D:D,Conciliacao!A18,df_bloqueios_judiciais!G:G,"&gt;0")</f>
        <v/>
      </c>
      <c r="H18" s="7">
        <f>SUMIFS(df_extratos!I:I,df_extratos!F:F,Conciliacao!BE18,df_extratos!G:G,"CREDITO")+SUMIFS(df_extratos!I:I,df_extratos!F:F,Conciliacao!A18,df_extratos!G:G,"CREDITO")+SUMIFS(df_extratos!I:I,df_extratos!F:F,Conciliacao!BF18,df_extratos!G:G,"CREDITO")+SUMIFS(df_extratos!I:I,df_extratos!F:F,Conciliacao!BG18,df_extratos!G:G,"CREDITO")+SUMIFS(df_extratos!I:I,df_extratos!F:F,Conciliacao!BH18,df_extratos!G:G,"CREDITO")</f>
        <v/>
      </c>
      <c r="I18" s="9">
        <f>H18-SUM(B18:G18)</f>
        <v/>
      </c>
      <c r="J18" s="4">
        <f>SUMIFS(df_blueme_sem_parcelamento!E:E,df_blueme_sem_parcelamento!H:H,Conciliacao!A18)*(-1)</f>
        <v/>
      </c>
      <c r="K18" s="4">
        <f>SUMIFS(df_blueme_com_parcelamento!J:J,df_blueme_com_parcelamento!M:M,Conciliacao!A18)*(-1)</f>
        <v/>
      </c>
      <c r="L18" s="4">
        <f>SUMIFS(df_mutuos!N:N,df_mutuos!B:B,Conciliacao!A18)*(-1)</f>
        <v/>
      </c>
      <c r="M18" s="8">
        <f>SUMIFS(df_bloqueios_judiciais!E:E,df_bloqueios_judiciais!D:D,Conciliacao!A18,df_bloqueios_judiciais!E:E,"&lt;0")</f>
        <v/>
      </c>
      <c r="N18" s="10">
        <f>SUMIFS(df_extratos!I:I,df_extratos!F:F,Conciliacao!BE18,df_extratos!G:G,"DEBITO")+SUMIFS(df_extratos!I:I,df_extratos!F:F,Conciliacao!A18,df_extratos!G:G,"DEBITO")+SUMIFS(df_extratos!I:I,df_extratos!F:F,Conciliacao!BF18,df_extratos!G:G,"DEBITO")+SUMIFS(df_extratos!I:I,df_extratos!F:F,Conciliacao!BG18,df_extratos!G:G,"DEBITO")+SUMIFS(df_extratos!I:I,df_extratos!F:F,Conciliacao!BH18,df_extratos!G:G,"DEBITO")</f>
        <v/>
      </c>
      <c r="O18" s="11">
        <f>N18-SUM(J18:M18)</f>
        <v/>
      </c>
      <c r="P18" s="25">
        <f>SUMIFS(df_ajustes_conciliaco!D:D,df_ajustes_conciliaco!C:C,Conciliacao!A18)</f>
        <v/>
      </c>
      <c r="Q18" s="22">
        <f>O18+I18-P18</f>
        <v/>
      </c>
      <c r="BE18" s="20" t="n">
        <v>45674.5</v>
      </c>
      <c r="BF18" s="20" t="n">
        <v>45674.125</v>
      </c>
      <c r="BG18" s="20" t="n">
        <v>45674.54166666666</v>
      </c>
      <c r="BH18" s="20" t="n">
        <v>45674.625</v>
      </c>
    </row>
    <row r="19">
      <c r="A19" s="5">
        <f>A18+1</f>
        <v/>
      </c>
      <c r="B19" s="3">
        <f>-SUMIFS(df_extrato_zig!G:G,df_extrato_zig!E:E,Conciliacao!A19,df_extrato_zig!D:D,"Saque")-SUMIFS(df_extrato_zig!G:G,df_extrato_zig!E:E,Conciliacao!A19,df_extrato_zig!D:D,"Antecipação")</f>
        <v/>
      </c>
      <c r="C19" s="3">
        <f>SUMIFS(df_extrato_zig!E:E,df_extrato_zig!L:L,Conciliacao!A19,df_extrato_zig!F:F,"DINHEIRO")</f>
        <v/>
      </c>
      <c r="D19" s="3">
        <f>SUMIFS(view_parc_agrup!H:H,view_parc_agrup!G:G,Conciliacao!A19)</f>
        <v/>
      </c>
      <c r="E19" s="3">
        <f>SUMIFS(df_eventos!F:F,df_eventos!H:H,Conciliacao!A19)</f>
        <v/>
      </c>
      <c r="F19" s="3">
        <f>SUMIFS(df_mutuos!M:M,df_mutuos!B:B,Conciliacao!A19)</f>
        <v/>
      </c>
      <c r="G19" s="6">
        <f>SUMIFS(df_bloqueios_judiciais!G:G,df_bloqueios_judiciais!D:D,Conciliacao!A19,df_bloqueios_judiciais!G:G,"&gt;0")</f>
        <v/>
      </c>
      <c r="H19" s="7">
        <f>SUMIFS(df_extratos!I:I,df_extratos!F:F,Conciliacao!BE19,df_extratos!G:G,"CREDITO")+SUMIFS(df_extratos!I:I,df_extratos!F:F,Conciliacao!A19,df_extratos!G:G,"CREDITO")+SUMIFS(df_extratos!I:I,df_extratos!F:F,Conciliacao!BF19,df_extratos!G:G,"CREDITO")+SUMIFS(df_extratos!I:I,df_extratos!F:F,Conciliacao!BG19,df_extratos!G:G,"CREDITO")+SUMIFS(df_extratos!I:I,df_extratos!F:F,Conciliacao!BH19,df_extratos!G:G,"CREDITO")</f>
        <v/>
      </c>
      <c r="I19" s="9">
        <f>H19-SUM(B19:G19)</f>
        <v/>
      </c>
      <c r="J19" s="4">
        <f>SUMIFS(df_blueme_sem_parcelamento!E:E,df_blueme_sem_parcelamento!H:H,Conciliacao!A19)*(-1)</f>
        <v/>
      </c>
      <c r="K19" s="4">
        <f>SUMIFS(df_blueme_com_parcelamento!J:J,df_blueme_com_parcelamento!M:M,Conciliacao!A19)*(-1)</f>
        <v/>
      </c>
      <c r="L19" s="4">
        <f>SUMIFS(df_mutuos!N:N,df_mutuos!B:B,Conciliacao!A19)*(-1)</f>
        <v/>
      </c>
      <c r="M19" s="8">
        <f>SUMIFS(df_bloqueios_judiciais!E:E,df_bloqueios_judiciais!D:D,Conciliacao!A19,df_bloqueios_judiciais!E:E,"&lt;0")</f>
        <v/>
      </c>
      <c r="N19" s="10">
        <f>SUMIFS(df_extratos!I:I,df_extratos!F:F,Conciliacao!BE19,df_extratos!G:G,"DEBITO")+SUMIFS(df_extratos!I:I,df_extratos!F:F,Conciliacao!A19,df_extratos!G:G,"DEBITO")+SUMIFS(df_extratos!I:I,df_extratos!F:F,Conciliacao!BF19,df_extratos!G:G,"DEBITO")+SUMIFS(df_extratos!I:I,df_extratos!F:F,Conciliacao!BG19,df_extratos!G:G,"DEBITO")+SUMIFS(df_extratos!I:I,df_extratos!F:F,Conciliacao!BH19,df_extratos!G:G,"DEBITO")</f>
        <v/>
      </c>
      <c r="O19" s="11">
        <f>N19-SUM(J19:M19)</f>
        <v/>
      </c>
      <c r="P19" s="25">
        <f>SUMIFS(df_ajustes_conciliaco!D:D,df_ajustes_conciliaco!C:C,Conciliacao!A19)</f>
        <v/>
      </c>
      <c r="Q19" s="22">
        <f>O19+I19-P19</f>
        <v/>
      </c>
      <c r="BE19" s="20" t="n">
        <v>45675.5</v>
      </c>
      <c r="BF19" s="20" t="n">
        <v>45675.125</v>
      </c>
      <c r="BG19" s="20" t="n">
        <v>45675.54166666666</v>
      </c>
      <c r="BH19" s="20" t="n">
        <v>45675.625</v>
      </c>
    </row>
    <row r="20">
      <c r="A20" s="5">
        <f>A19+1</f>
        <v/>
      </c>
      <c r="B20" s="3">
        <f>-SUMIFS(df_extrato_zig!G:G,df_extrato_zig!E:E,Conciliacao!A20,df_extrato_zig!D:D,"Saque")-SUMIFS(df_extrato_zig!G:G,df_extrato_zig!E:E,Conciliacao!A20,df_extrato_zig!D:D,"Antecipação")</f>
        <v/>
      </c>
      <c r="C20" s="3">
        <f>SUMIFS(df_extrato_zig!E:E,df_extrato_zig!L:L,Conciliacao!A20,df_extrato_zig!F:F,"DINHEIRO")</f>
        <v/>
      </c>
      <c r="D20" s="3">
        <f>SUMIFS(view_parc_agrup!H:H,view_parc_agrup!G:G,Conciliacao!A20)</f>
        <v/>
      </c>
      <c r="E20" s="3">
        <f>SUMIFS(df_eventos!F:F,df_eventos!H:H,Conciliacao!A20)</f>
        <v/>
      </c>
      <c r="F20" s="3">
        <f>SUMIFS(df_mutuos!M:M,df_mutuos!B:B,Conciliacao!A20)</f>
        <v/>
      </c>
      <c r="G20" s="6">
        <f>SUMIFS(df_bloqueios_judiciais!G:G,df_bloqueios_judiciais!D:D,Conciliacao!A20,df_bloqueios_judiciais!G:G,"&gt;0")</f>
        <v/>
      </c>
      <c r="H20" s="7">
        <f>SUMIFS(df_extratos!I:I,df_extratos!F:F,Conciliacao!BE20,df_extratos!G:G,"CREDITO")+SUMIFS(df_extratos!I:I,df_extratos!F:F,Conciliacao!A20,df_extratos!G:G,"CREDITO")+SUMIFS(df_extratos!I:I,df_extratos!F:F,Conciliacao!BF20,df_extratos!G:G,"CREDITO")+SUMIFS(df_extratos!I:I,df_extratos!F:F,Conciliacao!BG20,df_extratos!G:G,"CREDITO")+SUMIFS(df_extratos!I:I,df_extratos!F:F,Conciliacao!BH20,df_extratos!G:G,"CREDITO")</f>
        <v/>
      </c>
      <c r="I20" s="9">
        <f>H20-SUM(B20:G20)</f>
        <v/>
      </c>
      <c r="J20" s="4">
        <f>SUMIFS(df_blueme_sem_parcelamento!E:E,df_blueme_sem_parcelamento!H:H,Conciliacao!A20)*(-1)</f>
        <v/>
      </c>
      <c r="K20" s="4">
        <f>SUMIFS(df_blueme_com_parcelamento!J:J,df_blueme_com_parcelamento!M:M,Conciliacao!A20)*(-1)</f>
        <v/>
      </c>
      <c r="L20" s="4">
        <f>SUMIFS(df_mutuos!N:N,df_mutuos!B:B,Conciliacao!A20)*(-1)</f>
        <v/>
      </c>
      <c r="M20" s="8">
        <f>SUMIFS(df_bloqueios_judiciais!E:E,df_bloqueios_judiciais!D:D,Conciliacao!A20,df_bloqueios_judiciais!E:E,"&lt;0")</f>
        <v/>
      </c>
      <c r="N20" s="10">
        <f>SUMIFS(df_extratos!I:I,df_extratos!F:F,Conciliacao!BE20,df_extratos!G:G,"DEBITO")+SUMIFS(df_extratos!I:I,df_extratos!F:F,Conciliacao!A20,df_extratos!G:G,"DEBITO")+SUMIFS(df_extratos!I:I,df_extratos!F:F,Conciliacao!BF20,df_extratos!G:G,"DEBITO")+SUMIFS(df_extratos!I:I,df_extratos!F:F,Conciliacao!BG20,df_extratos!G:G,"DEBITO")+SUMIFS(df_extratos!I:I,df_extratos!F:F,Conciliacao!BH20,df_extratos!G:G,"DEBITO")</f>
        <v/>
      </c>
      <c r="O20" s="11">
        <f>N20-SUM(J20:M20)</f>
        <v/>
      </c>
      <c r="P20" s="25">
        <f>SUMIFS(df_ajustes_conciliaco!D:D,df_ajustes_conciliaco!C:C,Conciliacao!A20)</f>
        <v/>
      </c>
      <c r="Q20" s="22">
        <f>O20+I20-P20</f>
        <v/>
      </c>
      <c r="BE20" s="20" t="n">
        <v>45676.5</v>
      </c>
      <c r="BF20" s="20" t="n">
        <v>45676.125</v>
      </c>
      <c r="BG20" s="20" t="n">
        <v>45676.54166666666</v>
      </c>
      <c r="BH20" s="20" t="n">
        <v>45676.625</v>
      </c>
    </row>
    <row r="21">
      <c r="A21" s="5">
        <f>A20+1</f>
        <v/>
      </c>
      <c r="B21" s="3">
        <f>-SUMIFS(df_extrato_zig!G:G,df_extrato_zig!E:E,Conciliacao!A21,df_extrato_zig!D:D,"Saque")-SUMIFS(df_extrato_zig!G:G,df_extrato_zig!E:E,Conciliacao!A21,df_extrato_zig!D:D,"Antecipação")</f>
        <v/>
      </c>
      <c r="C21" s="3">
        <f>SUMIFS(df_extrato_zig!E:E,df_extrato_zig!L:L,Conciliacao!A21,df_extrato_zig!F:F,"DINHEIRO")</f>
        <v/>
      </c>
      <c r="D21" s="3">
        <f>SUMIFS(view_parc_agrup!H:H,view_parc_agrup!G:G,Conciliacao!A21)</f>
        <v/>
      </c>
      <c r="E21" s="3">
        <f>SUMIFS(df_eventos!F:F,df_eventos!H:H,Conciliacao!A21)</f>
        <v/>
      </c>
      <c r="F21" s="3">
        <f>SUMIFS(df_mutuos!M:M,df_mutuos!B:B,Conciliacao!A21)</f>
        <v/>
      </c>
      <c r="G21" s="6">
        <f>SUMIFS(df_bloqueios_judiciais!G:G,df_bloqueios_judiciais!D:D,Conciliacao!A21,df_bloqueios_judiciais!G:G,"&gt;0")</f>
        <v/>
      </c>
      <c r="H21" s="7">
        <f>SUMIFS(df_extratos!I:I,df_extratos!F:F,Conciliacao!BE21,df_extratos!G:G,"CREDITO")+SUMIFS(df_extratos!I:I,df_extratos!F:F,Conciliacao!A21,df_extratos!G:G,"CREDITO")+SUMIFS(df_extratos!I:I,df_extratos!F:F,Conciliacao!BF21,df_extratos!G:G,"CREDITO")+SUMIFS(df_extratos!I:I,df_extratos!F:F,Conciliacao!BG21,df_extratos!G:G,"CREDITO")+SUMIFS(df_extratos!I:I,df_extratos!F:F,Conciliacao!BH21,df_extratos!G:G,"CREDITO")</f>
        <v/>
      </c>
      <c r="I21" s="9">
        <f>H21-SUM(B21:G21)</f>
        <v/>
      </c>
      <c r="J21" s="4">
        <f>SUMIFS(df_blueme_sem_parcelamento!E:E,df_blueme_sem_parcelamento!H:H,Conciliacao!A21)*(-1)</f>
        <v/>
      </c>
      <c r="K21" s="4">
        <f>SUMIFS(df_blueme_com_parcelamento!J:J,df_blueme_com_parcelamento!M:M,Conciliacao!A21)*(-1)</f>
        <v/>
      </c>
      <c r="L21" s="4">
        <f>SUMIFS(df_mutuos!N:N,df_mutuos!B:B,Conciliacao!A21)*(-1)</f>
        <v/>
      </c>
      <c r="M21" s="8">
        <f>SUMIFS(df_bloqueios_judiciais!E:E,df_bloqueios_judiciais!D:D,Conciliacao!A21,df_bloqueios_judiciais!E:E,"&lt;0")</f>
        <v/>
      </c>
      <c r="N21" s="10">
        <f>SUMIFS(df_extratos!I:I,df_extratos!F:F,Conciliacao!BE21,df_extratos!G:G,"DEBITO")+SUMIFS(df_extratos!I:I,df_extratos!F:F,Conciliacao!A21,df_extratos!G:G,"DEBITO")+SUMIFS(df_extratos!I:I,df_extratos!F:F,Conciliacao!BF21,df_extratos!G:G,"DEBITO")+SUMIFS(df_extratos!I:I,df_extratos!F:F,Conciliacao!BG21,df_extratos!G:G,"DEBITO")+SUMIFS(df_extratos!I:I,df_extratos!F:F,Conciliacao!BH21,df_extratos!G:G,"DEBITO")</f>
        <v/>
      </c>
      <c r="O21" s="11">
        <f>N21-SUM(J21:M21)</f>
        <v/>
      </c>
      <c r="P21" s="25">
        <f>SUMIFS(df_ajustes_conciliaco!D:D,df_ajustes_conciliaco!C:C,Conciliacao!A21)</f>
        <v/>
      </c>
      <c r="Q21" s="22">
        <f>O21+I21-P21</f>
        <v/>
      </c>
      <c r="BE21" s="20" t="n">
        <v>45677.5</v>
      </c>
      <c r="BF21" s="20" t="n">
        <v>45677.125</v>
      </c>
      <c r="BG21" s="20" t="n">
        <v>45677.54166666666</v>
      </c>
      <c r="BH21" s="20" t="n">
        <v>45677.625</v>
      </c>
    </row>
    <row r="22">
      <c r="A22" s="5">
        <f>A21+1</f>
        <v/>
      </c>
      <c r="B22" s="3">
        <f>-SUMIFS(df_extrato_zig!G:G,df_extrato_zig!E:E,Conciliacao!A22,df_extrato_zig!D:D,"Saque")-SUMIFS(df_extrato_zig!G:G,df_extrato_zig!E:E,Conciliacao!A22,df_extrato_zig!D:D,"Antecipação")</f>
        <v/>
      </c>
      <c r="C22" s="3">
        <f>SUMIFS(df_extrato_zig!E:E,df_extrato_zig!L:L,Conciliacao!A22,df_extrato_zig!F:F,"DINHEIRO")</f>
        <v/>
      </c>
      <c r="D22" s="3">
        <f>SUMIFS(view_parc_agrup!H:H,view_parc_agrup!G:G,Conciliacao!A22)</f>
        <v/>
      </c>
      <c r="E22" s="3">
        <f>SUMIFS(df_eventos!F:F,df_eventos!H:H,Conciliacao!A22)</f>
        <v/>
      </c>
      <c r="F22" s="3">
        <f>SUMIFS(df_mutuos!M:M,df_mutuos!B:B,Conciliacao!A22)</f>
        <v/>
      </c>
      <c r="G22" s="6">
        <f>SUMIFS(df_bloqueios_judiciais!G:G,df_bloqueios_judiciais!D:D,Conciliacao!A22,df_bloqueios_judiciais!G:G,"&gt;0")</f>
        <v/>
      </c>
      <c r="H22" s="7">
        <f>SUMIFS(df_extratos!I:I,df_extratos!F:F,Conciliacao!BE22,df_extratos!G:G,"CREDITO")+SUMIFS(df_extratos!I:I,df_extratos!F:F,Conciliacao!A22,df_extratos!G:G,"CREDITO")+SUMIFS(df_extratos!I:I,df_extratos!F:F,Conciliacao!BF22,df_extratos!G:G,"CREDITO")+SUMIFS(df_extratos!I:I,df_extratos!F:F,Conciliacao!BG22,df_extratos!G:G,"CREDITO")+SUMIFS(df_extratos!I:I,df_extratos!F:F,Conciliacao!BH22,df_extratos!G:G,"CREDITO")</f>
        <v/>
      </c>
      <c r="I22" s="9">
        <f>H22-SUM(B22:G22)</f>
        <v/>
      </c>
      <c r="J22" s="4">
        <f>SUMIFS(df_blueme_sem_parcelamento!E:E,df_blueme_sem_parcelamento!H:H,Conciliacao!A22)*(-1)</f>
        <v/>
      </c>
      <c r="K22" s="4">
        <f>SUMIFS(df_blueme_com_parcelamento!J:J,df_blueme_com_parcelamento!M:M,Conciliacao!A22)*(-1)</f>
        <v/>
      </c>
      <c r="L22" s="4">
        <f>SUMIFS(df_mutuos!N:N,df_mutuos!B:B,Conciliacao!A22)*(-1)</f>
        <v/>
      </c>
      <c r="M22" s="8">
        <f>SUMIFS(df_bloqueios_judiciais!E:E,df_bloqueios_judiciais!D:D,Conciliacao!A22,df_bloqueios_judiciais!E:E,"&lt;0")</f>
        <v/>
      </c>
      <c r="N22" s="10">
        <f>SUMIFS(df_extratos!I:I,df_extratos!F:F,Conciliacao!BE22,df_extratos!G:G,"DEBITO")+SUMIFS(df_extratos!I:I,df_extratos!F:F,Conciliacao!A22,df_extratos!G:G,"DEBITO")+SUMIFS(df_extratos!I:I,df_extratos!F:F,Conciliacao!BF22,df_extratos!G:G,"DEBITO")+SUMIFS(df_extratos!I:I,df_extratos!F:F,Conciliacao!BG22,df_extratos!G:G,"DEBITO")+SUMIFS(df_extratos!I:I,df_extratos!F:F,Conciliacao!BH22,df_extratos!G:G,"DEBITO")</f>
        <v/>
      </c>
      <c r="O22" s="11">
        <f>N22-SUM(J22:M22)</f>
        <v/>
      </c>
      <c r="P22" s="25">
        <f>SUMIFS(df_ajustes_conciliaco!D:D,df_ajustes_conciliaco!C:C,Conciliacao!A22)</f>
        <v/>
      </c>
      <c r="Q22" s="22">
        <f>O22+I22-P22</f>
        <v/>
      </c>
      <c r="BE22" s="20" t="n">
        <v>45678.5</v>
      </c>
      <c r="BF22" s="20" t="n">
        <v>45678.125</v>
      </c>
      <c r="BG22" s="20" t="n">
        <v>45678.54166666666</v>
      </c>
      <c r="BH22" s="20" t="n">
        <v>45678.625</v>
      </c>
    </row>
    <row r="23">
      <c r="A23" s="5">
        <f>A22+1</f>
        <v/>
      </c>
      <c r="B23" s="3">
        <f>-SUMIFS(df_extrato_zig!G:G,df_extrato_zig!E:E,Conciliacao!A23,df_extrato_zig!D:D,"Saque")-SUMIFS(df_extrato_zig!G:G,df_extrato_zig!E:E,Conciliacao!A23,df_extrato_zig!D:D,"Antecipação")</f>
        <v/>
      </c>
      <c r="C23" s="3">
        <f>SUMIFS(df_extrato_zig!E:E,df_extrato_zig!L:L,Conciliacao!A23,df_extrato_zig!F:F,"DINHEIRO")</f>
        <v/>
      </c>
      <c r="D23" s="3">
        <f>SUMIFS(view_parc_agrup!H:H,view_parc_agrup!G:G,Conciliacao!A23)</f>
        <v/>
      </c>
      <c r="E23" s="3">
        <f>SUMIFS(df_eventos!F:F,df_eventos!H:H,Conciliacao!A23)</f>
        <v/>
      </c>
      <c r="F23" s="3">
        <f>SUMIFS(df_mutuos!M:M,df_mutuos!B:B,Conciliacao!A23)</f>
        <v/>
      </c>
      <c r="G23" s="6">
        <f>SUMIFS(df_bloqueios_judiciais!G:G,df_bloqueios_judiciais!D:D,Conciliacao!A23,df_bloqueios_judiciais!G:G,"&gt;0")</f>
        <v/>
      </c>
      <c r="H23" s="7">
        <f>SUMIFS(df_extratos!I:I,df_extratos!F:F,Conciliacao!BE23,df_extratos!G:G,"CREDITO")+SUMIFS(df_extratos!I:I,df_extratos!F:F,Conciliacao!A23,df_extratos!G:G,"CREDITO")+SUMIFS(df_extratos!I:I,df_extratos!F:F,Conciliacao!BF23,df_extratos!G:G,"CREDITO")+SUMIFS(df_extratos!I:I,df_extratos!F:F,Conciliacao!BG23,df_extratos!G:G,"CREDITO")+SUMIFS(df_extratos!I:I,df_extratos!F:F,Conciliacao!BH23,df_extratos!G:G,"CREDITO")</f>
        <v/>
      </c>
      <c r="I23" s="9">
        <f>H23-SUM(B23:G23)</f>
        <v/>
      </c>
      <c r="J23" s="4">
        <f>SUMIFS(df_blueme_sem_parcelamento!E:E,df_blueme_sem_parcelamento!H:H,Conciliacao!A23)*(-1)</f>
        <v/>
      </c>
      <c r="K23" s="4">
        <f>SUMIFS(df_blueme_com_parcelamento!J:J,df_blueme_com_parcelamento!M:M,Conciliacao!A23)*(-1)</f>
        <v/>
      </c>
      <c r="L23" s="4">
        <f>SUMIFS(df_mutuos!N:N,df_mutuos!B:B,Conciliacao!A23)*(-1)</f>
        <v/>
      </c>
      <c r="M23" s="8">
        <f>SUMIFS(df_bloqueios_judiciais!E:E,df_bloqueios_judiciais!D:D,Conciliacao!A23,df_bloqueios_judiciais!E:E,"&lt;0")</f>
        <v/>
      </c>
      <c r="N23" s="10">
        <f>SUMIFS(df_extratos!I:I,df_extratos!F:F,Conciliacao!BE23,df_extratos!G:G,"DEBITO")+SUMIFS(df_extratos!I:I,df_extratos!F:F,Conciliacao!A23,df_extratos!G:G,"DEBITO")+SUMIFS(df_extratos!I:I,df_extratos!F:F,Conciliacao!BF23,df_extratos!G:G,"DEBITO")+SUMIFS(df_extratos!I:I,df_extratos!F:F,Conciliacao!BG23,df_extratos!G:G,"DEBITO")+SUMIFS(df_extratos!I:I,df_extratos!F:F,Conciliacao!BH23,df_extratos!G:G,"DEBITO")</f>
        <v/>
      </c>
      <c r="O23" s="11">
        <f>N23-SUM(J23:M23)</f>
        <v/>
      </c>
      <c r="P23" s="25">
        <f>SUMIFS(df_ajustes_conciliaco!D:D,df_ajustes_conciliaco!C:C,Conciliacao!A23)</f>
        <v/>
      </c>
      <c r="Q23" s="22">
        <f>O23+I23-P23</f>
        <v/>
      </c>
      <c r="BE23" s="20" t="n">
        <v>45679.5</v>
      </c>
      <c r="BF23" s="20" t="n">
        <v>45679.125</v>
      </c>
      <c r="BG23" s="20" t="n">
        <v>45679.54166666666</v>
      </c>
      <c r="BH23" s="20" t="n">
        <v>45679.625</v>
      </c>
    </row>
    <row r="24">
      <c r="A24" s="5">
        <f>A23+1</f>
        <v/>
      </c>
      <c r="B24" s="3">
        <f>-SUMIFS(df_extrato_zig!G:G,df_extrato_zig!E:E,Conciliacao!A24,df_extrato_zig!D:D,"Saque")-SUMIFS(df_extrato_zig!G:G,df_extrato_zig!E:E,Conciliacao!A24,df_extrato_zig!D:D,"Antecipação")</f>
        <v/>
      </c>
      <c r="C24" s="3">
        <f>SUMIFS(df_extrato_zig!E:E,df_extrato_zig!L:L,Conciliacao!A24,df_extrato_zig!F:F,"DINHEIRO")</f>
        <v/>
      </c>
      <c r="D24" s="3">
        <f>SUMIFS(view_parc_agrup!H:H,view_parc_agrup!G:G,Conciliacao!A24)</f>
        <v/>
      </c>
      <c r="E24" s="3">
        <f>SUMIFS(df_eventos!F:F,df_eventos!H:H,Conciliacao!A24)</f>
        <v/>
      </c>
      <c r="F24" s="3">
        <f>SUMIFS(df_mutuos!M:M,df_mutuos!B:B,Conciliacao!A24)</f>
        <v/>
      </c>
      <c r="G24" s="6">
        <f>SUMIFS(df_bloqueios_judiciais!G:G,df_bloqueios_judiciais!D:D,Conciliacao!A24,df_bloqueios_judiciais!G:G,"&gt;0")</f>
        <v/>
      </c>
      <c r="H24" s="7">
        <f>SUMIFS(df_extratos!I:I,df_extratos!F:F,Conciliacao!BE24,df_extratos!G:G,"CREDITO")+SUMIFS(df_extratos!I:I,df_extratos!F:F,Conciliacao!A24,df_extratos!G:G,"CREDITO")+SUMIFS(df_extratos!I:I,df_extratos!F:F,Conciliacao!BF24,df_extratos!G:G,"CREDITO")+SUMIFS(df_extratos!I:I,df_extratos!F:F,Conciliacao!BG24,df_extratos!G:G,"CREDITO")+SUMIFS(df_extratos!I:I,df_extratos!F:F,Conciliacao!BH24,df_extratos!G:G,"CREDITO")</f>
        <v/>
      </c>
      <c r="I24" s="9">
        <f>H24-SUM(B24:G24)</f>
        <v/>
      </c>
      <c r="J24" s="4">
        <f>SUMIFS(df_blueme_sem_parcelamento!E:E,df_blueme_sem_parcelamento!H:H,Conciliacao!A24)*(-1)</f>
        <v/>
      </c>
      <c r="K24" s="4">
        <f>SUMIFS(df_blueme_com_parcelamento!J:J,df_blueme_com_parcelamento!M:M,Conciliacao!A24)*(-1)</f>
        <v/>
      </c>
      <c r="L24" s="4">
        <f>SUMIFS(df_mutuos!N:N,df_mutuos!B:B,Conciliacao!A24)*(-1)</f>
        <v/>
      </c>
      <c r="M24" s="8">
        <f>SUMIFS(df_bloqueios_judiciais!E:E,df_bloqueios_judiciais!D:D,Conciliacao!A24,df_bloqueios_judiciais!E:E,"&lt;0")</f>
        <v/>
      </c>
      <c r="N24" s="10">
        <f>SUMIFS(df_extratos!I:I,df_extratos!F:F,Conciliacao!BE24,df_extratos!G:G,"DEBITO")+SUMIFS(df_extratos!I:I,df_extratos!F:F,Conciliacao!A24,df_extratos!G:G,"DEBITO")+SUMIFS(df_extratos!I:I,df_extratos!F:F,Conciliacao!BF24,df_extratos!G:G,"DEBITO")+SUMIFS(df_extratos!I:I,df_extratos!F:F,Conciliacao!BG24,df_extratos!G:G,"DEBITO")+SUMIFS(df_extratos!I:I,df_extratos!F:F,Conciliacao!BH24,df_extratos!G:G,"DEBITO")</f>
        <v/>
      </c>
      <c r="O24" s="11">
        <f>N24-SUM(J24:M24)</f>
        <v/>
      </c>
      <c r="P24" s="25">
        <f>SUMIFS(df_ajustes_conciliaco!D:D,df_ajustes_conciliaco!C:C,Conciliacao!A24)</f>
        <v/>
      </c>
      <c r="Q24" s="22">
        <f>O24+I24-P24</f>
        <v/>
      </c>
      <c r="BE24" s="20" t="n">
        <v>45680.5</v>
      </c>
      <c r="BF24" s="20" t="n">
        <v>45680.125</v>
      </c>
      <c r="BG24" s="20" t="n">
        <v>45680.54166666666</v>
      </c>
      <c r="BH24" s="20" t="n">
        <v>45680.625</v>
      </c>
    </row>
    <row r="25">
      <c r="A25" s="5">
        <f>A24+1</f>
        <v/>
      </c>
      <c r="B25" s="3">
        <f>-SUMIFS(df_extrato_zig!G:G,df_extrato_zig!E:E,Conciliacao!A25,df_extrato_zig!D:D,"Saque")-SUMIFS(df_extrato_zig!G:G,df_extrato_zig!E:E,Conciliacao!A25,df_extrato_zig!D:D,"Antecipação")</f>
        <v/>
      </c>
      <c r="C25" s="3">
        <f>SUMIFS(df_extrato_zig!E:E,df_extrato_zig!L:L,Conciliacao!A25,df_extrato_zig!F:F,"DINHEIRO")</f>
        <v/>
      </c>
      <c r="D25" s="3">
        <f>SUMIFS(view_parc_agrup!H:H,view_parc_agrup!G:G,Conciliacao!A25)</f>
        <v/>
      </c>
      <c r="E25" s="3">
        <f>SUMIFS(df_eventos!F:F,df_eventos!H:H,Conciliacao!A25)</f>
        <v/>
      </c>
      <c r="F25" s="3">
        <f>SUMIFS(df_mutuos!M:M,df_mutuos!B:B,Conciliacao!A25)</f>
        <v/>
      </c>
      <c r="G25" s="6">
        <f>SUMIFS(df_bloqueios_judiciais!G:G,df_bloqueios_judiciais!D:D,Conciliacao!A25,df_bloqueios_judiciais!G:G,"&gt;0")</f>
        <v/>
      </c>
      <c r="H25" s="7">
        <f>SUMIFS(df_extratos!I:I,df_extratos!F:F,Conciliacao!BE25,df_extratos!G:G,"CREDITO")+SUMIFS(df_extratos!I:I,df_extratos!F:F,Conciliacao!A25,df_extratos!G:G,"CREDITO")+SUMIFS(df_extratos!I:I,df_extratos!F:F,Conciliacao!BF25,df_extratos!G:G,"CREDITO")+SUMIFS(df_extratos!I:I,df_extratos!F:F,Conciliacao!BG25,df_extratos!G:G,"CREDITO")+SUMIFS(df_extratos!I:I,df_extratos!F:F,Conciliacao!BH25,df_extratos!G:G,"CREDITO")</f>
        <v/>
      </c>
      <c r="I25" s="9">
        <f>H25-SUM(B25:G25)</f>
        <v/>
      </c>
      <c r="J25" s="4">
        <f>SUMIFS(df_blueme_sem_parcelamento!E:E,df_blueme_sem_parcelamento!H:H,Conciliacao!A25)*(-1)</f>
        <v/>
      </c>
      <c r="K25" s="4">
        <f>SUMIFS(df_blueme_com_parcelamento!J:J,df_blueme_com_parcelamento!M:M,Conciliacao!A25)*(-1)</f>
        <v/>
      </c>
      <c r="L25" s="4">
        <f>SUMIFS(df_mutuos!N:N,df_mutuos!B:B,Conciliacao!A25)*(-1)</f>
        <v/>
      </c>
      <c r="M25" s="8">
        <f>SUMIFS(df_bloqueios_judiciais!E:E,df_bloqueios_judiciais!D:D,Conciliacao!A25,df_bloqueios_judiciais!E:E,"&lt;0")</f>
        <v/>
      </c>
      <c r="N25" s="10">
        <f>SUMIFS(df_extratos!I:I,df_extratos!F:F,Conciliacao!BE25,df_extratos!G:G,"DEBITO")+SUMIFS(df_extratos!I:I,df_extratos!F:F,Conciliacao!A25,df_extratos!G:G,"DEBITO")+SUMIFS(df_extratos!I:I,df_extratos!F:F,Conciliacao!BF25,df_extratos!G:G,"DEBITO")+SUMIFS(df_extratos!I:I,df_extratos!F:F,Conciliacao!BG25,df_extratos!G:G,"DEBITO")+SUMIFS(df_extratos!I:I,df_extratos!F:F,Conciliacao!BH25,df_extratos!G:G,"DEBITO")</f>
        <v/>
      </c>
      <c r="O25" s="11">
        <f>N25-SUM(J25:M25)</f>
        <v/>
      </c>
      <c r="P25" s="25">
        <f>SUMIFS(df_ajustes_conciliaco!D:D,df_ajustes_conciliaco!C:C,Conciliacao!A25)</f>
        <v/>
      </c>
      <c r="Q25" s="22">
        <f>O25+I25-P25</f>
        <v/>
      </c>
      <c r="BE25" s="20" t="n">
        <v>45681.5</v>
      </c>
      <c r="BF25" s="20" t="n">
        <v>45681.125</v>
      </c>
      <c r="BG25" s="20" t="n">
        <v>45681.54166666666</v>
      </c>
      <c r="BH25" s="20" t="n">
        <v>45681.625</v>
      </c>
    </row>
    <row r="26">
      <c r="A26" s="5">
        <f>A25+1</f>
        <v/>
      </c>
      <c r="B26" s="3">
        <f>-SUMIFS(df_extrato_zig!G:G,df_extrato_zig!E:E,Conciliacao!A26,df_extrato_zig!D:D,"Saque")-SUMIFS(df_extrato_zig!G:G,df_extrato_zig!E:E,Conciliacao!A26,df_extrato_zig!D:D,"Antecipação")</f>
        <v/>
      </c>
      <c r="C26" s="3">
        <f>SUMIFS(df_extrato_zig!E:E,df_extrato_zig!L:L,Conciliacao!A26,df_extrato_zig!F:F,"DINHEIRO")</f>
        <v/>
      </c>
      <c r="D26" s="3">
        <f>SUMIFS(view_parc_agrup!H:H,view_parc_agrup!G:G,Conciliacao!A26)</f>
        <v/>
      </c>
      <c r="E26" s="3">
        <f>SUMIFS(df_eventos!F:F,df_eventos!H:H,Conciliacao!A26)</f>
        <v/>
      </c>
      <c r="F26" s="3">
        <f>SUMIFS(df_mutuos!M:M,df_mutuos!B:B,Conciliacao!A26)</f>
        <v/>
      </c>
      <c r="G26" s="6">
        <f>SUMIFS(df_bloqueios_judiciais!G:G,df_bloqueios_judiciais!D:D,Conciliacao!A26,df_bloqueios_judiciais!G:G,"&gt;0")</f>
        <v/>
      </c>
      <c r="H26" s="7">
        <f>SUMIFS(df_extratos!I:I,df_extratos!F:F,Conciliacao!BE26,df_extratos!G:G,"CREDITO")+SUMIFS(df_extratos!I:I,df_extratos!F:F,Conciliacao!A26,df_extratos!G:G,"CREDITO")+SUMIFS(df_extratos!I:I,df_extratos!F:F,Conciliacao!BF26,df_extratos!G:G,"CREDITO")+SUMIFS(df_extratos!I:I,df_extratos!F:F,Conciliacao!BG26,df_extratos!G:G,"CREDITO")+SUMIFS(df_extratos!I:I,df_extratos!F:F,Conciliacao!BH26,df_extratos!G:G,"CREDITO")</f>
        <v/>
      </c>
      <c r="I26" s="9">
        <f>H26-SUM(B26:G26)</f>
        <v/>
      </c>
      <c r="J26" s="4">
        <f>SUMIFS(df_blueme_sem_parcelamento!E:E,df_blueme_sem_parcelamento!H:H,Conciliacao!A26)*(-1)</f>
        <v/>
      </c>
      <c r="K26" s="4">
        <f>SUMIFS(df_blueme_com_parcelamento!J:J,df_blueme_com_parcelamento!M:M,Conciliacao!A26)*(-1)</f>
        <v/>
      </c>
      <c r="L26" s="4">
        <f>SUMIFS(df_mutuos!N:N,df_mutuos!B:B,Conciliacao!A26)*(-1)</f>
        <v/>
      </c>
      <c r="M26" s="8">
        <f>SUMIFS(df_bloqueios_judiciais!E:E,df_bloqueios_judiciais!D:D,Conciliacao!A26,df_bloqueios_judiciais!E:E,"&lt;0")</f>
        <v/>
      </c>
      <c r="N26" s="10">
        <f>SUMIFS(df_extratos!I:I,df_extratos!F:F,Conciliacao!BE26,df_extratos!G:G,"DEBITO")+SUMIFS(df_extratos!I:I,df_extratos!F:F,Conciliacao!A26,df_extratos!G:G,"DEBITO")+SUMIFS(df_extratos!I:I,df_extratos!F:F,Conciliacao!BF26,df_extratos!G:G,"DEBITO")+SUMIFS(df_extratos!I:I,df_extratos!F:F,Conciliacao!BG26,df_extratos!G:G,"DEBITO")+SUMIFS(df_extratos!I:I,df_extratos!F:F,Conciliacao!BH26,df_extratos!G:G,"DEBITO")</f>
        <v/>
      </c>
      <c r="O26" s="11">
        <f>N26-SUM(J26:M26)</f>
        <v/>
      </c>
      <c r="P26" s="25">
        <f>SUMIFS(df_ajustes_conciliaco!D:D,df_ajustes_conciliaco!C:C,Conciliacao!A26)</f>
        <v/>
      </c>
      <c r="Q26" s="22">
        <f>O26+I26-P26</f>
        <v/>
      </c>
      <c r="BE26" s="20" t="n">
        <v>45682.5</v>
      </c>
      <c r="BF26" s="20" t="n">
        <v>45682.125</v>
      </c>
      <c r="BG26" s="20" t="n">
        <v>45682.54166666666</v>
      </c>
      <c r="BH26" s="20" t="n">
        <v>45682.625</v>
      </c>
    </row>
    <row r="27">
      <c r="A27" s="5">
        <f>A26+1</f>
        <v/>
      </c>
      <c r="B27" s="3">
        <f>-SUMIFS(df_extrato_zig!G:G,df_extrato_zig!E:E,Conciliacao!A27,df_extrato_zig!D:D,"Saque")-SUMIFS(df_extrato_zig!G:G,df_extrato_zig!E:E,Conciliacao!A27,df_extrato_zig!D:D,"Antecipação")</f>
        <v/>
      </c>
      <c r="C27" s="3">
        <f>SUMIFS(df_extrato_zig!E:E,df_extrato_zig!L:L,Conciliacao!A27,df_extrato_zig!F:F,"DINHEIRO")</f>
        <v/>
      </c>
      <c r="D27" s="3">
        <f>SUMIFS(view_parc_agrup!H:H,view_parc_agrup!G:G,Conciliacao!A27)</f>
        <v/>
      </c>
      <c r="E27" s="3">
        <f>SUMIFS(df_eventos!F:F,df_eventos!H:H,Conciliacao!A27)</f>
        <v/>
      </c>
      <c r="F27" s="3">
        <f>SUMIFS(df_mutuos!M:M,df_mutuos!B:B,Conciliacao!A27)</f>
        <v/>
      </c>
      <c r="G27" s="6">
        <f>SUMIFS(df_bloqueios_judiciais!G:G,df_bloqueios_judiciais!D:D,Conciliacao!A27,df_bloqueios_judiciais!G:G,"&gt;0")</f>
        <v/>
      </c>
      <c r="H27" s="7">
        <f>SUMIFS(df_extratos!I:I,df_extratos!F:F,Conciliacao!BE27,df_extratos!G:G,"CREDITO")+SUMIFS(df_extratos!I:I,df_extratos!F:F,Conciliacao!A27,df_extratos!G:G,"CREDITO")+SUMIFS(df_extratos!I:I,df_extratos!F:F,Conciliacao!BF27,df_extratos!G:G,"CREDITO")+SUMIFS(df_extratos!I:I,df_extratos!F:F,Conciliacao!BG27,df_extratos!G:G,"CREDITO")+SUMIFS(df_extratos!I:I,df_extratos!F:F,Conciliacao!BH27,df_extratos!G:G,"CREDITO")</f>
        <v/>
      </c>
      <c r="I27" s="9">
        <f>H27-SUM(B27:G27)</f>
        <v/>
      </c>
      <c r="J27" s="4">
        <f>SUMIFS(df_blueme_sem_parcelamento!E:E,df_blueme_sem_parcelamento!H:H,Conciliacao!A27)*(-1)</f>
        <v/>
      </c>
      <c r="K27" s="4">
        <f>SUMIFS(df_blueme_com_parcelamento!J:J,df_blueme_com_parcelamento!M:M,Conciliacao!A27)*(-1)</f>
        <v/>
      </c>
      <c r="L27" s="4">
        <f>SUMIFS(df_mutuos!N:N,df_mutuos!B:B,Conciliacao!A27)*(-1)</f>
        <v/>
      </c>
      <c r="M27" s="8">
        <f>SUMIFS(df_bloqueios_judiciais!E:E,df_bloqueios_judiciais!D:D,Conciliacao!A27,df_bloqueios_judiciais!E:E,"&lt;0")</f>
        <v/>
      </c>
      <c r="N27" s="10">
        <f>SUMIFS(df_extratos!I:I,df_extratos!F:F,Conciliacao!BE27,df_extratos!G:G,"DEBITO")+SUMIFS(df_extratos!I:I,df_extratos!F:F,Conciliacao!A27,df_extratos!G:G,"DEBITO")+SUMIFS(df_extratos!I:I,df_extratos!F:F,Conciliacao!BF27,df_extratos!G:G,"DEBITO")+SUMIFS(df_extratos!I:I,df_extratos!F:F,Conciliacao!BG27,df_extratos!G:G,"DEBITO")+SUMIFS(df_extratos!I:I,df_extratos!F:F,Conciliacao!BH27,df_extratos!G:G,"DEBITO")</f>
        <v/>
      </c>
      <c r="O27" s="11">
        <f>N27-SUM(J27:M27)</f>
        <v/>
      </c>
      <c r="P27" s="25">
        <f>SUMIFS(df_ajustes_conciliaco!D:D,df_ajustes_conciliaco!C:C,Conciliacao!A27)</f>
        <v/>
      </c>
      <c r="Q27" s="22">
        <f>O27+I27-P27</f>
        <v/>
      </c>
      <c r="BE27" s="20" t="n">
        <v>45683.5</v>
      </c>
      <c r="BF27" s="20" t="n">
        <v>45683.125</v>
      </c>
      <c r="BG27" s="20" t="n">
        <v>45683.54166666666</v>
      </c>
      <c r="BH27" s="20" t="n">
        <v>45683.625</v>
      </c>
    </row>
    <row r="28">
      <c r="A28" s="5">
        <f>A27+1</f>
        <v/>
      </c>
      <c r="B28" s="3">
        <f>-SUMIFS(df_extrato_zig!G:G,df_extrato_zig!E:E,Conciliacao!A28,df_extrato_zig!D:D,"Saque")-SUMIFS(df_extrato_zig!G:G,df_extrato_zig!E:E,Conciliacao!A28,df_extrato_zig!D:D,"Antecipação")</f>
        <v/>
      </c>
      <c r="C28" s="3">
        <f>SUMIFS(df_extrato_zig!E:E,df_extrato_zig!L:L,Conciliacao!A28,df_extrato_zig!F:F,"DINHEIRO")</f>
        <v/>
      </c>
      <c r="D28" s="3">
        <f>SUMIFS(view_parc_agrup!H:H,view_parc_agrup!G:G,Conciliacao!A28)</f>
        <v/>
      </c>
      <c r="E28" s="3">
        <f>SUMIFS(df_eventos!F:F,df_eventos!H:H,Conciliacao!A28)</f>
        <v/>
      </c>
      <c r="F28" s="3">
        <f>SUMIFS(df_mutuos!M:M,df_mutuos!B:B,Conciliacao!A28)</f>
        <v/>
      </c>
      <c r="G28" s="6">
        <f>SUMIFS(df_bloqueios_judiciais!G:G,df_bloqueios_judiciais!D:D,Conciliacao!A28,df_bloqueios_judiciais!G:G,"&gt;0")</f>
        <v/>
      </c>
      <c r="H28" s="7">
        <f>SUMIFS(df_extratos!I:I,df_extratos!F:F,Conciliacao!BE28,df_extratos!G:G,"CREDITO")+SUMIFS(df_extratos!I:I,df_extratos!F:F,Conciliacao!A28,df_extratos!G:G,"CREDITO")+SUMIFS(df_extratos!I:I,df_extratos!F:F,Conciliacao!BF28,df_extratos!G:G,"CREDITO")+SUMIFS(df_extratos!I:I,df_extratos!F:F,Conciliacao!BG28,df_extratos!G:G,"CREDITO")+SUMIFS(df_extratos!I:I,df_extratos!F:F,Conciliacao!BH28,df_extratos!G:G,"CREDITO")</f>
        <v/>
      </c>
      <c r="I28" s="9">
        <f>H28-SUM(B28:G28)</f>
        <v/>
      </c>
      <c r="J28" s="4">
        <f>SUMIFS(df_blueme_sem_parcelamento!E:E,df_blueme_sem_parcelamento!H:H,Conciliacao!A28)*(-1)</f>
        <v/>
      </c>
      <c r="K28" s="4">
        <f>SUMIFS(df_blueme_com_parcelamento!J:J,df_blueme_com_parcelamento!M:M,Conciliacao!A28)*(-1)</f>
        <v/>
      </c>
      <c r="L28" s="4">
        <f>SUMIFS(df_mutuos!N:N,df_mutuos!B:B,Conciliacao!A28)*(-1)</f>
        <v/>
      </c>
      <c r="M28" s="8">
        <f>SUMIFS(df_bloqueios_judiciais!E:E,df_bloqueios_judiciais!D:D,Conciliacao!A28,df_bloqueios_judiciais!E:E,"&lt;0")</f>
        <v/>
      </c>
      <c r="N28" s="10">
        <f>SUMIFS(df_extratos!I:I,df_extratos!F:F,Conciliacao!BE28,df_extratos!G:G,"DEBITO")+SUMIFS(df_extratos!I:I,df_extratos!F:F,Conciliacao!A28,df_extratos!G:G,"DEBITO")+SUMIFS(df_extratos!I:I,df_extratos!F:F,Conciliacao!BF28,df_extratos!G:G,"DEBITO")+SUMIFS(df_extratos!I:I,df_extratos!F:F,Conciliacao!BG28,df_extratos!G:G,"DEBITO")+SUMIFS(df_extratos!I:I,df_extratos!F:F,Conciliacao!BH28,df_extratos!G:G,"DEBITO")</f>
        <v/>
      </c>
      <c r="O28" s="11">
        <f>N28-SUM(J28:M28)</f>
        <v/>
      </c>
      <c r="P28" s="25">
        <f>SUMIFS(df_ajustes_conciliaco!D:D,df_ajustes_conciliaco!C:C,Conciliacao!A28)</f>
        <v/>
      </c>
      <c r="Q28" s="22">
        <f>O28+I28-P28</f>
        <v/>
      </c>
      <c r="BE28" s="20" t="n">
        <v>45684.5</v>
      </c>
      <c r="BF28" s="20" t="n">
        <v>45684.125</v>
      </c>
      <c r="BG28" s="20" t="n">
        <v>45684.54166666666</v>
      </c>
      <c r="BH28" s="20" t="n">
        <v>45684.625</v>
      </c>
    </row>
    <row r="29">
      <c r="A29" s="5">
        <f>A28+1</f>
        <v/>
      </c>
      <c r="B29" s="3">
        <f>-SUMIFS(df_extrato_zig!G:G,df_extrato_zig!E:E,Conciliacao!A29,df_extrato_zig!D:D,"Saque")-SUMIFS(df_extrato_zig!G:G,df_extrato_zig!E:E,Conciliacao!A29,df_extrato_zig!D:D,"Antecipação")</f>
        <v/>
      </c>
      <c r="C29" s="3">
        <f>SUMIFS(df_extrato_zig!E:E,df_extrato_zig!L:L,Conciliacao!A29,df_extrato_zig!F:F,"DINHEIRO")</f>
        <v/>
      </c>
      <c r="D29" s="3">
        <f>SUMIFS(view_parc_agrup!H:H,view_parc_agrup!G:G,Conciliacao!A29)</f>
        <v/>
      </c>
      <c r="E29" s="3">
        <f>SUMIFS(df_eventos!F:F,df_eventos!H:H,Conciliacao!A29)</f>
        <v/>
      </c>
      <c r="F29" s="3">
        <f>SUMIFS(df_mutuos!M:M,df_mutuos!B:B,Conciliacao!A29)</f>
        <v/>
      </c>
      <c r="G29" s="6">
        <f>SUMIFS(df_bloqueios_judiciais!G:G,df_bloqueios_judiciais!D:D,Conciliacao!A29,df_bloqueios_judiciais!G:G,"&gt;0")</f>
        <v/>
      </c>
      <c r="H29" s="7">
        <f>SUMIFS(df_extratos!I:I,df_extratos!F:F,Conciliacao!BE29,df_extratos!G:G,"CREDITO")+SUMIFS(df_extratos!I:I,df_extratos!F:F,Conciliacao!A29,df_extratos!G:G,"CREDITO")+SUMIFS(df_extratos!I:I,df_extratos!F:F,Conciliacao!BF29,df_extratos!G:G,"CREDITO")+SUMIFS(df_extratos!I:I,df_extratos!F:F,Conciliacao!BG29,df_extratos!G:G,"CREDITO")+SUMIFS(df_extratos!I:I,df_extratos!F:F,Conciliacao!BH29,df_extratos!G:G,"CREDITO")</f>
        <v/>
      </c>
      <c r="I29" s="9">
        <f>H29-SUM(B29:G29)</f>
        <v/>
      </c>
      <c r="J29" s="4">
        <f>SUMIFS(df_blueme_sem_parcelamento!E:E,df_blueme_sem_parcelamento!H:H,Conciliacao!A29)*(-1)</f>
        <v/>
      </c>
      <c r="K29" s="4">
        <f>SUMIFS(df_blueme_com_parcelamento!J:J,df_blueme_com_parcelamento!M:M,Conciliacao!A29)*(-1)</f>
        <v/>
      </c>
      <c r="L29" s="4">
        <f>SUMIFS(df_mutuos!N:N,df_mutuos!B:B,Conciliacao!A29)*(-1)</f>
        <v/>
      </c>
      <c r="M29" s="8">
        <f>SUMIFS(df_bloqueios_judiciais!E:E,df_bloqueios_judiciais!D:D,Conciliacao!A29,df_bloqueios_judiciais!E:E,"&lt;0")</f>
        <v/>
      </c>
      <c r="N29" s="10">
        <f>SUMIFS(df_extratos!I:I,df_extratos!F:F,Conciliacao!BE29,df_extratos!G:G,"DEBITO")+SUMIFS(df_extratos!I:I,df_extratos!F:F,Conciliacao!A29,df_extratos!G:G,"DEBITO")+SUMIFS(df_extratos!I:I,df_extratos!F:F,Conciliacao!BF29,df_extratos!G:G,"DEBITO")+SUMIFS(df_extratos!I:I,df_extratos!F:F,Conciliacao!BG29,df_extratos!G:G,"DEBITO")+SUMIFS(df_extratos!I:I,df_extratos!F:F,Conciliacao!BH29,df_extratos!G:G,"DEBITO")</f>
        <v/>
      </c>
      <c r="O29" s="11">
        <f>N29-SUM(J29:M29)</f>
        <v/>
      </c>
      <c r="P29" s="25">
        <f>SUMIFS(df_ajustes_conciliaco!D:D,df_ajustes_conciliaco!C:C,Conciliacao!A29)</f>
        <v/>
      </c>
      <c r="Q29" s="22">
        <f>O29+I29-P29</f>
        <v/>
      </c>
      <c r="BE29" s="20" t="n">
        <v>45685.5</v>
      </c>
      <c r="BF29" s="20" t="n">
        <v>45685.125</v>
      </c>
      <c r="BG29" s="20" t="n">
        <v>45685.54166666666</v>
      </c>
      <c r="BH29" s="20" t="n">
        <v>45685.625</v>
      </c>
    </row>
    <row r="30">
      <c r="A30" s="5">
        <f>A29+1</f>
        <v/>
      </c>
      <c r="B30" s="3">
        <f>-SUMIFS(df_extrato_zig!G:G,df_extrato_zig!E:E,Conciliacao!A30,df_extrato_zig!D:D,"Saque")-SUMIFS(df_extrato_zig!G:G,df_extrato_zig!E:E,Conciliacao!A30,df_extrato_zig!D:D,"Antecipação")</f>
        <v/>
      </c>
      <c r="C30" s="3">
        <f>SUMIFS(df_extrato_zig!E:E,df_extrato_zig!L:L,Conciliacao!A30,df_extrato_zig!F:F,"DINHEIRO")</f>
        <v/>
      </c>
      <c r="D30" s="3">
        <f>SUMIFS(view_parc_agrup!H:H,view_parc_agrup!G:G,Conciliacao!A30)</f>
        <v/>
      </c>
      <c r="E30" s="3">
        <f>SUMIFS(df_eventos!F:F,df_eventos!H:H,Conciliacao!A30)</f>
        <v/>
      </c>
      <c r="F30" s="3">
        <f>SUMIFS(df_mutuos!M:M,df_mutuos!B:B,Conciliacao!A30)</f>
        <v/>
      </c>
      <c r="G30" s="6">
        <f>SUMIFS(df_bloqueios_judiciais!G:G,df_bloqueios_judiciais!D:D,Conciliacao!A30,df_bloqueios_judiciais!G:G,"&gt;0")</f>
        <v/>
      </c>
      <c r="H30" s="7">
        <f>SUMIFS(df_extratos!I:I,df_extratos!F:F,Conciliacao!BE30,df_extratos!G:G,"CREDITO")+SUMIFS(df_extratos!I:I,df_extratos!F:F,Conciliacao!A30,df_extratos!G:G,"CREDITO")+SUMIFS(df_extratos!I:I,df_extratos!F:F,Conciliacao!BF30,df_extratos!G:G,"CREDITO")+SUMIFS(df_extratos!I:I,df_extratos!F:F,Conciliacao!BG30,df_extratos!G:G,"CREDITO")+SUMIFS(df_extratos!I:I,df_extratos!F:F,Conciliacao!BH30,df_extratos!G:G,"CREDITO")</f>
        <v/>
      </c>
      <c r="I30" s="9">
        <f>H30-SUM(B30:G30)</f>
        <v/>
      </c>
      <c r="J30" s="4">
        <f>SUMIFS(df_blueme_sem_parcelamento!E:E,df_blueme_sem_parcelamento!H:H,Conciliacao!A30)*(-1)</f>
        <v/>
      </c>
      <c r="K30" s="4">
        <f>SUMIFS(df_blueme_com_parcelamento!J:J,df_blueme_com_parcelamento!M:M,Conciliacao!A30)*(-1)</f>
        <v/>
      </c>
      <c r="L30" s="4">
        <f>SUMIFS(df_mutuos!N:N,df_mutuos!B:B,Conciliacao!A30)*(-1)</f>
        <v/>
      </c>
      <c r="M30" s="8">
        <f>SUMIFS(df_bloqueios_judiciais!E:E,df_bloqueios_judiciais!D:D,Conciliacao!A30,df_bloqueios_judiciais!E:E,"&lt;0")</f>
        <v/>
      </c>
      <c r="N30" s="10">
        <f>SUMIFS(df_extratos!I:I,df_extratos!F:F,Conciliacao!BE30,df_extratos!G:G,"DEBITO")+SUMIFS(df_extratos!I:I,df_extratos!F:F,Conciliacao!A30,df_extratos!G:G,"DEBITO")+SUMIFS(df_extratos!I:I,df_extratos!F:F,Conciliacao!BF30,df_extratos!G:G,"DEBITO")+SUMIFS(df_extratos!I:I,df_extratos!F:F,Conciliacao!BG30,df_extratos!G:G,"DEBITO")+SUMIFS(df_extratos!I:I,df_extratos!F:F,Conciliacao!BH30,df_extratos!G:G,"DEBITO")</f>
        <v/>
      </c>
      <c r="O30" s="11">
        <f>N30-SUM(J30:M30)</f>
        <v/>
      </c>
      <c r="P30" s="25">
        <f>SUMIFS(df_ajustes_conciliaco!D:D,df_ajustes_conciliaco!C:C,Conciliacao!A30)</f>
        <v/>
      </c>
      <c r="Q30" s="22">
        <f>O30+I30-P30</f>
        <v/>
      </c>
      <c r="BE30" s="20" t="n">
        <v>45686.5</v>
      </c>
      <c r="BF30" s="20" t="n">
        <v>45686.125</v>
      </c>
      <c r="BG30" s="20" t="n">
        <v>45686.54166666666</v>
      </c>
      <c r="BH30" s="20" t="n">
        <v>45686.625</v>
      </c>
    </row>
    <row r="31">
      <c r="A31" s="5">
        <f>A30+1</f>
        <v/>
      </c>
      <c r="B31" s="3">
        <f>-SUMIFS(df_extrato_zig!G:G,df_extrato_zig!E:E,Conciliacao!A31,df_extrato_zig!D:D,"Saque")-SUMIFS(df_extrato_zig!G:G,df_extrato_zig!E:E,Conciliacao!A31,df_extrato_zig!D:D,"Antecipação")</f>
        <v/>
      </c>
      <c r="C31" s="3">
        <f>SUMIFS(df_extrato_zig!E:E,df_extrato_zig!L:L,Conciliacao!A31,df_extrato_zig!F:F,"DINHEIRO")</f>
        <v/>
      </c>
      <c r="D31" s="3">
        <f>SUMIFS(view_parc_agrup!H:H,view_parc_agrup!G:G,Conciliacao!A31)</f>
        <v/>
      </c>
      <c r="E31" s="3">
        <f>SUMIFS(df_eventos!F:F,df_eventos!H:H,Conciliacao!A31)</f>
        <v/>
      </c>
      <c r="F31" s="3">
        <f>SUMIFS(df_mutuos!M:M,df_mutuos!B:B,Conciliacao!A31)</f>
        <v/>
      </c>
      <c r="G31" s="6">
        <f>SUMIFS(df_bloqueios_judiciais!G:G,df_bloqueios_judiciais!D:D,Conciliacao!A31,df_bloqueios_judiciais!G:G,"&gt;0")</f>
        <v/>
      </c>
      <c r="H31" s="7">
        <f>SUMIFS(df_extratos!I:I,df_extratos!F:F,Conciliacao!BE31,df_extratos!G:G,"CREDITO")+SUMIFS(df_extratos!I:I,df_extratos!F:F,Conciliacao!A31,df_extratos!G:G,"CREDITO")+SUMIFS(df_extratos!I:I,df_extratos!F:F,Conciliacao!BF31,df_extratos!G:G,"CREDITO")+SUMIFS(df_extratos!I:I,df_extratos!F:F,Conciliacao!BG31,df_extratos!G:G,"CREDITO")+SUMIFS(df_extratos!I:I,df_extratos!F:F,Conciliacao!BH31,df_extratos!G:G,"CREDITO")</f>
        <v/>
      </c>
      <c r="I31" s="9">
        <f>H31-SUM(B31:G31)</f>
        <v/>
      </c>
      <c r="J31" s="4">
        <f>SUMIFS(df_blueme_sem_parcelamento!E:E,df_blueme_sem_parcelamento!H:H,Conciliacao!A31)*(-1)</f>
        <v/>
      </c>
      <c r="K31" s="4">
        <f>SUMIFS(df_blueme_com_parcelamento!J:J,df_blueme_com_parcelamento!M:M,Conciliacao!A31)*(-1)</f>
        <v/>
      </c>
      <c r="L31" s="4">
        <f>SUMIFS(df_mutuos!N:N,df_mutuos!B:B,Conciliacao!A31)*(-1)</f>
        <v/>
      </c>
      <c r="M31" s="8">
        <f>SUMIFS(df_bloqueios_judiciais!E:E,df_bloqueios_judiciais!D:D,Conciliacao!A31,df_bloqueios_judiciais!E:E,"&lt;0")</f>
        <v/>
      </c>
      <c r="N31" s="10">
        <f>SUMIFS(df_extratos!I:I,df_extratos!F:F,Conciliacao!BE31,df_extratos!G:G,"DEBITO")+SUMIFS(df_extratos!I:I,df_extratos!F:F,Conciliacao!A31,df_extratos!G:G,"DEBITO")+SUMIFS(df_extratos!I:I,df_extratos!F:F,Conciliacao!BF31,df_extratos!G:G,"DEBITO")+SUMIFS(df_extratos!I:I,df_extratos!F:F,Conciliacao!BG31,df_extratos!G:G,"DEBITO")+SUMIFS(df_extratos!I:I,df_extratos!F:F,Conciliacao!BH31,df_extratos!G:G,"DEBITO")</f>
        <v/>
      </c>
      <c r="O31" s="11">
        <f>N31-SUM(J31:M31)</f>
        <v/>
      </c>
      <c r="P31" s="25">
        <f>SUMIFS(df_ajustes_conciliaco!D:D,df_ajustes_conciliaco!C:C,Conciliacao!A31)</f>
        <v/>
      </c>
      <c r="Q31" s="22">
        <f>O31+I31-P31</f>
        <v/>
      </c>
      <c r="BE31" s="20" t="n">
        <v>45687.5</v>
      </c>
      <c r="BF31" s="20" t="n">
        <v>45687.125</v>
      </c>
      <c r="BG31" s="20" t="n">
        <v>45687.54166666666</v>
      </c>
      <c r="BH31" s="20" t="n">
        <v>45687.625</v>
      </c>
    </row>
    <row r="32">
      <c r="A32" s="5">
        <f>A31+1</f>
        <v/>
      </c>
      <c r="B32" s="3">
        <f>-SUMIFS(df_extrato_zig!G:G,df_extrato_zig!E:E,Conciliacao!A32,df_extrato_zig!D:D,"Saque")-SUMIFS(df_extrato_zig!G:G,df_extrato_zig!E:E,Conciliacao!A32,df_extrato_zig!D:D,"Antecipação")</f>
        <v/>
      </c>
      <c r="C32" s="3">
        <f>SUMIFS(df_extrato_zig!E:E,df_extrato_zig!L:L,Conciliacao!A32,df_extrato_zig!F:F,"DINHEIRO")</f>
        <v/>
      </c>
      <c r="D32" s="3">
        <f>SUMIFS(view_parc_agrup!H:H,view_parc_agrup!G:G,Conciliacao!A32)</f>
        <v/>
      </c>
      <c r="E32" s="3">
        <f>SUMIFS(df_eventos!F:F,df_eventos!H:H,Conciliacao!A32)</f>
        <v/>
      </c>
      <c r="F32" s="3">
        <f>SUMIFS(df_mutuos!M:M,df_mutuos!B:B,Conciliacao!A32)</f>
        <v/>
      </c>
      <c r="G32" s="6">
        <f>SUMIFS(df_bloqueios_judiciais!G:G,df_bloqueios_judiciais!D:D,Conciliacao!A32,df_bloqueios_judiciais!G:G,"&gt;0")</f>
        <v/>
      </c>
      <c r="H32" s="7">
        <f>SUMIFS(df_extratos!I:I,df_extratos!F:F,Conciliacao!BE32,df_extratos!G:G,"CREDITO")+SUMIFS(df_extratos!I:I,df_extratos!F:F,Conciliacao!A32,df_extratos!G:G,"CREDITO")+SUMIFS(df_extratos!I:I,df_extratos!F:F,Conciliacao!BF32,df_extratos!G:G,"CREDITO")+SUMIFS(df_extratos!I:I,df_extratos!F:F,Conciliacao!BG32,df_extratos!G:G,"CREDITO")+SUMIFS(df_extratos!I:I,df_extratos!F:F,Conciliacao!BH32,df_extratos!G:G,"CREDITO")</f>
        <v/>
      </c>
      <c r="I32" s="9">
        <f>H32-SUM(B32:G32)</f>
        <v/>
      </c>
      <c r="J32" s="4">
        <f>SUMIFS(df_blueme_sem_parcelamento!E:E,df_blueme_sem_parcelamento!H:H,Conciliacao!A32)*(-1)</f>
        <v/>
      </c>
      <c r="K32" s="4">
        <f>SUMIFS(df_blueme_com_parcelamento!J:J,df_blueme_com_parcelamento!M:M,Conciliacao!A32)*(-1)</f>
        <v/>
      </c>
      <c r="L32" s="4">
        <f>SUMIFS(df_mutuos!N:N,df_mutuos!B:B,Conciliacao!A32)*(-1)</f>
        <v/>
      </c>
      <c r="M32" s="8">
        <f>SUMIFS(df_bloqueios_judiciais!E:E,df_bloqueios_judiciais!D:D,Conciliacao!A32,df_bloqueios_judiciais!E:E,"&lt;0")</f>
        <v/>
      </c>
      <c r="N32" s="10">
        <f>SUMIFS(df_extratos!I:I,df_extratos!F:F,Conciliacao!BE32,df_extratos!G:G,"DEBITO")+SUMIFS(df_extratos!I:I,df_extratos!F:F,Conciliacao!A32,df_extratos!G:G,"DEBITO")+SUMIFS(df_extratos!I:I,df_extratos!F:F,Conciliacao!BF32,df_extratos!G:G,"DEBITO")+SUMIFS(df_extratos!I:I,df_extratos!F:F,Conciliacao!BG32,df_extratos!G:G,"DEBITO")+SUMIFS(df_extratos!I:I,df_extratos!F:F,Conciliacao!BH32,df_extratos!G:G,"DEBITO")</f>
        <v/>
      </c>
      <c r="O32" s="11">
        <f>N32-SUM(J32:M32)</f>
        <v/>
      </c>
      <c r="P32" s="25">
        <f>SUMIFS(df_ajustes_conciliaco!D:D,df_ajustes_conciliaco!C:C,Conciliacao!A32)</f>
        <v/>
      </c>
      <c r="Q32" s="22">
        <f>O32+I32-P32</f>
        <v/>
      </c>
      <c r="BE32" s="20" t="n">
        <v>45688.5</v>
      </c>
      <c r="BF32" s="20" t="n">
        <v>45688.125</v>
      </c>
      <c r="BG32" s="20" t="n">
        <v>45688.54166666666</v>
      </c>
      <c r="BH32" s="20" t="n">
        <v>45688.625</v>
      </c>
    </row>
    <row r="33">
      <c r="A33" s="5">
        <f>A32+1</f>
        <v/>
      </c>
      <c r="B33" s="3">
        <f>-SUMIFS(df_extrato_zig!G:G,df_extrato_zig!E:E,Conciliacao!A33,df_extrato_zig!D:D,"Saque")-SUMIFS(df_extrato_zig!G:G,df_extrato_zig!E:E,Conciliacao!A33,df_extrato_zig!D:D,"Antecipação")</f>
        <v/>
      </c>
      <c r="C33" s="3">
        <f>SUMIFS(df_extrato_zig!E:E,df_extrato_zig!L:L,Conciliacao!A33,df_extrato_zig!F:F,"DINHEIRO")</f>
        <v/>
      </c>
      <c r="D33" s="3">
        <f>SUMIFS(view_parc_agrup!H:H,view_parc_agrup!G:G,Conciliacao!A33)</f>
        <v/>
      </c>
      <c r="E33" s="3">
        <f>SUMIFS(df_eventos!F:F,df_eventos!H:H,Conciliacao!A33)</f>
        <v/>
      </c>
      <c r="F33" s="3">
        <f>SUMIFS(df_mutuos!M:M,df_mutuos!B:B,Conciliacao!A33)</f>
        <v/>
      </c>
      <c r="G33" s="6">
        <f>SUMIFS(df_bloqueios_judiciais!G:G,df_bloqueios_judiciais!D:D,Conciliacao!A33,df_bloqueios_judiciais!G:G,"&gt;0")</f>
        <v/>
      </c>
      <c r="H33" s="7">
        <f>SUMIFS(df_extratos!I:I,df_extratos!F:F,Conciliacao!BE33,df_extratos!G:G,"CREDITO")+SUMIFS(df_extratos!I:I,df_extratos!F:F,Conciliacao!A33,df_extratos!G:G,"CREDITO")+SUMIFS(df_extratos!I:I,df_extratos!F:F,Conciliacao!BF33,df_extratos!G:G,"CREDITO")+SUMIFS(df_extratos!I:I,df_extratos!F:F,Conciliacao!BG33,df_extratos!G:G,"CREDITO")+SUMIFS(df_extratos!I:I,df_extratos!F:F,Conciliacao!BH33,df_extratos!G:G,"CREDITO")</f>
        <v/>
      </c>
      <c r="I33" s="9">
        <f>H33-SUM(B33:G33)</f>
        <v/>
      </c>
      <c r="J33" s="4">
        <f>SUMIFS(df_blueme_sem_parcelamento!E:E,df_blueme_sem_parcelamento!H:H,Conciliacao!A33)*(-1)</f>
        <v/>
      </c>
      <c r="K33" s="4">
        <f>SUMIFS(df_blueme_com_parcelamento!J:J,df_blueme_com_parcelamento!M:M,Conciliacao!A33)*(-1)</f>
        <v/>
      </c>
      <c r="L33" s="4">
        <f>SUMIFS(df_mutuos!N:N,df_mutuos!B:B,Conciliacao!A33)*(-1)</f>
        <v/>
      </c>
      <c r="M33" s="8">
        <f>SUMIFS(df_bloqueios_judiciais!E:E,df_bloqueios_judiciais!D:D,Conciliacao!A33,df_bloqueios_judiciais!E:E,"&lt;0")</f>
        <v/>
      </c>
      <c r="N33" s="10">
        <f>SUMIFS(df_extratos!I:I,df_extratos!F:F,Conciliacao!BE33,df_extratos!G:G,"DEBITO")+SUMIFS(df_extratos!I:I,df_extratos!F:F,Conciliacao!A33,df_extratos!G:G,"DEBITO")+SUMIFS(df_extratos!I:I,df_extratos!F:F,Conciliacao!BF33,df_extratos!G:G,"DEBITO")+SUMIFS(df_extratos!I:I,df_extratos!F:F,Conciliacao!BG33,df_extratos!G:G,"DEBITO")+SUMIFS(df_extratos!I:I,df_extratos!F:F,Conciliacao!BH33,df_extratos!G:G,"DEBITO")</f>
        <v/>
      </c>
      <c r="O33" s="11">
        <f>N33-SUM(J33:M33)</f>
        <v/>
      </c>
      <c r="P33" s="25">
        <f>SUMIFS(df_ajustes_conciliaco!D:D,df_ajustes_conciliaco!C:C,Conciliacao!A33)</f>
        <v/>
      </c>
      <c r="Q33" s="22">
        <f>O33+I33-P33</f>
        <v/>
      </c>
      <c r="BE33" s="20" t="n">
        <v>45689.5</v>
      </c>
      <c r="BF33" s="20" t="n">
        <v>45689.125</v>
      </c>
      <c r="BG33" s="20" t="n">
        <v>45689.54166666666</v>
      </c>
      <c r="BH33" s="20" t="n">
        <v>45689.625</v>
      </c>
    </row>
    <row r="34">
      <c r="A34" s="5">
        <f>A33+1</f>
        <v/>
      </c>
      <c r="B34" s="3">
        <f>-SUMIFS(df_extrato_zig!G:G,df_extrato_zig!E:E,Conciliacao!A34,df_extrato_zig!D:D,"Saque")-SUMIFS(df_extrato_zig!G:G,df_extrato_zig!E:E,Conciliacao!A34,df_extrato_zig!D:D,"Antecipação")</f>
        <v/>
      </c>
      <c r="C34" s="3">
        <f>SUMIFS(df_extrato_zig!E:E,df_extrato_zig!L:L,Conciliacao!A34,df_extrato_zig!F:F,"DINHEIRO")</f>
        <v/>
      </c>
      <c r="D34" s="3">
        <f>SUMIFS(view_parc_agrup!H:H,view_parc_agrup!G:G,Conciliacao!A34)</f>
        <v/>
      </c>
      <c r="E34" s="3">
        <f>SUMIFS(df_eventos!F:F,df_eventos!H:H,Conciliacao!A34)</f>
        <v/>
      </c>
      <c r="F34" s="3">
        <f>SUMIFS(df_mutuos!M:M,df_mutuos!B:B,Conciliacao!A34)</f>
        <v/>
      </c>
      <c r="G34" s="6">
        <f>SUMIFS(df_bloqueios_judiciais!G:G,df_bloqueios_judiciais!D:D,Conciliacao!A34,df_bloqueios_judiciais!G:G,"&gt;0")</f>
        <v/>
      </c>
      <c r="H34" s="7">
        <f>SUMIFS(df_extratos!I:I,df_extratos!F:F,Conciliacao!BE34,df_extratos!G:G,"CREDITO")+SUMIFS(df_extratos!I:I,df_extratos!F:F,Conciliacao!A34,df_extratos!G:G,"CREDITO")+SUMIFS(df_extratos!I:I,df_extratos!F:F,Conciliacao!BF34,df_extratos!G:G,"CREDITO")+SUMIFS(df_extratos!I:I,df_extratos!F:F,Conciliacao!BG34,df_extratos!G:G,"CREDITO")+SUMIFS(df_extratos!I:I,df_extratos!F:F,Conciliacao!BH34,df_extratos!G:G,"CREDITO")</f>
        <v/>
      </c>
      <c r="I34" s="9">
        <f>H34-SUM(B34:G34)</f>
        <v/>
      </c>
      <c r="J34" s="4">
        <f>SUMIFS(df_blueme_sem_parcelamento!E:E,df_blueme_sem_parcelamento!H:H,Conciliacao!A34)*(-1)</f>
        <v/>
      </c>
      <c r="K34" s="4">
        <f>SUMIFS(df_blueme_com_parcelamento!J:J,df_blueme_com_parcelamento!M:M,Conciliacao!A34)*(-1)</f>
        <v/>
      </c>
      <c r="L34" s="4">
        <f>SUMIFS(df_mutuos!N:N,df_mutuos!B:B,Conciliacao!A34)*(-1)</f>
        <v/>
      </c>
      <c r="M34" s="8">
        <f>SUMIFS(df_bloqueios_judiciais!E:E,df_bloqueios_judiciais!D:D,Conciliacao!A34,df_bloqueios_judiciais!E:E,"&lt;0")</f>
        <v/>
      </c>
      <c r="N34" s="10">
        <f>SUMIFS(df_extratos!I:I,df_extratos!F:F,Conciliacao!BE34,df_extratos!G:G,"DEBITO")+SUMIFS(df_extratos!I:I,df_extratos!F:F,Conciliacao!A34,df_extratos!G:G,"DEBITO")+SUMIFS(df_extratos!I:I,df_extratos!F:F,Conciliacao!BF34,df_extratos!G:G,"DEBITO")+SUMIFS(df_extratos!I:I,df_extratos!F:F,Conciliacao!BG34,df_extratos!G:G,"DEBITO")+SUMIFS(df_extratos!I:I,df_extratos!F:F,Conciliacao!BH34,df_extratos!G:G,"DEBITO")</f>
        <v/>
      </c>
      <c r="O34" s="11">
        <f>N34-SUM(J34:M34)</f>
        <v/>
      </c>
      <c r="P34" s="25">
        <f>SUMIFS(df_ajustes_conciliaco!D:D,df_ajustes_conciliaco!C:C,Conciliacao!A34)</f>
        <v/>
      </c>
      <c r="Q34" s="22">
        <f>O34+I34-P34</f>
        <v/>
      </c>
      <c r="BE34" s="20" t="n">
        <v>45690.5</v>
      </c>
      <c r="BF34" s="20" t="n">
        <v>45690.125</v>
      </c>
      <c r="BG34" s="20" t="n">
        <v>45690.54166666666</v>
      </c>
      <c r="BH34" s="20" t="n">
        <v>45690.625</v>
      </c>
    </row>
    <row r="35">
      <c r="A35" s="5">
        <f>A34+1</f>
        <v/>
      </c>
      <c r="B35" s="3">
        <f>-SUMIFS(df_extrato_zig!G:G,df_extrato_zig!E:E,Conciliacao!A35,df_extrato_zig!D:D,"Saque")-SUMIFS(df_extrato_zig!G:G,df_extrato_zig!E:E,Conciliacao!A35,df_extrato_zig!D:D,"Antecipação")</f>
        <v/>
      </c>
      <c r="C35" s="3">
        <f>SUMIFS(df_extrato_zig!E:E,df_extrato_zig!L:L,Conciliacao!A35,df_extrato_zig!F:F,"DINHEIRO")</f>
        <v/>
      </c>
      <c r="D35" s="3">
        <f>SUMIFS(view_parc_agrup!H:H,view_parc_agrup!G:G,Conciliacao!A35)</f>
        <v/>
      </c>
      <c r="E35" s="3">
        <f>SUMIFS(df_eventos!F:F,df_eventos!H:H,Conciliacao!A35)</f>
        <v/>
      </c>
      <c r="F35" s="3">
        <f>SUMIFS(df_mutuos!M:M,df_mutuos!B:B,Conciliacao!A35)</f>
        <v/>
      </c>
      <c r="G35" s="6">
        <f>SUMIFS(df_bloqueios_judiciais!G:G,df_bloqueios_judiciais!D:D,Conciliacao!A35,df_bloqueios_judiciais!G:G,"&gt;0")</f>
        <v/>
      </c>
      <c r="H35" s="7">
        <f>SUMIFS(df_extratos!I:I,df_extratos!F:F,Conciliacao!BE35,df_extratos!G:G,"CREDITO")+SUMIFS(df_extratos!I:I,df_extratos!F:F,Conciliacao!A35,df_extratos!G:G,"CREDITO")+SUMIFS(df_extratos!I:I,df_extratos!F:F,Conciliacao!BF35,df_extratos!G:G,"CREDITO")+SUMIFS(df_extratos!I:I,df_extratos!F:F,Conciliacao!BG35,df_extratos!G:G,"CREDITO")+SUMIFS(df_extratos!I:I,df_extratos!F:F,Conciliacao!BH35,df_extratos!G:G,"CREDITO")</f>
        <v/>
      </c>
      <c r="I35" s="9">
        <f>H35-SUM(B35:G35)</f>
        <v/>
      </c>
      <c r="J35" s="4">
        <f>SUMIFS(df_blueme_sem_parcelamento!E:E,df_blueme_sem_parcelamento!H:H,Conciliacao!A35)*(-1)</f>
        <v/>
      </c>
      <c r="K35" s="4">
        <f>SUMIFS(df_blueme_com_parcelamento!J:J,df_blueme_com_parcelamento!M:M,Conciliacao!A35)*(-1)</f>
        <v/>
      </c>
      <c r="L35" s="4">
        <f>SUMIFS(df_mutuos!N:N,df_mutuos!B:B,Conciliacao!A35)*(-1)</f>
        <v/>
      </c>
      <c r="M35" s="8">
        <f>SUMIFS(df_bloqueios_judiciais!G:G,df_bloqueios_judiciais!D:D,Conciliacao!A35,df_bloqueios_judiciais!G:G,"&lt;0")</f>
        <v/>
      </c>
      <c r="N35" s="10">
        <f>SUMIFS(df_extratos!I:I,df_extratos!F:F,Conciliacao!BE35,df_extratos!G:G,"DEBITO")+SUMIFS(df_extratos!I:I,df_extratos!F:F,Conciliacao!A35,df_extratos!G:G,"DEBITO")+SUMIFS(df_extratos!I:I,df_extratos!F:F,Conciliacao!BF35,df_extratos!G:G,"DEBITO")+SUMIFS(df_extratos!I:I,df_extratos!F:F,Conciliacao!BG35,df_extratos!G:G,"DEBITO")+SUMIFS(df_extratos!I:I,df_extratos!F:F,Conciliacao!BH35,df_extratos!G:G,"DEBITO")</f>
        <v/>
      </c>
      <c r="O35" s="11">
        <f>N35-SUM(J35:M35)</f>
        <v/>
      </c>
      <c r="P35" s="25">
        <f>SUMIFS(df_ajustes_conciliaco!D:D,df_ajustes_conciliaco!C:C,Conciliacao!A35)</f>
        <v/>
      </c>
      <c r="Q35" s="22">
        <f>O35+I35-P35</f>
        <v/>
      </c>
      <c r="BE35" s="20" t="n">
        <v>45691.5</v>
      </c>
      <c r="BF35" s="20" t="n">
        <v>45691.125</v>
      </c>
      <c r="BG35" s="20" t="n">
        <v>45691.54166666666</v>
      </c>
      <c r="BH35" s="20" t="n">
        <v>45691.625</v>
      </c>
    </row>
    <row r="36">
      <c r="A36" s="5">
        <f>A35+1</f>
        <v/>
      </c>
      <c r="B36" s="3">
        <f>-SUMIFS(df_extrato_zig!G:G,df_extrato_zig!E:E,Conciliacao!A36,df_extrato_zig!D:D,"Saque")-SUMIFS(df_extrato_zig!G:G,df_extrato_zig!E:E,Conciliacao!A36,df_extrato_zig!D:D,"Antecipação")</f>
        <v/>
      </c>
      <c r="C36" s="3">
        <f>SUMIFS(df_extrato_zig!E:E,df_extrato_zig!L:L,Conciliacao!A36,df_extrato_zig!F:F,"DINHEIRO")</f>
        <v/>
      </c>
      <c r="D36" s="3">
        <f>SUMIFS(view_parc_agrup!H:H,view_parc_agrup!G:G,Conciliacao!A36)</f>
        <v/>
      </c>
      <c r="E36" s="3">
        <f>SUMIFS(df_eventos!F:F,df_eventos!H:H,Conciliacao!A36)</f>
        <v/>
      </c>
      <c r="F36" s="3">
        <f>SUMIFS(df_mutuos!M:M,df_mutuos!B:B,Conciliacao!A36)</f>
        <v/>
      </c>
      <c r="G36" s="6">
        <f>SUMIFS(df_bloqueios_judiciais!G:G,df_bloqueios_judiciais!D:D,Conciliacao!A36,df_bloqueios_judiciais!G:G,"&gt;0")</f>
        <v/>
      </c>
      <c r="H36" s="7">
        <f>SUMIFS(df_extratos!I:I,df_extratos!F:F,Conciliacao!BE36,df_extratos!G:G,"CREDITO")+SUMIFS(df_extratos!I:I,df_extratos!F:F,Conciliacao!A36,df_extratos!G:G,"CREDITO")+SUMIFS(df_extratos!I:I,df_extratos!F:F,Conciliacao!BF36,df_extratos!G:G,"CREDITO")+SUMIFS(df_extratos!I:I,df_extratos!F:F,Conciliacao!BG36,df_extratos!G:G,"CREDITO")+SUMIFS(df_extratos!I:I,df_extratos!F:F,Conciliacao!BH36,df_extratos!G:G,"CREDITO")</f>
        <v/>
      </c>
      <c r="I36" s="9">
        <f>H36-SUM(B36:G36)</f>
        <v/>
      </c>
      <c r="J36" s="4">
        <f>SUMIFS(df_blueme_sem_parcelamento!E:E,df_blueme_sem_parcelamento!H:H,Conciliacao!A36)*(-1)</f>
        <v/>
      </c>
      <c r="K36" s="4">
        <f>SUMIFS(df_blueme_com_parcelamento!J:J,df_blueme_com_parcelamento!M:M,Conciliacao!A36)*(-1)</f>
        <v/>
      </c>
      <c r="L36" s="4">
        <f>SUMIFS(df_mutuos!N:N,df_mutuos!B:B,Conciliacao!A36)*(-1)</f>
        <v/>
      </c>
      <c r="M36" s="8">
        <f>SUMIFS(df_bloqueios_judiciais!G:G,df_bloqueios_judiciais!D:D,Conciliacao!A36,df_bloqueios_judiciais!G:G,"&lt;0")</f>
        <v/>
      </c>
      <c r="N36" s="10">
        <f>SUMIFS(df_extratos!I:I,df_extratos!F:F,Conciliacao!BE36,df_extratos!G:G,"DEBITO")+SUMIFS(df_extratos!I:I,df_extratos!F:F,Conciliacao!A36,df_extratos!G:G,"DEBITO")+SUMIFS(df_extratos!I:I,df_extratos!F:F,Conciliacao!BF36,df_extratos!G:G,"DEBITO")+SUMIFS(df_extratos!I:I,df_extratos!F:F,Conciliacao!BG36,df_extratos!G:G,"DEBITO")+SUMIFS(df_extratos!I:I,df_extratos!F:F,Conciliacao!BH36,df_extratos!G:G,"DEBITO")</f>
        <v/>
      </c>
      <c r="O36" s="11">
        <f>N36-SUM(J36:M36)</f>
        <v/>
      </c>
      <c r="P36" s="25">
        <f>SUMIFS(df_ajustes_conciliaco!D:D,df_ajustes_conciliaco!C:C,Conciliacao!A36)</f>
        <v/>
      </c>
      <c r="Q36" s="22">
        <f>O36+I36-P36</f>
        <v/>
      </c>
      <c r="BE36" s="20" t="n">
        <v>45692.5</v>
      </c>
      <c r="BF36" s="20" t="n">
        <v>45692.125</v>
      </c>
      <c r="BG36" s="20" t="n">
        <v>45692.54166666666</v>
      </c>
      <c r="BH36" s="20" t="n">
        <v>45692.625</v>
      </c>
    </row>
    <row r="37">
      <c r="A37" s="5">
        <f>A36+1</f>
        <v/>
      </c>
      <c r="B37" s="3">
        <f>-SUMIFS(df_extrato_zig!G:G,df_extrato_zig!E:E,Conciliacao!A37,df_extrato_zig!D:D,"Saque")-SUMIFS(df_extrato_zig!G:G,df_extrato_zig!E:E,Conciliacao!A37,df_extrato_zig!D:D,"Antecipação")</f>
        <v/>
      </c>
      <c r="C37" s="3">
        <f>SUMIFS(df_extrato_zig!E:E,df_extrato_zig!L:L,Conciliacao!A37,df_extrato_zig!F:F,"DINHEIRO")</f>
        <v/>
      </c>
      <c r="D37" s="3">
        <f>SUMIFS(view_parc_agrup!H:H,view_parc_agrup!G:G,Conciliacao!A37)</f>
        <v/>
      </c>
      <c r="E37" s="3">
        <f>SUMIFS(df_eventos!F:F,df_eventos!H:H,Conciliacao!A37)</f>
        <v/>
      </c>
      <c r="F37" s="3">
        <f>SUMIFS(df_mutuos!M:M,df_mutuos!B:B,Conciliacao!A37)</f>
        <v/>
      </c>
      <c r="G37" s="6">
        <f>SUMIFS(df_bloqueios_judiciais!G:G,df_bloqueios_judiciais!D:D,Conciliacao!A37,df_bloqueios_judiciais!G:G,"&gt;0")</f>
        <v/>
      </c>
      <c r="H37" s="7">
        <f>SUMIFS(df_extratos!I:I,df_extratos!F:F,Conciliacao!BE37,df_extratos!G:G,"CREDITO")+SUMIFS(df_extratos!I:I,df_extratos!F:F,Conciliacao!A37,df_extratos!G:G,"CREDITO")+SUMIFS(df_extratos!I:I,df_extratos!F:F,Conciliacao!BF37,df_extratos!G:G,"CREDITO")+SUMIFS(df_extratos!I:I,df_extratos!F:F,Conciliacao!BG37,df_extratos!G:G,"CREDITO")+SUMIFS(df_extratos!I:I,df_extratos!F:F,Conciliacao!BH37,df_extratos!G:G,"CREDITO")</f>
        <v/>
      </c>
      <c r="I37" s="9">
        <f>H37-SUM(B37:G37)</f>
        <v/>
      </c>
      <c r="J37" s="4">
        <f>SUMIFS(df_blueme_sem_parcelamento!E:E,df_blueme_sem_parcelamento!H:H,Conciliacao!A37)*(-1)</f>
        <v/>
      </c>
      <c r="K37" s="4">
        <f>SUMIFS(df_blueme_com_parcelamento!J:J,df_blueme_com_parcelamento!M:M,Conciliacao!A37)*(-1)</f>
        <v/>
      </c>
      <c r="L37" s="4">
        <f>SUMIFS(df_mutuos!N:N,df_mutuos!B:B,Conciliacao!A37)*(-1)</f>
        <v/>
      </c>
      <c r="M37" s="8">
        <f>SUMIFS(df_bloqueios_judiciais!G:G,df_bloqueios_judiciais!D:D,Conciliacao!A37,df_bloqueios_judiciais!G:G,"&lt;0")</f>
        <v/>
      </c>
      <c r="N37" s="10">
        <f>SUMIFS(df_extratos!I:I,df_extratos!F:F,Conciliacao!BE37,df_extratos!G:G,"DEBITO")+SUMIFS(df_extratos!I:I,df_extratos!F:F,Conciliacao!A37,df_extratos!G:G,"DEBITO")+SUMIFS(df_extratos!I:I,df_extratos!F:F,Conciliacao!BF37,df_extratos!G:G,"DEBITO")+SUMIFS(df_extratos!I:I,df_extratos!F:F,Conciliacao!BG37,df_extratos!G:G,"DEBITO")+SUMIFS(df_extratos!I:I,df_extratos!F:F,Conciliacao!BH37,df_extratos!G:G,"DEBITO")</f>
        <v/>
      </c>
      <c r="O37" s="11">
        <f>N37-SUM(J37:M37)</f>
        <v/>
      </c>
      <c r="P37" s="25">
        <f>SUMIFS(df_ajustes_conciliaco!D:D,df_ajustes_conciliaco!C:C,Conciliacao!A37)</f>
        <v/>
      </c>
      <c r="Q37" s="22">
        <f>O37+I37-P37</f>
        <v/>
      </c>
      <c r="BE37" s="20" t="n">
        <v>45693.5</v>
      </c>
      <c r="BF37" s="20" t="n">
        <v>45693.125</v>
      </c>
      <c r="BG37" s="20" t="n">
        <v>45693.54166666666</v>
      </c>
      <c r="BH37" s="20" t="n">
        <v>45693.625</v>
      </c>
    </row>
    <row r="38">
      <c r="A38" s="5">
        <f>A37+1</f>
        <v/>
      </c>
      <c r="B38" s="3">
        <f>-SUMIFS(df_extrato_zig!G:G,df_extrato_zig!E:E,Conciliacao!A38,df_extrato_zig!D:D,"Saque")-SUMIFS(df_extrato_zig!G:G,df_extrato_zig!E:E,Conciliacao!A38,df_extrato_zig!D:D,"Antecipação")</f>
        <v/>
      </c>
      <c r="C38" s="3">
        <f>SUMIFS(df_extrato_zig!E:E,df_extrato_zig!L:L,Conciliacao!A38,df_extrato_zig!F:F,"DINHEIRO")</f>
        <v/>
      </c>
      <c r="D38" s="3">
        <f>SUMIFS(view_parc_agrup!H:H,view_parc_agrup!G:G,Conciliacao!A38)</f>
        <v/>
      </c>
      <c r="E38" s="3">
        <f>SUMIFS(df_eventos!F:F,df_eventos!H:H,Conciliacao!A38)</f>
        <v/>
      </c>
      <c r="F38" s="3">
        <f>SUMIFS(df_mutuos!M:M,df_mutuos!B:B,Conciliacao!A38)</f>
        <v/>
      </c>
      <c r="G38" s="6">
        <f>SUMIFS(df_bloqueios_judiciais!G:G,df_bloqueios_judiciais!D:D,Conciliacao!A38,df_bloqueios_judiciais!G:G,"&gt;0")</f>
        <v/>
      </c>
      <c r="H38" s="7">
        <f>SUMIFS(df_extratos!I:I,df_extratos!F:F,Conciliacao!BE38,df_extratos!G:G,"CREDITO")+SUMIFS(df_extratos!I:I,df_extratos!F:F,Conciliacao!A38,df_extratos!G:G,"CREDITO")+SUMIFS(df_extratos!I:I,df_extratos!F:F,Conciliacao!BF38,df_extratos!G:G,"CREDITO")+SUMIFS(df_extratos!I:I,df_extratos!F:F,Conciliacao!BG38,df_extratos!G:G,"CREDITO")+SUMIFS(df_extratos!I:I,df_extratos!F:F,Conciliacao!BH38,df_extratos!G:G,"CREDITO")</f>
        <v/>
      </c>
      <c r="I38" s="9">
        <f>H38-SUM(B38:G38)</f>
        <v/>
      </c>
      <c r="J38" s="4">
        <f>SUMIFS(df_blueme_sem_parcelamento!E:E,df_blueme_sem_parcelamento!H:H,Conciliacao!A38)*(-1)</f>
        <v/>
      </c>
      <c r="K38" s="4">
        <f>SUMIFS(df_blueme_com_parcelamento!J:J,df_blueme_com_parcelamento!M:M,Conciliacao!A38)*(-1)</f>
        <v/>
      </c>
      <c r="L38" s="4">
        <f>SUMIFS(df_mutuos!N:N,df_mutuos!B:B,Conciliacao!A38)*(-1)</f>
        <v/>
      </c>
      <c r="M38" s="8">
        <f>SUMIFS(df_bloqueios_judiciais!G:G,df_bloqueios_judiciais!D:D,Conciliacao!A38,df_bloqueios_judiciais!G:G,"&lt;0")</f>
        <v/>
      </c>
      <c r="N38" s="10">
        <f>SUMIFS(df_extratos!I:I,df_extratos!F:F,Conciliacao!BE38,df_extratos!G:G,"DEBITO")+SUMIFS(df_extratos!I:I,df_extratos!F:F,Conciliacao!A38,df_extratos!G:G,"DEBITO")+SUMIFS(df_extratos!I:I,df_extratos!F:F,Conciliacao!BF38,df_extratos!G:G,"DEBITO")+SUMIFS(df_extratos!I:I,df_extratos!F:F,Conciliacao!BG38,df_extratos!G:G,"DEBITO")+SUMIFS(df_extratos!I:I,df_extratos!F:F,Conciliacao!BH38,df_extratos!G:G,"DEBITO")</f>
        <v/>
      </c>
      <c r="O38" s="11">
        <f>N38-SUM(J38:M38)</f>
        <v/>
      </c>
      <c r="P38" s="25">
        <f>SUMIFS(df_ajustes_conciliaco!D:D,df_ajustes_conciliaco!C:C,Conciliacao!A38)</f>
        <v/>
      </c>
      <c r="Q38" s="22">
        <f>O38+I38-P38</f>
        <v/>
      </c>
      <c r="BE38" s="20" t="n">
        <v>45694.5</v>
      </c>
      <c r="BF38" s="20" t="n">
        <v>45694.125</v>
      </c>
      <c r="BG38" s="20" t="n">
        <v>45694.54166666666</v>
      </c>
      <c r="BH38" s="20" t="n">
        <v>45694.625</v>
      </c>
    </row>
    <row r="39">
      <c r="A39" s="5">
        <f>A38+1</f>
        <v/>
      </c>
      <c r="B39" s="3">
        <f>-SUMIFS(df_extrato_zig!G:G,df_extrato_zig!E:E,Conciliacao!A39,df_extrato_zig!D:D,"Saque")-SUMIFS(df_extrato_zig!G:G,df_extrato_zig!E:E,Conciliacao!A39,df_extrato_zig!D:D,"Antecipação")</f>
        <v/>
      </c>
      <c r="C39" s="3">
        <f>SUMIFS(df_extrato_zig!E:E,df_extrato_zig!L:L,Conciliacao!A39,df_extrato_zig!F:F,"DINHEIRO")</f>
        <v/>
      </c>
      <c r="D39" s="3">
        <f>SUMIFS(view_parc_agrup!H:H,view_parc_agrup!G:G,Conciliacao!A39)</f>
        <v/>
      </c>
      <c r="E39" s="3">
        <f>SUMIFS(df_eventos!F:F,df_eventos!H:H,Conciliacao!A39)</f>
        <v/>
      </c>
      <c r="F39" s="3">
        <f>SUMIFS(df_mutuos!M:M,df_mutuos!B:B,Conciliacao!A39)</f>
        <v/>
      </c>
      <c r="G39" s="6">
        <f>SUMIFS(df_bloqueios_judiciais!G:G,df_bloqueios_judiciais!D:D,Conciliacao!A39,df_bloqueios_judiciais!G:G,"&gt;0")</f>
        <v/>
      </c>
      <c r="H39" s="7">
        <f>SUMIFS(df_extratos!I:I,df_extratos!F:F,Conciliacao!BE39,df_extratos!G:G,"CREDITO")+SUMIFS(df_extratos!I:I,df_extratos!F:F,Conciliacao!A39,df_extratos!G:G,"CREDITO")+SUMIFS(df_extratos!I:I,df_extratos!F:F,Conciliacao!BF39,df_extratos!G:G,"CREDITO")+SUMIFS(df_extratos!I:I,df_extratos!F:F,Conciliacao!BG39,df_extratos!G:G,"CREDITO")+SUMIFS(df_extratos!I:I,df_extratos!F:F,Conciliacao!BH39,df_extratos!G:G,"CREDITO")</f>
        <v/>
      </c>
      <c r="I39" s="9">
        <f>H39-SUM(B39:G39)</f>
        <v/>
      </c>
      <c r="J39" s="4">
        <f>SUMIFS(df_blueme_sem_parcelamento!E:E,df_blueme_sem_parcelamento!H:H,Conciliacao!A39)*(-1)</f>
        <v/>
      </c>
      <c r="K39" s="4">
        <f>SUMIFS(df_blueme_com_parcelamento!J:J,df_blueme_com_parcelamento!M:M,Conciliacao!A39)*(-1)</f>
        <v/>
      </c>
      <c r="L39" s="4">
        <f>SUMIFS(df_mutuos!N:N,df_mutuos!B:B,Conciliacao!A39)*(-1)</f>
        <v/>
      </c>
      <c r="M39" s="8">
        <f>SUMIFS(df_bloqueios_judiciais!G:G,df_bloqueios_judiciais!D:D,Conciliacao!A39,df_bloqueios_judiciais!G:G,"&lt;0")</f>
        <v/>
      </c>
      <c r="N39" s="10">
        <f>SUMIFS(df_extratos!I:I,df_extratos!F:F,Conciliacao!BE39,df_extratos!G:G,"DEBITO")+SUMIFS(df_extratos!I:I,df_extratos!F:F,Conciliacao!A39,df_extratos!G:G,"DEBITO")+SUMIFS(df_extratos!I:I,df_extratos!F:F,Conciliacao!BF39,df_extratos!G:G,"DEBITO")+SUMIFS(df_extratos!I:I,df_extratos!F:F,Conciliacao!BG39,df_extratos!G:G,"DEBITO")+SUMIFS(df_extratos!I:I,df_extratos!F:F,Conciliacao!BH39,df_extratos!G:G,"DEBITO")</f>
        <v/>
      </c>
      <c r="O39" s="11">
        <f>N39-SUM(J39:M39)</f>
        <v/>
      </c>
      <c r="P39" s="25">
        <f>SUMIFS(df_ajustes_conciliaco!D:D,df_ajustes_conciliaco!C:C,Conciliacao!A39)</f>
        <v/>
      </c>
      <c r="Q39" s="22">
        <f>O39+I39-P39</f>
        <v/>
      </c>
      <c r="BE39" s="20" t="n">
        <v>45695.5</v>
      </c>
      <c r="BF39" s="20" t="n">
        <v>45695.125</v>
      </c>
      <c r="BG39" s="20" t="n">
        <v>45695.54166666666</v>
      </c>
      <c r="BH39" s="20" t="n">
        <v>45695.625</v>
      </c>
    </row>
    <row r="40">
      <c r="A40" s="5">
        <f>A39+1</f>
        <v/>
      </c>
      <c r="B40" s="3">
        <f>-SUMIFS(df_extrato_zig!G:G,df_extrato_zig!E:E,Conciliacao!A40,df_extrato_zig!D:D,"Saque")-SUMIFS(df_extrato_zig!G:G,df_extrato_zig!E:E,Conciliacao!A40,df_extrato_zig!D:D,"Antecipação")</f>
        <v/>
      </c>
      <c r="C40" s="3">
        <f>SUMIFS(df_extrato_zig!E:E,df_extrato_zig!L:L,Conciliacao!A40,df_extrato_zig!F:F,"DINHEIRO")</f>
        <v/>
      </c>
      <c r="D40" s="3">
        <f>SUMIFS(view_parc_agrup!H:H,view_parc_agrup!G:G,Conciliacao!A40)</f>
        <v/>
      </c>
      <c r="E40" s="3">
        <f>SUMIFS(df_eventos!F:F,df_eventos!H:H,Conciliacao!A40)</f>
        <v/>
      </c>
      <c r="F40" s="3">
        <f>SUMIFS(df_mutuos!M:M,df_mutuos!B:B,Conciliacao!A40)</f>
        <v/>
      </c>
      <c r="G40" s="6">
        <f>SUMIFS(df_bloqueios_judiciais!G:G,df_bloqueios_judiciais!D:D,Conciliacao!A40,df_bloqueios_judiciais!G:G,"&gt;0")</f>
        <v/>
      </c>
      <c r="H40" s="7">
        <f>SUMIFS(df_extratos!I:I,df_extratos!F:F,Conciliacao!BE40,df_extratos!G:G,"CREDITO")+SUMIFS(df_extratos!I:I,df_extratos!F:F,Conciliacao!A40,df_extratos!G:G,"CREDITO")+SUMIFS(df_extratos!I:I,df_extratos!F:F,Conciliacao!BF40,df_extratos!G:G,"CREDITO")+SUMIFS(df_extratos!I:I,df_extratos!F:F,Conciliacao!BG40,df_extratos!G:G,"CREDITO")+SUMIFS(df_extratos!I:I,df_extratos!F:F,Conciliacao!BH40,df_extratos!G:G,"CREDITO")</f>
        <v/>
      </c>
      <c r="I40" s="9">
        <f>H40-SUM(B40:G40)</f>
        <v/>
      </c>
      <c r="J40" s="4">
        <f>SUMIFS(df_blueme_sem_parcelamento!E:E,df_blueme_sem_parcelamento!H:H,Conciliacao!A40)*(-1)</f>
        <v/>
      </c>
      <c r="K40" s="4">
        <f>SUMIFS(df_blueme_com_parcelamento!J:J,df_blueme_com_parcelamento!M:M,Conciliacao!A40)*(-1)</f>
        <v/>
      </c>
      <c r="L40" s="4">
        <f>SUMIFS(df_mutuos!N:N,df_mutuos!B:B,Conciliacao!A40)*(-1)</f>
        <v/>
      </c>
      <c r="M40" s="8">
        <f>SUMIFS(df_bloqueios_judiciais!G:G,df_bloqueios_judiciais!D:D,Conciliacao!A40,df_bloqueios_judiciais!G:G,"&lt;0")</f>
        <v/>
      </c>
      <c r="N40" s="10">
        <f>SUMIFS(df_extratos!I:I,df_extratos!F:F,Conciliacao!BE40,df_extratos!G:G,"DEBITO")+SUMIFS(df_extratos!I:I,df_extratos!F:F,Conciliacao!A40,df_extratos!G:G,"DEBITO")+SUMIFS(df_extratos!I:I,df_extratos!F:F,Conciliacao!BF40,df_extratos!G:G,"DEBITO")+SUMIFS(df_extratos!I:I,df_extratos!F:F,Conciliacao!BG40,df_extratos!G:G,"DEBITO")+SUMIFS(df_extratos!I:I,df_extratos!F:F,Conciliacao!BH40,df_extratos!G:G,"DEBITO")</f>
        <v/>
      </c>
      <c r="O40" s="11">
        <f>N40-SUM(J40:M40)</f>
        <v/>
      </c>
      <c r="P40" s="25">
        <f>SUMIFS(df_ajustes_conciliaco!D:D,df_ajustes_conciliaco!C:C,Conciliacao!A40)</f>
        <v/>
      </c>
      <c r="Q40" s="22">
        <f>O40+I40-P40</f>
        <v/>
      </c>
      <c r="BE40" s="20" t="n">
        <v>45696.5</v>
      </c>
      <c r="BF40" s="20" t="n">
        <v>45696.125</v>
      </c>
      <c r="BG40" s="20" t="n">
        <v>45696.54166666666</v>
      </c>
      <c r="BH40" s="20" t="n">
        <v>45696.625</v>
      </c>
    </row>
    <row r="41">
      <c r="A41" s="5">
        <f>A40+1</f>
        <v/>
      </c>
      <c r="B41" s="3">
        <f>-SUMIFS(df_extrato_zig!G:G,df_extrato_zig!E:E,Conciliacao!A41,df_extrato_zig!D:D,"Saque")-SUMIFS(df_extrato_zig!G:G,df_extrato_zig!E:E,Conciliacao!A41,df_extrato_zig!D:D,"Antecipação")</f>
        <v/>
      </c>
      <c r="C41" s="3">
        <f>SUMIFS(df_extrato_zig!E:E,df_extrato_zig!L:L,Conciliacao!A41,df_extrato_zig!F:F,"DINHEIRO")</f>
        <v/>
      </c>
      <c r="D41" s="3">
        <f>SUMIFS(view_parc_agrup!H:H,view_parc_agrup!G:G,Conciliacao!A41)</f>
        <v/>
      </c>
      <c r="E41" s="3">
        <f>SUMIFS(df_eventos!F:F,df_eventos!H:H,Conciliacao!A41)</f>
        <v/>
      </c>
      <c r="F41" s="3">
        <f>SUMIFS(df_mutuos!M:M,df_mutuos!B:B,Conciliacao!A41)</f>
        <v/>
      </c>
      <c r="G41" s="6">
        <f>SUMIFS(df_bloqueios_judiciais!G:G,df_bloqueios_judiciais!D:D,Conciliacao!A41,df_bloqueios_judiciais!G:G,"&gt;0")</f>
        <v/>
      </c>
      <c r="H41" s="7">
        <f>SUMIFS(df_extratos!I:I,df_extratos!F:F,Conciliacao!BE41,df_extratos!G:G,"CREDITO")+SUMIFS(df_extratos!I:I,df_extratos!F:F,Conciliacao!A41,df_extratos!G:G,"CREDITO")+SUMIFS(df_extratos!I:I,df_extratos!F:F,Conciliacao!BF41,df_extratos!G:G,"CREDITO")+SUMIFS(df_extratos!I:I,df_extratos!F:F,Conciliacao!BG41,df_extratos!G:G,"CREDITO")+SUMIFS(df_extratos!I:I,df_extratos!F:F,Conciliacao!BH41,df_extratos!G:G,"CREDITO")</f>
        <v/>
      </c>
      <c r="I41" s="9">
        <f>H41-SUM(B41:G41)</f>
        <v/>
      </c>
      <c r="J41" s="4">
        <f>SUMIFS(df_blueme_sem_parcelamento!E:E,df_blueme_sem_parcelamento!H:H,Conciliacao!A41)*(-1)</f>
        <v/>
      </c>
      <c r="K41" s="4">
        <f>SUMIFS(df_blueme_com_parcelamento!J:J,df_blueme_com_parcelamento!M:M,Conciliacao!A41)*(-1)</f>
        <v/>
      </c>
      <c r="L41" s="4">
        <f>SUMIFS(df_mutuos!N:N,df_mutuos!B:B,Conciliacao!A41)*(-1)</f>
        <v/>
      </c>
      <c r="M41" s="8">
        <f>SUMIFS(df_bloqueios_judiciais!G:G,df_bloqueios_judiciais!D:D,Conciliacao!A41,df_bloqueios_judiciais!G:G,"&lt;0")</f>
        <v/>
      </c>
      <c r="N41" s="10">
        <f>SUMIFS(df_extratos!I:I,df_extratos!F:F,Conciliacao!BE41,df_extratos!G:G,"DEBITO")+SUMIFS(df_extratos!I:I,df_extratos!F:F,Conciliacao!A41,df_extratos!G:G,"DEBITO")+SUMIFS(df_extratos!I:I,df_extratos!F:F,Conciliacao!BF41,df_extratos!G:G,"DEBITO")+SUMIFS(df_extratos!I:I,df_extratos!F:F,Conciliacao!BG41,df_extratos!G:G,"DEBITO")+SUMIFS(df_extratos!I:I,df_extratos!F:F,Conciliacao!BH41,df_extratos!G:G,"DEBITO")</f>
        <v/>
      </c>
      <c r="O41" s="11">
        <f>N41-SUM(J41:M41)</f>
        <v/>
      </c>
      <c r="P41" s="25">
        <f>SUMIFS(df_ajustes_conciliaco!D:D,df_ajustes_conciliaco!C:C,Conciliacao!A41)</f>
        <v/>
      </c>
      <c r="Q41" s="22">
        <f>O41+I41-P41</f>
        <v/>
      </c>
      <c r="BE41" s="20" t="n">
        <v>45697.5</v>
      </c>
      <c r="BF41" s="20" t="n">
        <v>45697.125</v>
      </c>
      <c r="BG41" s="20" t="n">
        <v>45697.54166666666</v>
      </c>
      <c r="BH41" s="20" t="n">
        <v>45697.625</v>
      </c>
    </row>
    <row r="42">
      <c r="A42" s="5">
        <f>A41+1</f>
        <v/>
      </c>
      <c r="B42" s="3">
        <f>-SUMIFS(df_extrato_zig!G:G,df_extrato_zig!E:E,Conciliacao!A42,df_extrato_zig!D:D,"Saque")-SUMIFS(df_extrato_zig!G:G,df_extrato_zig!E:E,Conciliacao!A42,df_extrato_zig!D:D,"Antecipação")</f>
        <v/>
      </c>
      <c r="C42" s="3">
        <f>SUMIFS(df_extrato_zig!E:E,df_extrato_zig!L:L,Conciliacao!A42,df_extrato_zig!F:F,"DINHEIRO")</f>
        <v/>
      </c>
      <c r="D42" s="3">
        <f>SUMIFS(view_parc_agrup!H:H,view_parc_agrup!G:G,Conciliacao!A42)</f>
        <v/>
      </c>
      <c r="E42" s="3">
        <f>SUMIFS(df_eventos!F:F,df_eventos!H:H,Conciliacao!A42)</f>
        <v/>
      </c>
      <c r="F42" s="3">
        <f>SUMIFS(df_mutuos!M:M,df_mutuos!B:B,Conciliacao!A42)</f>
        <v/>
      </c>
      <c r="G42" s="6">
        <f>SUMIFS(df_bloqueios_judiciais!G:G,df_bloqueios_judiciais!D:D,Conciliacao!A42,df_bloqueios_judiciais!G:G,"&gt;0")</f>
        <v/>
      </c>
      <c r="H42" s="7">
        <f>SUMIFS(df_extratos!I:I,df_extratos!F:F,Conciliacao!BE42,df_extratos!G:G,"CREDITO")+SUMIFS(df_extratos!I:I,df_extratos!F:F,Conciliacao!A42,df_extratos!G:G,"CREDITO")+SUMIFS(df_extratos!I:I,df_extratos!F:F,Conciliacao!BF42,df_extratos!G:G,"CREDITO")+SUMIFS(df_extratos!I:I,df_extratos!F:F,Conciliacao!BG42,df_extratos!G:G,"CREDITO")+SUMIFS(df_extratos!I:I,df_extratos!F:F,Conciliacao!BH42,df_extratos!G:G,"CREDITO")</f>
        <v/>
      </c>
      <c r="I42" s="9">
        <f>H42-SUM(B42:G42)</f>
        <v/>
      </c>
      <c r="J42" s="4">
        <f>SUMIFS(df_blueme_sem_parcelamento!E:E,df_blueme_sem_parcelamento!H:H,Conciliacao!A42)*(-1)</f>
        <v/>
      </c>
      <c r="K42" s="4">
        <f>SUMIFS(df_blueme_com_parcelamento!J:J,df_blueme_com_parcelamento!M:M,Conciliacao!A42)*(-1)</f>
        <v/>
      </c>
      <c r="L42" s="4">
        <f>SUMIFS(df_mutuos!N:N,df_mutuos!B:B,Conciliacao!A42)*(-1)</f>
        <v/>
      </c>
      <c r="M42" s="8">
        <f>SUMIFS(df_bloqueios_judiciais!G:G,df_bloqueios_judiciais!D:D,Conciliacao!A42,df_bloqueios_judiciais!G:G,"&lt;0")</f>
        <v/>
      </c>
      <c r="N42" s="10">
        <f>SUMIFS(df_extratos!I:I,df_extratos!F:F,Conciliacao!BE42,df_extratos!G:G,"DEBITO")+SUMIFS(df_extratos!I:I,df_extratos!F:F,Conciliacao!A42,df_extratos!G:G,"DEBITO")+SUMIFS(df_extratos!I:I,df_extratos!F:F,Conciliacao!BF42,df_extratos!G:G,"DEBITO")+SUMIFS(df_extratos!I:I,df_extratos!F:F,Conciliacao!BG42,df_extratos!G:G,"DEBITO")+SUMIFS(df_extratos!I:I,df_extratos!F:F,Conciliacao!BH42,df_extratos!G:G,"DEBITO")</f>
        <v/>
      </c>
      <c r="O42" s="11">
        <f>N42-SUM(J42:M42)</f>
        <v/>
      </c>
      <c r="P42" s="25">
        <f>SUMIFS(df_ajustes_conciliaco!D:D,df_ajustes_conciliaco!C:C,Conciliacao!A42)</f>
        <v/>
      </c>
      <c r="Q42" s="22">
        <f>O42+I42-P42</f>
        <v/>
      </c>
      <c r="BE42" s="20" t="n">
        <v>45698.5</v>
      </c>
      <c r="BF42" s="20" t="n">
        <v>45698.125</v>
      </c>
      <c r="BG42" s="20" t="n">
        <v>45698.54166666666</v>
      </c>
      <c r="BH42" s="20" t="n">
        <v>45698.625</v>
      </c>
    </row>
    <row r="43">
      <c r="A43" s="5">
        <f>A42+1</f>
        <v/>
      </c>
      <c r="B43" s="3">
        <f>-SUMIFS(df_extrato_zig!G:G,df_extrato_zig!E:E,Conciliacao!A43,df_extrato_zig!D:D,"Saque")-SUMIFS(df_extrato_zig!G:G,df_extrato_zig!E:E,Conciliacao!A43,df_extrato_zig!D:D,"Antecipação")</f>
        <v/>
      </c>
      <c r="C43" s="3">
        <f>SUMIFS(df_extrato_zig!E:E,df_extrato_zig!L:L,Conciliacao!A43,df_extrato_zig!F:F,"DINHEIRO")</f>
        <v/>
      </c>
      <c r="D43" s="3">
        <f>SUMIFS(view_parc_agrup!H:H,view_parc_agrup!G:G,Conciliacao!A43)</f>
        <v/>
      </c>
      <c r="E43" s="3">
        <f>SUMIFS(df_eventos!F:F,df_eventos!H:H,Conciliacao!A43)</f>
        <v/>
      </c>
      <c r="F43" s="3">
        <f>SUMIFS(df_mutuos!M:M,df_mutuos!B:B,Conciliacao!A43)</f>
        <v/>
      </c>
      <c r="G43" s="6">
        <f>SUMIFS(df_bloqueios_judiciais!G:G,df_bloqueios_judiciais!D:D,Conciliacao!A43,df_bloqueios_judiciais!G:G,"&gt;0")</f>
        <v/>
      </c>
      <c r="H43" s="7">
        <f>SUMIFS(df_extratos!I:I,df_extratos!F:F,Conciliacao!BE43,df_extratos!G:G,"CREDITO")+SUMIFS(df_extratos!I:I,df_extratos!F:F,Conciliacao!A43,df_extratos!G:G,"CREDITO")+SUMIFS(df_extratos!I:I,df_extratos!F:F,Conciliacao!BF43,df_extratos!G:G,"CREDITO")+SUMIFS(df_extratos!I:I,df_extratos!F:F,Conciliacao!BG43,df_extratos!G:G,"CREDITO")+SUMIFS(df_extratos!I:I,df_extratos!F:F,Conciliacao!BH43,df_extratos!G:G,"CREDITO")</f>
        <v/>
      </c>
      <c r="I43" s="9">
        <f>H43-SUM(B43:G43)</f>
        <v/>
      </c>
      <c r="J43" s="4">
        <f>SUMIFS(df_blueme_sem_parcelamento!E:E,df_blueme_sem_parcelamento!H:H,Conciliacao!A43)*(-1)</f>
        <v/>
      </c>
      <c r="K43" s="4">
        <f>SUMIFS(df_blueme_com_parcelamento!J:J,df_blueme_com_parcelamento!M:M,Conciliacao!A43)*(-1)</f>
        <v/>
      </c>
      <c r="L43" s="4">
        <f>SUMIFS(df_mutuos!N:N,df_mutuos!B:B,Conciliacao!A43)*(-1)</f>
        <v/>
      </c>
      <c r="M43" s="8">
        <f>SUMIFS(df_bloqueios_judiciais!G:G,df_bloqueios_judiciais!D:D,Conciliacao!A43,df_bloqueios_judiciais!G:G,"&lt;0")</f>
        <v/>
      </c>
      <c r="N43" s="10">
        <f>SUMIFS(df_extratos!I:I,df_extratos!F:F,Conciliacao!BE43,df_extratos!G:G,"DEBITO")+SUMIFS(df_extratos!I:I,df_extratos!F:F,Conciliacao!A43,df_extratos!G:G,"DEBITO")+SUMIFS(df_extratos!I:I,df_extratos!F:F,Conciliacao!BF43,df_extratos!G:G,"DEBITO")+SUMIFS(df_extratos!I:I,df_extratos!F:F,Conciliacao!BG43,df_extratos!G:G,"DEBITO")+SUMIFS(df_extratos!I:I,df_extratos!F:F,Conciliacao!BH43,df_extratos!G:G,"DEBITO")</f>
        <v/>
      </c>
      <c r="O43" s="11">
        <f>N43-SUM(J43:M43)</f>
        <v/>
      </c>
      <c r="P43" s="25">
        <f>SUMIFS(df_ajustes_conciliaco!D:D,df_ajustes_conciliaco!C:C,Conciliacao!A43)</f>
        <v/>
      </c>
      <c r="Q43" s="22">
        <f>O43+I43-P43</f>
        <v/>
      </c>
      <c r="BE43" s="20" t="n">
        <v>45699.5</v>
      </c>
      <c r="BF43" s="20" t="n">
        <v>45699.125</v>
      </c>
      <c r="BG43" s="20" t="n">
        <v>45699.54166666666</v>
      </c>
      <c r="BH43" s="20" t="n">
        <v>45699.625</v>
      </c>
    </row>
    <row r="44">
      <c r="A44" s="5">
        <f>A43+1</f>
        <v/>
      </c>
      <c r="B44" s="3">
        <f>-SUMIFS(df_extrato_zig!G:G,df_extrato_zig!E:E,Conciliacao!A44,df_extrato_zig!D:D,"Saque")-SUMIFS(df_extrato_zig!G:G,df_extrato_zig!E:E,Conciliacao!A44,df_extrato_zig!D:D,"Antecipação")</f>
        <v/>
      </c>
      <c r="C44" s="3">
        <f>SUMIFS(df_extrato_zig!E:E,df_extrato_zig!L:L,Conciliacao!A44,df_extrato_zig!F:F,"DINHEIRO")</f>
        <v/>
      </c>
      <c r="D44" s="3">
        <f>SUMIFS(view_parc_agrup!H:H,view_parc_agrup!G:G,Conciliacao!A44)</f>
        <v/>
      </c>
      <c r="E44" s="3">
        <f>SUMIFS(df_eventos!F:F,df_eventos!H:H,Conciliacao!A44)</f>
        <v/>
      </c>
      <c r="F44" s="3">
        <f>SUMIFS(df_mutuos!M:M,df_mutuos!B:B,Conciliacao!A44)</f>
        <v/>
      </c>
      <c r="G44" s="6">
        <f>SUMIFS(df_bloqueios_judiciais!G:G,df_bloqueios_judiciais!D:D,Conciliacao!A44,df_bloqueios_judiciais!G:G,"&gt;0")</f>
        <v/>
      </c>
      <c r="H44" s="7">
        <f>SUMIFS(df_extratos!I:I,df_extratos!F:F,Conciliacao!BE44,df_extratos!G:G,"CREDITO")+SUMIFS(df_extratos!I:I,df_extratos!F:F,Conciliacao!A44,df_extratos!G:G,"CREDITO")+SUMIFS(df_extratos!I:I,df_extratos!F:F,Conciliacao!BF44,df_extratos!G:G,"CREDITO")+SUMIFS(df_extratos!I:I,df_extratos!F:F,Conciliacao!BG44,df_extratos!G:G,"CREDITO")+SUMIFS(df_extratos!I:I,df_extratos!F:F,Conciliacao!BH44,df_extratos!G:G,"CREDITO")</f>
        <v/>
      </c>
      <c r="I44" s="9">
        <f>H44-SUM(B44:G44)</f>
        <v/>
      </c>
      <c r="J44" s="4">
        <f>SUMIFS(df_blueme_sem_parcelamento!E:E,df_blueme_sem_parcelamento!H:H,Conciliacao!A44)*(-1)</f>
        <v/>
      </c>
      <c r="K44" s="4">
        <f>SUMIFS(df_blueme_com_parcelamento!J:J,df_blueme_com_parcelamento!M:M,Conciliacao!A44)*(-1)</f>
        <v/>
      </c>
      <c r="L44" s="4">
        <f>SUMIFS(df_mutuos!N:N,df_mutuos!B:B,Conciliacao!A44)*(-1)</f>
        <v/>
      </c>
      <c r="M44" s="8">
        <f>SUMIFS(df_bloqueios_judiciais!G:G,df_bloqueios_judiciais!D:D,Conciliacao!A44,df_bloqueios_judiciais!G:G,"&lt;0")</f>
        <v/>
      </c>
      <c r="N44" s="10">
        <f>SUMIFS(df_extratos!I:I,df_extratos!F:F,Conciliacao!BE44,df_extratos!G:G,"DEBITO")+SUMIFS(df_extratos!I:I,df_extratos!F:F,Conciliacao!A44,df_extratos!G:G,"DEBITO")+SUMIFS(df_extratos!I:I,df_extratos!F:F,Conciliacao!BF44,df_extratos!G:G,"DEBITO")+SUMIFS(df_extratos!I:I,df_extratos!F:F,Conciliacao!BG44,df_extratos!G:G,"DEBITO")+SUMIFS(df_extratos!I:I,df_extratos!F:F,Conciliacao!BH44,df_extratos!G:G,"DEBITO")</f>
        <v/>
      </c>
      <c r="O44" s="11">
        <f>N44-SUM(J44:M44)</f>
        <v/>
      </c>
      <c r="P44" s="25">
        <f>SUMIFS(df_ajustes_conciliaco!D:D,df_ajustes_conciliaco!C:C,Conciliacao!A44)</f>
        <v/>
      </c>
      <c r="Q44" s="22">
        <f>O44+I44-P44</f>
        <v/>
      </c>
      <c r="BE44" s="20" t="n">
        <v>45700.5</v>
      </c>
      <c r="BF44" s="20" t="n">
        <v>45700.125</v>
      </c>
      <c r="BG44" s="20" t="n">
        <v>45700.54166666666</v>
      </c>
      <c r="BH44" s="20" t="n">
        <v>45700.625</v>
      </c>
    </row>
    <row r="45">
      <c r="A45" s="5">
        <f>A44+1</f>
        <v/>
      </c>
      <c r="B45" s="3">
        <f>-SUMIFS(df_extrato_zig!G:G,df_extrato_zig!E:E,Conciliacao!A45,df_extrato_zig!D:D,"Saque")-SUMIFS(df_extrato_zig!G:G,df_extrato_zig!E:E,Conciliacao!A45,df_extrato_zig!D:D,"Antecipação")</f>
        <v/>
      </c>
      <c r="C45" s="3">
        <f>SUMIFS(df_extrato_zig!E:E,df_extrato_zig!L:L,Conciliacao!A45,df_extrato_zig!F:F,"DINHEIRO")</f>
        <v/>
      </c>
      <c r="D45" s="3">
        <f>SUMIFS(view_parc_agrup!H:H,view_parc_agrup!G:G,Conciliacao!A45)</f>
        <v/>
      </c>
      <c r="E45" s="3">
        <f>SUMIFS(df_eventos!F:F,df_eventos!H:H,Conciliacao!A45)</f>
        <v/>
      </c>
      <c r="F45" s="3">
        <f>SUMIFS(df_mutuos!M:M,df_mutuos!B:B,Conciliacao!A45)</f>
        <v/>
      </c>
      <c r="G45" s="6">
        <f>SUMIFS(df_bloqueios_judiciais!G:G,df_bloqueios_judiciais!D:D,Conciliacao!A45,df_bloqueios_judiciais!G:G,"&gt;0")</f>
        <v/>
      </c>
      <c r="H45" s="7">
        <f>SUMIFS(df_extratos!I:I,df_extratos!F:F,Conciliacao!BE45,df_extratos!G:G,"CREDITO")+SUMIFS(df_extratos!I:I,df_extratos!F:F,Conciliacao!A45,df_extratos!G:G,"CREDITO")+SUMIFS(df_extratos!I:I,df_extratos!F:F,Conciliacao!BF45,df_extratos!G:G,"CREDITO")+SUMIFS(df_extratos!I:I,df_extratos!F:F,Conciliacao!BG45,df_extratos!G:G,"CREDITO")+SUMIFS(df_extratos!I:I,df_extratos!F:F,Conciliacao!BH45,df_extratos!G:G,"CREDITO")</f>
        <v/>
      </c>
      <c r="I45" s="9">
        <f>H45-SUM(B45:G45)</f>
        <v/>
      </c>
      <c r="J45" s="4">
        <f>SUMIFS(df_blueme_sem_parcelamento!E:E,df_blueme_sem_parcelamento!H:H,Conciliacao!A45)*(-1)</f>
        <v/>
      </c>
      <c r="K45" s="4">
        <f>SUMIFS(df_blueme_com_parcelamento!J:J,df_blueme_com_parcelamento!M:M,Conciliacao!A45)*(-1)</f>
        <v/>
      </c>
      <c r="L45" s="4">
        <f>SUMIFS(df_mutuos!N:N,df_mutuos!B:B,Conciliacao!A45)*(-1)</f>
        <v/>
      </c>
      <c r="M45" s="8">
        <f>SUMIFS(df_bloqueios_judiciais!G:G,df_bloqueios_judiciais!D:D,Conciliacao!A45,df_bloqueios_judiciais!G:G,"&lt;0")</f>
        <v/>
      </c>
      <c r="N45" s="10">
        <f>SUMIFS(df_extratos!I:I,df_extratos!F:F,Conciliacao!BE45,df_extratos!G:G,"DEBITO")+SUMIFS(df_extratos!I:I,df_extratos!F:F,Conciliacao!A45,df_extratos!G:G,"DEBITO")+SUMIFS(df_extratos!I:I,df_extratos!F:F,Conciliacao!BF45,df_extratos!G:G,"DEBITO")+SUMIFS(df_extratos!I:I,df_extratos!F:F,Conciliacao!BG45,df_extratos!G:G,"DEBITO")+SUMIFS(df_extratos!I:I,df_extratos!F:F,Conciliacao!BH45,df_extratos!G:G,"DEBITO")</f>
        <v/>
      </c>
      <c r="O45" s="11">
        <f>N45-SUM(J45:M45)</f>
        <v/>
      </c>
      <c r="P45" s="25">
        <f>SUMIFS(df_ajustes_conciliaco!D:D,df_ajustes_conciliaco!C:C,Conciliacao!A45)</f>
        <v/>
      </c>
      <c r="Q45" s="22">
        <f>O45+I45-P45</f>
        <v/>
      </c>
      <c r="BE45" s="20" t="n">
        <v>45701.5</v>
      </c>
      <c r="BF45" s="20" t="n">
        <v>45701.125</v>
      </c>
      <c r="BG45" s="20" t="n">
        <v>45701.54166666666</v>
      </c>
      <c r="BH45" s="20" t="n">
        <v>45701.625</v>
      </c>
    </row>
    <row r="46">
      <c r="A46" s="5">
        <f>A45+1</f>
        <v/>
      </c>
      <c r="B46" s="3">
        <f>-SUMIFS(df_extrato_zig!G:G,df_extrato_zig!E:E,Conciliacao!A46,df_extrato_zig!D:D,"Saque")-SUMIFS(df_extrato_zig!G:G,df_extrato_zig!E:E,Conciliacao!A46,df_extrato_zig!D:D,"Antecipação")</f>
        <v/>
      </c>
      <c r="C46" s="3">
        <f>SUMIFS(df_extrato_zig!E:E,df_extrato_zig!L:L,Conciliacao!A46,df_extrato_zig!F:F,"DINHEIRO")</f>
        <v/>
      </c>
      <c r="D46" s="3">
        <f>SUMIFS(view_parc_agrup!H:H,view_parc_agrup!G:G,Conciliacao!A46)</f>
        <v/>
      </c>
      <c r="E46" s="3">
        <f>SUMIFS(df_eventos!F:F,df_eventos!H:H,Conciliacao!A46)</f>
        <v/>
      </c>
      <c r="F46" s="3">
        <f>SUMIFS(df_mutuos!M:M,df_mutuos!B:B,Conciliacao!A46)</f>
        <v/>
      </c>
      <c r="G46" s="6">
        <f>SUMIFS(df_bloqueios_judiciais!G:G,df_bloqueios_judiciais!D:D,Conciliacao!A46,df_bloqueios_judiciais!G:G,"&gt;0")</f>
        <v/>
      </c>
      <c r="H46" s="7">
        <f>SUMIFS(df_extratos!I:I,df_extratos!F:F,Conciliacao!BE46,df_extratos!G:G,"CREDITO")+SUMIFS(df_extratos!I:I,df_extratos!F:F,Conciliacao!A46,df_extratos!G:G,"CREDITO")+SUMIFS(df_extratos!I:I,df_extratos!F:F,Conciliacao!BF46,df_extratos!G:G,"CREDITO")+SUMIFS(df_extratos!I:I,df_extratos!F:F,Conciliacao!BG46,df_extratos!G:G,"CREDITO")+SUMIFS(df_extratos!I:I,df_extratos!F:F,Conciliacao!BH46,df_extratos!G:G,"CREDITO")</f>
        <v/>
      </c>
      <c r="I46" s="9">
        <f>H46-SUM(B46:G46)</f>
        <v/>
      </c>
      <c r="J46" s="4">
        <f>SUMIFS(df_blueme_sem_parcelamento!E:E,df_blueme_sem_parcelamento!H:H,Conciliacao!A46)*(-1)</f>
        <v/>
      </c>
      <c r="K46" s="4">
        <f>SUMIFS(df_blueme_com_parcelamento!J:J,df_blueme_com_parcelamento!M:M,Conciliacao!A46)*(-1)</f>
        <v/>
      </c>
      <c r="L46" s="4">
        <f>SUMIFS(df_mutuos!N:N,df_mutuos!B:B,Conciliacao!A46)*(-1)</f>
        <v/>
      </c>
      <c r="M46" s="8">
        <f>SUMIFS(df_bloqueios_judiciais!G:G,df_bloqueios_judiciais!D:D,Conciliacao!A46,df_bloqueios_judiciais!G:G,"&lt;0")</f>
        <v/>
      </c>
      <c r="N46" s="10">
        <f>SUMIFS(df_extratos!I:I,df_extratos!F:F,Conciliacao!BE46,df_extratos!G:G,"DEBITO")+SUMIFS(df_extratos!I:I,df_extratos!F:F,Conciliacao!A46,df_extratos!G:G,"DEBITO")+SUMIFS(df_extratos!I:I,df_extratos!F:F,Conciliacao!BF46,df_extratos!G:G,"DEBITO")+SUMIFS(df_extratos!I:I,df_extratos!F:F,Conciliacao!BG46,df_extratos!G:G,"DEBITO")+SUMIFS(df_extratos!I:I,df_extratos!F:F,Conciliacao!BH46,df_extratos!G:G,"DEBITO")</f>
        <v/>
      </c>
      <c r="O46" s="11">
        <f>N46-SUM(J46:M46)</f>
        <v/>
      </c>
      <c r="P46" s="25">
        <f>SUMIFS(df_ajustes_conciliaco!D:D,df_ajustes_conciliaco!C:C,Conciliacao!A46)</f>
        <v/>
      </c>
      <c r="Q46" s="22">
        <f>O46+I46-P46</f>
        <v/>
      </c>
      <c r="BE46" s="20" t="n">
        <v>45702.5</v>
      </c>
      <c r="BF46" s="20" t="n">
        <v>45702.125</v>
      </c>
      <c r="BG46" s="20" t="n">
        <v>45702.54166666666</v>
      </c>
      <c r="BH46" s="20" t="n">
        <v>45702.625</v>
      </c>
    </row>
    <row r="47">
      <c r="A47" s="5">
        <f>A46+1</f>
        <v/>
      </c>
      <c r="B47" s="3">
        <f>-SUMIFS(df_extrato_zig!G:G,df_extrato_zig!E:E,Conciliacao!A47,df_extrato_zig!D:D,"Saque")-SUMIFS(df_extrato_zig!G:G,df_extrato_zig!E:E,Conciliacao!A47,df_extrato_zig!D:D,"Antecipação")</f>
        <v/>
      </c>
      <c r="C47" s="3">
        <f>SUMIFS(df_extrato_zig!E:E,df_extrato_zig!L:L,Conciliacao!A47,df_extrato_zig!F:F,"DINHEIRO")</f>
        <v/>
      </c>
      <c r="D47" s="3">
        <f>SUMIFS(view_parc_agrup!H:H,view_parc_agrup!G:G,Conciliacao!A47)</f>
        <v/>
      </c>
      <c r="E47" s="3">
        <f>SUMIFS(df_eventos!F:F,df_eventos!H:H,Conciliacao!A47)</f>
        <v/>
      </c>
      <c r="F47" s="3">
        <f>SUMIFS(df_mutuos!M:M,df_mutuos!B:B,Conciliacao!A47)</f>
        <v/>
      </c>
      <c r="G47" s="6">
        <f>SUMIFS(df_bloqueios_judiciais!G:G,df_bloqueios_judiciais!D:D,Conciliacao!A47,df_bloqueios_judiciais!G:G,"&gt;0")</f>
        <v/>
      </c>
      <c r="H47" s="7">
        <f>SUMIFS(df_extratos!I:I,df_extratos!F:F,Conciliacao!BE47,df_extratos!G:G,"CREDITO")+SUMIFS(df_extratos!I:I,df_extratos!F:F,Conciliacao!A47,df_extratos!G:G,"CREDITO")+SUMIFS(df_extratos!I:I,df_extratos!F:F,Conciliacao!BF47,df_extratos!G:G,"CREDITO")+SUMIFS(df_extratos!I:I,df_extratos!F:F,Conciliacao!BG47,df_extratos!G:G,"CREDITO")+SUMIFS(df_extratos!I:I,df_extratos!F:F,Conciliacao!BH47,df_extratos!G:G,"CREDITO")</f>
        <v/>
      </c>
      <c r="I47" s="9">
        <f>H47-SUM(B47:G47)</f>
        <v/>
      </c>
      <c r="J47" s="4">
        <f>SUMIFS(df_blueme_sem_parcelamento!E:E,df_blueme_sem_parcelamento!H:H,Conciliacao!A47)*(-1)</f>
        <v/>
      </c>
      <c r="K47" s="4">
        <f>SUMIFS(df_blueme_com_parcelamento!J:J,df_blueme_com_parcelamento!M:M,Conciliacao!A47)*(-1)</f>
        <v/>
      </c>
      <c r="L47" s="4">
        <f>SUMIFS(df_mutuos!N:N,df_mutuos!B:B,Conciliacao!A47)*(-1)</f>
        <v/>
      </c>
      <c r="M47" s="8">
        <f>SUMIFS(df_bloqueios_judiciais!G:G,df_bloqueios_judiciais!D:D,Conciliacao!A47,df_bloqueios_judiciais!G:G,"&lt;0")</f>
        <v/>
      </c>
      <c r="N47" s="10">
        <f>SUMIFS(df_extratos!I:I,df_extratos!F:F,Conciliacao!BE47,df_extratos!G:G,"DEBITO")+SUMIFS(df_extratos!I:I,df_extratos!F:F,Conciliacao!A47,df_extratos!G:G,"DEBITO")+SUMIFS(df_extratos!I:I,df_extratos!F:F,Conciliacao!BF47,df_extratos!G:G,"DEBITO")+SUMIFS(df_extratos!I:I,df_extratos!F:F,Conciliacao!BG47,df_extratos!G:G,"DEBITO")+SUMIFS(df_extratos!I:I,df_extratos!F:F,Conciliacao!BH47,df_extratos!G:G,"DEBITO")</f>
        <v/>
      </c>
      <c r="O47" s="11">
        <f>N47-SUM(J47:M47)</f>
        <v/>
      </c>
      <c r="P47" s="25">
        <f>SUMIFS(df_ajustes_conciliaco!D:D,df_ajustes_conciliaco!C:C,Conciliacao!A47)</f>
        <v/>
      </c>
      <c r="Q47" s="22">
        <f>O47+I47-P47</f>
        <v/>
      </c>
      <c r="BE47" s="20" t="n">
        <v>45703.5</v>
      </c>
      <c r="BF47" s="20" t="n">
        <v>45703.125</v>
      </c>
      <c r="BG47" s="20" t="n">
        <v>45703.54166666666</v>
      </c>
      <c r="BH47" s="20" t="n">
        <v>45703.625</v>
      </c>
    </row>
    <row r="48">
      <c r="A48" s="5">
        <f>A47+1</f>
        <v/>
      </c>
      <c r="B48" s="3">
        <f>-SUMIFS(df_extrato_zig!G:G,df_extrato_zig!E:E,Conciliacao!A48,df_extrato_zig!D:D,"Saque")-SUMIFS(df_extrato_zig!G:G,df_extrato_zig!E:E,Conciliacao!A48,df_extrato_zig!D:D,"Antecipação")</f>
        <v/>
      </c>
      <c r="C48" s="3">
        <f>SUMIFS(df_extrato_zig!E:E,df_extrato_zig!L:L,Conciliacao!A48,df_extrato_zig!F:F,"DINHEIRO")</f>
        <v/>
      </c>
      <c r="D48" s="3">
        <f>SUMIFS(view_parc_agrup!H:H,view_parc_agrup!G:G,Conciliacao!A48)</f>
        <v/>
      </c>
      <c r="E48" s="3">
        <f>SUMIFS(df_eventos!F:F,df_eventos!H:H,Conciliacao!A48)</f>
        <v/>
      </c>
      <c r="F48" s="3">
        <f>SUMIFS(df_mutuos!M:M,df_mutuos!B:B,Conciliacao!A48)</f>
        <v/>
      </c>
      <c r="G48" s="6">
        <f>SUMIFS(df_bloqueios_judiciais!G:G,df_bloqueios_judiciais!D:D,Conciliacao!A48,df_bloqueios_judiciais!G:G,"&gt;0")</f>
        <v/>
      </c>
      <c r="H48" s="7">
        <f>SUMIFS(df_extratos!I:I,df_extratos!F:F,Conciliacao!BE48,df_extratos!G:G,"CREDITO")+SUMIFS(df_extratos!I:I,df_extratos!F:F,Conciliacao!A48,df_extratos!G:G,"CREDITO")+SUMIFS(df_extratos!I:I,df_extratos!F:F,Conciliacao!BF48,df_extratos!G:G,"CREDITO")+SUMIFS(df_extratos!I:I,df_extratos!F:F,Conciliacao!BG48,df_extratos!G:G,"CREDITO")+SUMIFS(df_extratos!I:I,df_extratos!F:F,Conciliacao!BH48,df_extratos!G:G,"CREDITO")</f>
        <v/>
      </c>
      <c r="I48" s="9">
        <f>H48-SUM(B48:G48)</f>
        <v/>
      </c>
      <c r="J48" s="4">
        <f>SUMIFS(df_blueme_sem_parcelamento!E:E,df_blueme_sem_parcelamento!H:H,Conciliacao!A48)*(-1)</f>
        <v/>
      </c>
      <c r="K48" s="4">
        <f>SUMIFS(df_blueme_com_parcelamento!J:J,df_blueme_com_parcelamento!M:M,Conciliacao!A48)*(-1)</f>
        <v/>
      </c>
      <c r="L48" s="4">
        <f>SUMIFS(df_mutuos!N:N,df_mutuos!B:B,Conciliacao!A48)*(-1)</f>
        <v/>
      </c>
      <c r="M48" s="8">
        <f>SUMIFS(df_bloqueios_judiciais!G:G,df_bloqueios_judiciais!D:D,Conciliacao!A48,df_bloqueios_judiciais!G:G,"&lt;0")</f>
        <v/>
      </c>
      <c r="N48" s="10">
        <f>SUMIFS(df_extratos!I:I,df_extratos!F:F,Conciliacao!BE48,df_extratos!G:G,"DEBITO")+SUMIFS(df_extratos!I:I,df_extratos!F:F,Conciliacao!A48,df_extratos!G:G,"DEBITO")+SUMIFS(df_extratos!I:I,df_extratos!F:F,Conciliacao!BF48,df_extratos!G:G,"DEBITO")+SUMIFS(df_extratos!I:I,df_extratos!F:F,Conciliacao!BG48,df_extratos!G:G,"DEBITO")+SUMIFS(df_extratos!I:I,df_extratos!F:F,Conciliacao!BH48,df_extratos!G:G,"DEBITO")</f>
        <v/>
      </c>
      <c r="O48" s="11">
        <f>N48-SUM(J48:M48)</f>
        <v/>
      </c>
      <c r="P48" s="25">
        <f>SUMIFS(df_ajustes_conciliaco!D:D,df_ajustes_conciliaco!C:C,Conciliacao!A48)</f>
        <v/>
      </c>
      <c r="Q48" s="22">
        <f>O48+I48-P48</f>
        <v/>
      </c>
      <c r="BE48" s="20" t="n">
        <v>45704.5</v>
      </c>
      <c r="BF48" s="20" t="n">
        <v>45704.125</v>
      </c>
      <c r="BG48" s="20" t="n">
        <v>45704.54166666666</v>
      </c>
      <c r="BH48" s="20" t="n">
        <v>45704.625</v>
      </c>
    </row>
    <row r="49">
      <c r="A49" s="5">
        <f>A48+1</f>
        <v/>
      </c>
      <c r="B49" s="3">
        <f>-SUMIFS(df_extrato_zig!G:G,df_extrato_zig!E:E,Conciliacao!A49,df_extrato_zig!D:D,"Saque")-SUMIFS(df_extrato_zig!G:G,df_extrato_zig!E:E,Conciliacao!A49,df_extrato_zig!D:D,"Antecipação")</f>
        <v/>
      </c>
      <c r="C49" s="3">
        <f>SUMIFS(df_extrato_zig!E:E,df_extrato_zig!L:L,Conciliacao!A49,df_extrato_zig!F:F,"DINHEIRO")</f>
        <v/>
      </c>
      <c r="D49" s="3">
        <f>SUMIFS(view_parc_agrup!H:H,view_parc_agrup!G:G,Conciliacao!A49)</f>
        <v/>
      </c>
      <c r="E49" s="3">
        <f>SUMIFS(df_eventos!F:F,df_eventos!H:H,Conciliacao!A49)</f>
        <v/>
      </c>
      <c r="F49" s="3">
        <f>SUMIFS(df_mutuos!M:M,df_mutuos!B:B,Conciliacao!A49)</f>
        <v/>
      </c>
      <c r="G49" s="6">
        <f>SUMIFS(df_bloqueios_judiciais!G:G,df_bloqueios_judiciais!D:D,Conciliacao!A49,df_bloqueios_judiciais!G:G,"&gt;0")</f>
        <v/>
      </c>
      <c r="H49" s="7">
        <f>SUMIFS(df_extratos!I:I,df_extratos!F:F,Conciliacao!BE49,df_extratos!G:G,"CREDITO")+SUMIFS(df_extratos!I:I,df_extratos!F:F,Conciliacao!A49,df_extratos!G:G,"CREDITO")+SUMIFS(df_extratos!I:I,df_extratos!F:F,Conciliacao!BF49,df_extratos!G:G,"CREDITO")+SUMIFS(df_extratos!I:I,df_extratos!F:F,Conciliacao!BG49,df_extratos!G:G,"CREDITO")+SUMIFS(df_extratos!I:I,df_extratos!F:F,Conciliacao!BH49,df_extratos!G:G,"CREDITO")</f>
        <v/>
      </c>
      <c r="I49" s="9">
        <f>H49-SUM(B49:G49)</f>
        <v/>
      </c>
      <c r="J49" s="4">
        <f>SUMIFS(df_blueme_sem_parcelamento!E:E,df_blueme_sem_parcelamento!H:H,Conciliacao!A49)*(-1)</f>
        <v/>
      </c>
      <c r="K49" s="4">
        <f>SUMIFS(df_blueme_com_parcelamento!J:J,df_blueme_com_parcelamento!M:M,Conciliacao!A49)*(-1)</f>
        <v/>
      </c>
      <c r="L49" s="4">
        <f>SUMIFS(df_mutuos!N:N,df_mutuos!B:B,Conciliacao!A49)*(-1)</f>
        <v/>
      </c>
      <c r="M49" s="8">
        <f>SUMIFS(df_bloqueios_judiciais!G:G,df_bloqueios_judiciais!D:D,Conciliacao!A49,df_bloqueios_judiciais!G:G,"&lt;0")</f>
        <v/>
      </c>
      <c r="N49" s="10">
        <f>SUMIFS(df_extratos!I:I,df_extratos!F:F,Conciliacao!BE49,df_extratos!G:G,"DEBITO")+SUMIFS(df_extratos!I:I,df_extratos!F:F,Conciliacao!A49,df_extratos!G:G,"DEBITO")+SUMIFS(df_extratos!I:I,df_extratos!F:F,Conciliacao!BF49,df_extratos!G:G,"DEBITO")+SUMIFS(df_extratos!I:I,df_extratos!F:F,Conciliacao!BG49,df_extratos!G:G,"DEBITO")+SUMIFS(df_extratos!I:I,df_extratos!F:F,Conciliacao!BH49,df_extratos!G:G,"DEBITO")</f>
        <v/>
      </c>
      <c r="O49" s="11">
        <f>N49-SUM(J49:M49)</f>
        <v/>
      </c>
      <c r="P49" s="25">
        <f>SUMIFS(df_ajustes_conciliaco!D:D,df_ajustes_conciliaco!C:C,Conciliacao!A49)</f>
        <v/>
      </c>
      <c r="Q49" s="22">
        <f>O49+I49-P49</f>
        <v/>
      </c>
      <c r="BE49" s="20" t="n">
        <v>45705.5</v>
      </c>
      <c r="BF49" s="20" t="n">
        <v>45705.125</v>
      </c>
      <c r="BG49" s="20" t="n">
        <v>45705.54166666666</v>
      </c>
      <c r="BH49" s="20" t="n">
        <v>45705.625</v>
      </c>
    </row>
    <row r="50">
      <c r="A50" s="5">
        <f>A49+1</f>
        <v/>
      </c>
      <c r="B50" s="3">
        <f>-SUMIFS(df_extrato_zig!G:G,df_extrato_zig!E:E,Conciliacao!A50,df_extrato_zig!D:D,"Saque")-SUMIFS(df_extrato_zig!G:G,df_extrato_zig!E:E,Conciliacao!A50,df_extrato_zig!D:D,"Antecipação")</f>
        <v/>
      </c>
      <c r="C50" s="3">
        <f>SUMIFS(df_extrato_zig!E:E,df_extrato_zig!L:L,Conciliacao!A50,df_extrato_zig!F:F,"DINHEIRO")</f>
        <v/>
      </c>
      <c r="D50" s="3">
        <f>SUMIFS(view_parc_agrup!H:H,view_parc_agrup!G:G,Conciliacao!A50)</f>
        <v/>
      </c>
      <c r="E50" s="3">
        <f>SUMIFS(df_eventos!F:F,df_eventos!H:H,Conciliacao!A50)</f>
        <v/>
      </c>
      <c r="F50" s="3">
        <f>SUMIFS(df_mutuos!M:M,df_mutuos!B:B,Conciliacao!A50)</f>
        <v/>
      </c>
      <c r="G50" s="6">
        <f>SUMIFS(df_bloqueios_judiciais!G:G,df_bloqueios_judiciais!D:D,Conciliacao!A50,df_bloqueios_judiciais!G:G,"&gt;0")</f>
        <v/>
      </c>
      <c r="H50" s="7">
        <f>SUMIFS(df_extratos!I:I,df_extratos!F:F,Conciliacao!BE50,df_extratos!G:G,"CREDITO")+SUMIFS(df_extratos!I:I,df_extratos!F:F,Conciliacao!A50,df_extratos!G:G,"CREDITO")+SUMIFS(df_extratos!I:I,df_extratos!F:F,Conciliacao!BF50,df_extratos!G:G,"CREDITO")+SUMIFS(df_extratos!I:I,df_extratos!F:F,Conciliacao!BG50,df_extratos!G:G,"CREDITO")+SUMIFS(df_extratos!I:I,df_extratos!F:F,Conciliacao!BH50,df_extratos!G:G,"CREDITO")</f>
        <v/>
      </c>
      <c r="I50" s="9">
        <f>H50-SUM(B50:G50)</f>
        <v/>
      </c>
      <c r="J50" s="4">
        <f>SUMIFS(df_blueme_sem_parcelamento!E:E,df_blueme_sem_parcelamento!H:H,Conciliacao!A50)*(-1)</f>
        <v/>
      </c>
      <c r="K50" s="4">
        <f>SUMIFS(df_blueme_com_parcelamento!J:J,df_blueme_com_parcelamento!M:M,Conciliacao!A50)*(-1)</f>
        <v/>
      </c>
      <c r="L50" s="4">
        <f>SUMIFS(df_mutuos!N:N,df_mutuos!B:B,Conciliacao!A50)*(-1)</f>
        <v/>
      </c>
      <c r="M50" s="8">
        <f>SUMIFS(df_bloqueios_judiciais!G:G,df_bloqueios_judiciais!D:D,Conciliacao!A50,df_bloqueios_judiciais!G:G,"&lt;0")</f>
        <v/>
      </c>
      <c r="N50" s="10">
        <f>SUMIFS(df_extratos!I:I,df_extratos!F:F,Conciliacao!BE50,df_extratos!G:G,"DEBITO")+SUMIFS(df_extratos!I:I,df_extratos!F:F,Conciliacao!A50,df_extratos!G:G,"DEBITO")+SUMIFS(df_extratos!I:I,df_extratos!F:F,Conciliacao!BF50,df_extratos!G:G,"DEBITO")+SUMIFS(df_extratos!I:I,df_extratos!F:F,Conciliacao!BG50,df_extratos!G:G,"DEBITO")+SUMIFS(df_extratos!I:I,df_extratos!F:F,Conciliacao!BH50,df_extratos!G:G,"DEBITO")</f>
        <v/>
      </c>
      <c r="O50" s="11">
        <f>N50-SUM(J50:M50)</f>
        <v/>
      </c>
      <c r="P50" s="25">
        <f>SUMIFS(df_ajustes_conciliaco!D:D,df_ajustes_conciliaco!C:C,Conciliacao!A50)</f>
        <v/>
      </c>
      <c r="Q50" s="22">
        <f>O50+I50-P50</f>
        <v/>
      </c>
      <c r="BE50" s="20" t="n">
        <v>45706.5</v>
      </c>
      <c r="BF50" s="20" t="n">
        <v>45706.125</v>
      </c>
      <c r="BG50" s="20" t="n">
        <v>45706.54166666666</v>
      </c>
      <c r="BH50" s="20" t="n">
        <v>45706.625</v>
      </c>
    </row>
    <row r="51">
      <c r="A51" s="5">
        <f>A50+1</f>
        <v/>
      </c>
      <c r="B51" s="3">
        <f>-SUMIFS(df_extrato_zig!G:G,df_extrato_zig!E:E,Conciliacao!A51,df_extrato_zig!D:D,"Saque")-SUMIFS(df_extrato_zig!G:G,df_extrato_zig!E:E,Conciliacao!A51,df_extrato_zig!D:D,"Antecipação")</f>
        <v/>
      </c>
      <c r="C51" s="3">
        <f>SUMIFS(df_extrato_zig!E:E,df_extrato_zig!L:L,Conciliacao!A51,df_extrato_zig!F:F,"DINHEIRO")</f>
        <v/>
      </c>
      <c r="D51" s="3">
        <f>SUMIFS(view_parc_agrup!H:H,view_parc_agrup!G:G,Conciliacao!A51)</f>
        <v/>
      </c>
      <c r="E51" s="3">
        <f>SUMIFS(df_eventos!F:F,df_eventos!H:H,Conciliacao!A51)</f>
        <v/>
      </c>
      <c r="F51" s="3">
        <f>SUMIFS(df_mutuos!M:M,df_mutuos!B:B,Conciliacao!A51)</f>
        <v/>
      </c>
      <c r="G51" s="6">
        <f>SUMIFS(df_bloqueios_judiciais!G:G,df_bloqueios_judiciais!D:D,Conciliacao!A51,df_bloqueios_judiciais!G:G,"&gt;0")</f>
        <v/>
      </c>
      <c r="H51" s="7">
        <f>SUMIFS(df_extratos!I:I,df_extratos!F:F,Conciliacao!BE51,df_extratos!G:G,"CREDITO")+SUMIFS(df_extratos!I:I,df_extratos!F:F,Conciliacao!A51,df_extratos!G:G,"CREDITO")+SUMIFS(df_extratos!I:I,df_extratos!F:F,Conciliacao!BF51,df_extratos!G:G,"CREDITO")+SUMIFS(df_extratos!I:I,df_extratos!F:F,Conciliacao!BG51,df_extratos!G:G,"CREDITO")+SUMIFS(df_extratos!I:I,df_extratos!F:F,Conciliacao!BH51,df_extratos!G:G,"CREDITO")</f>
        <v/>
      </c>
      <c r="I51" s="9">
        <f>H51-SUM(B51:G51)</f>
        <v/>
      </c>
      <c r="J51" s="4">
        <f>SUMIFS(df_blueme_sem_parcelamento!E:E,df_blueme_sem_parcelamento!H:H,Conciliacao!A51)*(-1)</f>
        <v/>
      </c>
      <c r="K51" s="4">
        <f>SUMIFS(df_blueme_com_parcelamento!J:J,df_blueme_com_parcelamento!M:M,Conciliacao!A51)*(-1)</f>
        <v/>
      </c>
      <c r="L51" s="4">
        <f>SUMIFS(df_mutuos!N:N,df_mutuos!B:B,Conciliacao!A51)*(-1)</f>
        <v/>
      </c>
      <c r="M51" s="8">
        <f>SUMIFS(df_bloqueios_judiciais!G:G,df_bloqueios_judiciais!D:D,Conciliacao!A51,df_bloqueios_judiciais!G:G,"&lt;0")</f>
        <v/>
      </c>
      <c r="N51" s="10">
        <f>SUMIFS(df_extratos!I:I,df_extratos!F:F,Conciliacao!BE51,df_extratos!G:G,"DEBITO")+SUMIFS(df_extratos!I:I,df_extratos!F:F,Conciliacao!A51,df_extratos!G:G,"DEBITO")+SUMIFS(df_extratos!I:I,df_extratos!F:F,Conciliacao!BF51,df_extratos!G:G,"DEBITO")+SUMIFS(df_extratos!I:I,df_extratos!F:F,Conciliacao!BG51,df_extratos!G:G,"DEBITO")+SUMIFS(df_extratos!I:I,df_extratos!F:F,Conciliacao!BH51,df_extratos!G:G,"DEBITO")</f>
        <v/>
      </c>
      <c r="O51" s="11">
        <f>N51-SUM(J51:M51)</f>
        <v/>
      </c>
      <c r="P51" s="25">
        <f>SUMIFS(df_ajustes_conciliaco!D:D,df_ajustes_conciliaco!C:C,Conciliacao!A51)</f>
        <v/>
      </c>
      <c r="Q51" s="22">
        <f>O51+I51-P51</f>
        <v/>
      </c>
      <c r="BE51" s="20" t="n">
        <v>45707.5</v>
      </c>
      <c r="BF51" s="20" t="n">
        <v>45707.125</v>
      </c>
      <c r="BG51" s="20" t="n">
        <v>45707.54166666666</v>
      </c>
      <c r="BH51" s="20" t="n">
        <v>45707.625</v>
      </c>
    </row>
    <row r="52">
      <c r="A52" s="5">
        <f>A51+1</f>
        <v/>
      </c>
      <c r="B52" s="3">
        <f>-SUMIFS(df_extrato_zig!G:G,df_extrato_zig!E:E,Conciliacao!A52,df_extrato_zig!D:D,"Saque")-SUMIFS(df_extrato_zig!G:G,df_extrato_zig!E:E,Conciliacao!A52,df_extrato_zig!D:D,"Antecipação")</f>
        <v/>
      </c>
      <c r="C52" s="3">
        <f>SUMIFS(df_extrato_zig!E:E,df_extrato_zig!L:L,Conciliacao!A52,df_extrato_zig!F:F,"DINHEIRO")</f>
        <v/>
      </c>
      <c r="D52" s="3">
        <f>SUMIFS(view_parc_agrup!H:H,view_parc_agrup!G:G,Conciliacao!A52)</f>
        <v/>
      </c>
      <c r="E52" s="3">
        <f>SUMIFS(df_eventos!F:F,df_eventos!H:H,Conciliacao!A52)</f>
        <v/>
      </c>
      <c r="F52" s="3">
        <f>SUMIFS(df_mutuos!M:M,df_mutuos!B:B,Conciliacao!A52)</f>
        <v/>
      </c>
      <c r="G52" s="6">
        <f>SUMIFS(df_bloqueios_judiciais!G:G,df_bloqueios_judiciais!D:D,Conciliacao!A52,df_bloqueios_judiciais!G:G,"&gt;0")</f>
        <v/>
      </c>
      <c r="H52" s="7">
        <f>SUMIFS(df_extratos!I:I,df_extratos!F:F,Conciliacao!BE52,df_extratos!G:G,"CREDITO")+SUMIFS(df_extratos!I:I,df_extratos!F:F,Conciliacao!A52,df_extratos!G:G,"CREDITO")+SUMIFS(df_extratos!I:I,df_extratos!F:F,Conciliacao!BF52,df_extratos!G:G,"CREDITO")+SUMIFS(df_extratos!I:I,df_extratos!F:F,Conciliacao!BG52,df_extratos!G:G,"CREDITO")+SUMIFS(df_extratos!I:I,df_extratos!F:F,Conciliacao!BH52,df_extratos!G:G,"CREDITO")</f>
        <v/>
      </c>
      <c r="I52" s="9">
        <f>H52-SUM(B52:G52)</f>
        <v/>
      </c>
      <c r="J52" s="4">
        <f>SUMIFS(df_blueme_sem_parcelamento!E:E,df_blueme_sem_parcelamento!H:H,Conciliacao!A52)*(-1)</f>
        <v/>
      </c>
      <c r="K52" s="4">
        <f>SUMIFS(df_blueme_com_parcelamento!J:J,df_blueme_com_parcelamento!M:M,Conciliacao!A52)*(-1)</f>
        <v/>
      </c>
      <c r="L52" s="4">
        <f>SUMIFS(df_mutuos!N:N,df_mutuos!B:B,Conciliacao!A52)*(-1)</f>
        <v/>
      </c>
      <c r="M52" s="8">
        <f>SUMIFS(df_bloqueios_judiciais!G:G,df_bloqueios_judiciais!D:D,Conciliacao!A52,df_bloqueios_judiciais!G:G,"&lt;0")</f>
        <v/>
      </c>
      <c r="N52" s="10">
        <f>SUMIFS(df_extratos!I:I,df_extratos!F:F,Conciliacao!BE52,df_extratos!G:G,"DEBITO")+SUMIFS(df_extratos!I:I,df_extratos!F:F,Conciliacao!A52,df_extratos!G:G,"DEBITO")+SUMIFS(df_extratos!I:I,df_extratos!F:F,Conciliacao!BF52,df_extratos!G:G,"DEBITO")+SUMIFS(df_extratos!I:I,df_extratos!F:F,Conciliacao!BG52,df_extratos!G:G,"DEBITO")+SUMIFS(df_extratos!I:I,df_extratos!F:F,Conciliacao!BH52,df_extratos!G:G,"DEBITO")</f>
        <v/>
      </c>
      <c r="O52" s="11">
        <f>N52-SUM(J52:M52)</f>
        <v/>
      </c>
      <c r="P52" s="25">
        <f>SUMIFS(df_ajustes_conciliaco!D:D,df_ajustes_conciliaco!C:C,Conciliacao!A52)</f>
        <v/>
      </c>
      <c r="Q52" s="22">
        <f>O52+I52-P52</f>
        <v/>
      </c>
      <c r="BE52" s="20" t="n">
        <v>45708.5</v>
      </c>
      <c r="BF52" s="20" t="n">
        <v>45708.125</v>
      </c>
      <c r="BG52" s="20" t="n">
        <v>45708.54166666666</v>
      </c>
      <c r="BH52" s="20" t="n">
        <v>45708.625</v>
      </c>
    </row>
    <row r="53">
      <c r="A53" s="5">
        <f>A52+1</f>
        <v/>
      </c>
      <c r="B53" s="3">
        <f>-SUMIFS(df_extrato_zig!G:G,df_extrato_zig!E:E,Conciliacao!A53,df_extrato_zig!D:D,"Saque")-SUMIFS(df_extrato_zig!G:G,df_extrato_zig!E:E,Conciliacao!A53,df_extrato_zig!D:D,"Antecipação")</f>
        <v/>
      </c>
      <c r="C53" s="3">
        <f>SUMIFS(df_extrato_zig!E:E,df_extrato_zig!L:L,Conciliacao!A53,df_extrato_zig!F:F,"DINHEIRO")</f>
        <v/>
      </c>
      <c r="D53" s="3">
        <f>SUMIFS(view_parc_agrup!H:H,view_parc_agrup!G:G,Conciliacao!A53)</f>
        <v/>
      </c>
      <c r="E53" s="3">
        <f>SUMIFS(df_eventos!F:F,df_eventos!H:H,Conciliacao!A53)</f>
        <v/>
      </c>
      <c r="F53" s="3">
        <f>SUMIFS(df_mutuos!M:M,df_mutuos!B:B,Conciliacao!A53)</f>
        <v/>
      </c>
      <c r="G53" s="6">
        <f>SUMIFS(df_bloqueios_judiciais!G:G,df_bloqueios_judiciais!D:D,Conciliacao!A53,df_bloqueios_judiciais!G:G,"&gt;0")</f>
        <v/>
      </c>
      <c r="H53" s="7">
        <f>SUMIFS(df_extratos!I:I,df_extratos!F:F,Conciliacao!BE53,df_extratos!G:G,"CREDITO")+SUMIFS(df_extratos!I:I,df_extratos!F:F,Conciliacao!A53,df_extratos!G:G,"CREDITO")+SUMIFS(df_extratos!I:I,df_extratos!F:F,Conciliacao!BF53,df_extratos!G:G,"CREDITO")+SUMIFS(df_extratos!I:I,df_extratos!F:F,Conciliacao!BG53,df_extratos!G:G,"CREDITO")+SUMIFS(df_extratos!I:I,df_extratos!F:F,Conciliacao!BH53,df_extratos!G:G,"CREDITO")</f>
        <v/>
      </c>
      <c r="I53" s="9">
        <f>H53-SUM(B53:G53)</f>
        <v/>
      </c>
      <c r="J53" s="4">
        <f>SUMIFS(df_blueme_sem_parcelamento!E:E,df_blueme_sem_parcelamento!H:H,Conciliacao!A53)*(-1)</f>
        <v/>
      </c>
      <c r="K53" s="4">
        <f>SUMIFS(df_blueme_com_parcelamento!J:J,df_blueme_com_parcelamento!M:M,Conciliacao!A53)*(-1)</f>
        <v/>
      </c>
      <c r="L53" s="4">
        <f>SUMIFS(df_mutuos!N:N,df_mutuos!B:B,Conciliacao!A53)*(-1)</f>
        <v/>
      </c>
      <c r="M53" s="8">
        <f>SUMIFS(df_bloqueios_judiciais!G:G,df_bloqueios_judiciais!D:D,Conciliacao!A53,df_bloqueios_judiciais!G:G,"&lt;0")</f>
        <v/>
      </c>
      <c r="N53" s="10">
        <f>SUMIFS(df_extratos!I:I,df_extratos!F:F,Conciliacao!BE53,df_extratos!G:G,"DEBITO")+SUMIFS(df_extratos!I:I,df_extratos!F:F,Conciliacao!A53,df_extratos!G:G,"DEBITO")+SUMIFS(df_extratos!I:I,df_extratos!F:F,Conciliacao!BF53,df_extratos!G:G,"DEBITO")+SUMIFS(df_extratos!I:I,df_extratos!F:F,Conciliacao!BG53,df_extratos!G:G,"DEBITO")+SUMIFS(df_extratos!I:I,df_extratos!F:F,Conciliacao!BH53,df_extratos!G:G,"DEBITO")</f>
        <v/>
      </c>
      <c r="O53" s="11">
        <f>N53-SUM(J53:M53)</f>
        <v/>
      </c>
      <c r="P53" s="25">
        <f>SUMIFS(df_ajustes_conciliaco!D:D,df_ajustes_conciliaco!C:C,Conciliacao!A53)</f>
        <v/>
      </c>
      <c r="Q53" s="22">
        <f>O53+I53-P53</f>
        <v/>
      </c>
      <c r="BE53" s="20" t="n">
        <v>45709.5</v>
      </c>
      <c r="BF53" s="20" t="n">
        <v>45709.125</v>
      </c>
      <c r="BG53" s="20" t="n">
        <v>45709.54166666666</v>
      </c>
      <c r="BH53" s="20" t="n">
        <v>45709.625</v>
      </c>
    </row>
    <row r="54">
      <c r="A54" s="5">
        <f>A53+1</f>
        <v/>
      </c>
      <c r="B54" s="3">
        <f>-SUMIFS(df_extrato_zig!G:G,df_extrato_zig!E:E,Conciliacao!A54,df_extrato_zig!D:D,"Saque")-SUMIFS(df_extrato_zig!G:G,df_extrato_zig!E:E,Conciliacao!A54,df_extrato_zig!D:D,"Antecipação")</f>
        <v/>
      </c>
      <c r="C54" s="3">
        <f>SUMIFS(df_extrato_zig!E:E,df_extrato_zig!L:L,Conciliacao!A54,df_extrato_zig!F:F,"DINHEIRO")</f>
        <v/>
      </c>
      <c r="D54" s="3">
        <f>SUMIFS(view_parc_agrup!H:H,view_parc_agrup!G:G,Conciliacao!A54)</f>
        <v/>
      </c>
      <c r="E54" s="3">
        <f>SUMIFS(df_eventos!F:F,df_eventos!H:H,Conciliacao!A54)</f>
        <v/>
      </c>
      <c r="F54" s="3">
        <f>SUMIFS(df_mutuos!M:M,df_mutuos!B:B,Conciliacao!A54)</f>
        <v/>
      </c>
      <c r="G54" s="6">
        <f>SUMIFS(df_bloqueios_judiciais!G:G,df_bloqueios_judiciais!D:D,Conciliacao!A54,df_bloqueios_judiciais!G:G,"&gt;0")</f>
        <v/>
      </c>
      <c r="H54" s="7">
        <f>SUMIFS(df_extratos!I:I,df_extratos!F:F,Conciliacao!BE54,df_extratos!G:G,"CREDITO")+SUMIFS(df_extratos!I:I,df_extratos!F:F,Conciliacao!A54,df_extratos!G:G,"CREDITO")+SUMIFS(df_extratos!I:I,df_extratos!F:F,Conciliacao!BF54,df_extratos!G:G,"CREDITO")+SUMIFS(df_extratos!I:I,df_extratos!F:F,Conciliacao!BG54,df_extratos!G:G,"CREDITO")+SUMIFS(df_extratos!I:I,df_extratos!F:F,Conciliacao!BH54,df_extratos!G:G,"CREDITO")</f>
        <v/>
      </c>
      <c r="I54" s="9">
        <f>H54-SUM(B54:G54)</f>
        <v/>
      </c>
      <c r="J54" s="4">
        <f>SUMIFS(df_blueme_sem_parcelamento!E:E,df_blueme_sem_parcelamento!H:H,Conciliacao!A54)*(-1)</f>
        <v/>
      </c>
      <c r="K54" s="4">
        <f>SUMIFS(df_blueme_com_parcelamento!J:J,df_blueme_com_parcelamento!M:M,Conciliacao!A54)*(-1)</f>
        <v/>
      </c>
      <c r="L54" s="4">
        <f>SUMIFS(df_mutuos!N:N,df_mutuos!B:B,Conciliacao!A54)*(-1)</f>
        <v/>
      </c>
      <c r="M54" s="8">
        <f>SUMIFS(df_bloqueios_judiciais!G:G,df_bloqueios_judiciais!D:D,Conciliacao!A54,df_bloqueios_judiciais!G:G,"&lt;0")</f>
        <v/>
      </c>
      <c r="N54" s="10">
        <f>SUMIFS(df_extratos!I:I,df_extratos!F:F,Conciliacao!BE54,df_extratos!G:G,"DEBITO")+SUMIFS(df_extratos!I:I,df_extratos!F:F,Conciliacao!A54,df_extratos!G:G,"DEBITO")+SUMIFS(df_extratos!I:I,df_extratos!F:F,Conciliacao!BF54,df_extratos!G:G,"DEBITO")+SUMIFS(df_extratos!I:I,df_extratos!F:F,Conciliacao!BG54,df_extratos!G:G,"DEBITO")+SUMIFS(df_extratos!I:I,df_extratos!F:F,Conciliacao!BH54,df_extratos!G:G,"DEBITO")</f>
        <v/>
      </c>
      <c r="O54" s="11">
        <f>N54-SUM(J54:M54)</f>
        <v/>
      </c>
      <c r="P54" s="25">
        <f>SUMIFS(df_ajustes_conciliaco!D:D,df_ajustes_conciliaco!C:C,Conciliacao!A54)</f>
        <v/>
      </c>
      <c r="Q54" s="22">
        <f>O54+I54-P54</f>
        <v/>
      </c>
      <c r="BE54" s="20" t="n">
        <v>45710.5</v>
      </c>
      <c r="BF54" s="20" t="n">
        <v>45710.125</v>
      </c>
      <c r="BG54" s="20" t="n">
        <v>45710.54166666666</v>
      </c>
      <c r="BH54" s="20" t="n">
        <v>45710.625</v>
      </c>
    </row>
    <row r="55">
      <c r="A55" s="5">
        <f>A54+1</f>
        <v/>
      </c>
      <c r="B55" s="3">
        <f>-SUMIFS(df_extrato_zig!G:G,df_extrato_zig!E:E,Conciliacao!A55,df_extrato_zig!D:D,"Saque")-SUMIFS(df_extrato_zig!G:G,df_extrato_zig!E:E,Conciliacao!A55,df_extrato_zig!D:D,"Antecipação")</f>
        <v/>
      </c>
      <c r="C55" s="3">
        <f>SUMIFS(df_extrato_zig!E:E,df_extrato_zig!L:L,Conciliacao!A55,df_extrato_zig!F:F,"DINHEIRO")</f>
        <v/>
      </c>
      <c r="D55" s="3">
        <f>SUMIFS(view_parc_agrup!H:H,view_parc_agrup!G:G,Conciliacao!A55)</f>
        <v/>
      </c>
      <c r="E55" s="3">
        <f>SUMIFS(df_eventos!F:F,df_eventos!H:H,Conciliacao!A55)</f>
        <v/>
      </c>
      <c r="F55" s="3">
        <f>SUMIFS(df_mutuos!M:M,df_mutuos!B:B,Conciliacao!A55)</f>
        <v/>
      </c>
      <c r="G55" s="6">
        <f>SUMIFS(df_bloqueios_judiciais!G:G,df_bloqueios_judiciais!D:D,Conciliacao!A55,df_bloqueios_judiciais!G:G,"&gt;0")</f>
        <v/>
      </c>
      <c r="H55" s="7">
        <f>SUMIFS(df_extratos!I:I,df_extratos!F:F,Conciliacao!BE55,df_extratos!G:G,"CREDITO")+SUMIFS(df_extratos!I:I,df_extratos!F:F,Conciliacao!A55,df_extratos!G:G,"CREDITO")+SUMIFS(df_extratos!I:I,df_extratos!F:F,Conciliacao!BF55,df_extratos!G:G,"CREDITO")+SUMIFS(df_extratos!I:I,df_extratos!F:F,Conciliacao!BG55,df_extratos!G:G,"CREDITO")+SUMIFS(df_extratos!I:I,df_extratos!F:F,Conciliacao!BH55,df_extratos!G:G,"CREDITO")</f>
        <v/>
      </c>
      <c r="I55" s="9">
        <f>H55-SUM(B55:G55)</f>
        <v/>
      </c>
      <c r="J55" s="4">
        <f>SUMIFS(df_blueme_sem_parcelamento!E:E,df_blueme_sem_parcelamento!H:H,Conciliacao!A55)*(-1)</f>
        <v/>
      </c>
      <c r="K55" s="4">
        <f>SUMIFS(df_blueme_com_parcelamento!J:J,df_blueme_com_parcelamento!M:M,Conciliacao!A55)*(-1)</f>
        <v/>
      </c>
      <c r="L55" s="4">
        <f>SUMIFS(df_mutuos!N:N,df_mutuos!B:B,Conciliacao!A55)*(-1)</f>
        <v/>
      </c>
      <c r="M55" s="8">
        <f>SUMIFS(df_bloqueios_judiciais!G:G,df_bloqueios_judiciais!D:D,Conciliacao!A55,df_bloqueios_judiciais!G:G,"&lt;0")</f>
        <v/>
      </c>
      <c r="N55" s="10">
        <f>SUMIFS(df_extratos!I:I,df_extratos!F:F,Conciliacao!BE55,df_extratos!G:G,"DEBITO")+SUMIFS(df_extratos!I:I,df_extratos!F:F,Conciliacao!A55,df_extratos!G:G,"DEBITO")+SUMIFS(df_extratos!I:I,df_extratos!F:F,Conciliacao!BF55,df_extratos!G:G,"DEBITO")+SUMIFS(df_extratos!I:I,df_extratos!F:F,Conciliacao!BG55,df_extratos!G:G,"DEBITO")+SUMIFS(df_extratos!I:I,df_extratos!F:F,Conciliacao!BH55,df_extratos!G:G,"DEBITO")</f>
        <v/>
      </c>
      <c r="O55" s="11">
        <f>N55-SUM(J55:M55)</f>
        <v/>
      </c>
      <c r="P55" s="25">
        <f>SUMIFS(df_ajustes_conciliaco!D:D,df_ajustes_conciliaco!C:C,Conciliacao!A55)</f>
        <v/>
      </c>
      <c r="Q55" s="22">
        <f>O55+I55-P55</f>
        <v/>
      </c>
      <c r="BE55" s="20" t="n">
        <v>45711.5</v>
      </c>
      <c r="BF55" s="20" t="n">
        <v>45711.125</v>
      </c>
      <c r="BG55" s="20" t="n">
        <v>45711.54166666666</v>
      </c>
      <c r="BH55" s="20" t="n">
        <v>45711.625</v>
      </c>
    </row>
    <row r="56">
      <c r="A56" s="5">
        <f>A55+1</f>
        <v/>
      </c>
      <c r="B56" s="3">
        <f>-SUMIFS(df_extrato_zig!G:G,df_extrato_zig!E:E,Conciliacao!A56,df_extrato_zig!D:D,"Saque")-SUMIFS(df_extrato_zig!G:G,df_extrato_zig!E:E,Conciliacao!A56,df_extrato_zig!D:D,"Antecipação")</f>
        <v/>
      </c>
      <c r="C56" s="3">
        <f>SUMIFS(df_extrato_zig!E:E,df_extrato_zig!L:L,Conciliacao!A56,df_extrato_zig!F:F,"DINHEIRO")</f>
        <v/>
      </c>
      <c r="D56" s="3">
        <f>SUMIFS(view_parc_agrup!H:H,view_parc_agrup!G:G,Conciliacao!A56)</f>
        <v/>
      </c>
      <c r="E56" s="3">
        <f>SUMIFS(df_eventos!F:F,df_eventos!H:H,Conciliacao!A56)</f>
        <v/>
      </c>
      <c r="F56" s="3">
        <f>SUMIFS(df_mutuos!M:M,df_mutuos!B:B,Conciliacao!A56)</f>
        <v/>
      </c>
      <c r="G56" s="6">
        <f>SUMIFS(df_bloqueios_judiciais!G:G,df_bloqueios_judiciais!D:D,Conciliacao!A56,df_bloqueios_judiciais!G:G,"&gt;0")</f>
        <v/>
      </c>
      <c r="H56" s="7">
        <f>SUMIFS(df_extratos!I:I,df_extratos!F:F,Conciliacao!BE56,df_extratos!G:G,"CREDITO")+SUMIFS(df_extratos!I:I,df_extratos!F:F,Conciliacao!A56,df_extratos!G:G,"CREDITO")+SUMIFS(df_extratos!I:I,df_extratos!F:F,Conciliacao!BF56,df_extratos!G:G,"CREDITO")+SUMIFS(df_extratos!I:I,df_extratos!F:F,Conciliacao!BG56,df_extratos!G:G,"CREDITO")+SUMIFS(df_extratos!I:I,df_extratos!F:F,Conciliacao!BH56,df_extratos!G:G,"CREDITO")</f>
        <v/>
      </c>
      <c r="I56" s="9">
        <f>H56-SUM(B56:G56)</f>
        <v/>
      </c>
      <c r="J56" s="4">
        <f>SUMIFS(df_blueme_sem_parcelamento!E:E,df_blueme_sem_parcelamento!H:H,Conciliacao!A56)*(-1)</f>
        <v/>
      </c>
      <c r="K56" s="4">
        <f>SUMIFS(df_blueme_com_parcelamento!J:J,df_blueme_com_parcelamento!M:M,Conciliacao!A56)*(-1)</f>
        <v/>
      </c>
      <c r="L56" s="4">
        <f>SUMIFS(df_mutuos!N:N,df_mutuos!B:B,Conciliacao!A56)*(-1)</f>
        <v/>
      </c>
      <c r="M56" s="8">
        <f>SUMIFS(df_bloqueios_judiciais!G:G,df_bloqueios_judiciais!D:D,Conciliacao!A56,df_bloqueios_judiciais!G:G,"&lt;0")</f>
        <v/>
      </c>
      <c r="N56" s="10">
        <f>SUMIFS(df_extratos!I:I,df_extratos!F:F,Conciliacao!BE56,df_extratos!G:G,"DEBITO")+SUMIFS(df_extratos!I:I,df_extratos!F:F,Conciliacao!A56,df_extratos!G:G,"DEBITO")+SUMIFS(df_extratos!I:I,df_extratos!F:F,Conciliacao!BF56,df_extratos!G:G,"DEBITO")+SUMIFS(df_extratos!I:I,df_extratos!F:F,Conciliacao!BG56,df_extratos!G:G,"DEBITO")+SUMIFS(df_extratos!I:I,df_extratos!F:F,Conciliacao!BH56,df_extratos!G:G,"DEBITO")</f>
        <v/>
      </c>
      <c r="O56" s="11">
        <f>N56-SUM(J56:M56)</f>
        <v/>
      </c>
      <c r="P56" s="25">
        <f>SUMIFS(df_ajustes_conciliaco!D:D,df_ajustes_conciliaco!C:C,Conciliacao!A56)</f>
        <v/>
      </c>
      <c r="Q56" s="22">
        <f>O56+I56-P56</f>
        <v/>
      </c>
      <c r="BE56" s="20" t="n">
        <v>45712.5</v>
      </c>
      <c r="BF56" s="20" t="n">
        <v>45712.125</v>
      </c>
      <c r="BG56" s="20" t="n">
        <v>45712.54166666666</v>
      </c>
      <c r="BH56" s="20" t="n">
        <v>45712.625</v>
      </c>
    </row>
    <row r="57">
      <c r="A57" s="5">
        <f>A56+1</f>
        <v/>
      </c>
      <c r="B57" s="3">
        <f>-SUMIFS(df_extrato_zig!G:G,df_extrato_zig!E:E,Conciliacao!A57,df_extrato_zig!D:D,"Saque")-SUMIFS(df_extrato_zig!G:G,df_extrato_zig!E:E,Conciliacao!A57,df_extrato_zig!D:D,"Antecipação")</f>
        <v/>
      </c>
      <c r="C57" s="3">
        <f>SUMIFS(df_extrato_zig!E:E,df_extrato_zig!L:L,Conciliacao!A57,df_extrato_zig!F:F,"DINHEIRO")</f>
        <v/>
      </c>
      <c r="D57" s="3">
        <f>SUMIFS(view_parc_agrup!H:H,view_parc_agrup!G:G,Conciliacao!A57)</f>
        <v/>
      </c>
      <c r="E57" s="3">
        <f>SUMIFS(df_eventos!F:F,df_eventos!H:H,Conciliacao!A57)</f>
        <v/>
      </c>
      <c r="F57" s="3">
        <f>SUMIFS(df_mutuos!M:M,df_mutuos!B:B,Conciliacao!A57)</f>
        <v/>
      </c>
      <c r="G57" s="6">
        <f>SUMIFS(df_bloqueios_judiciais!G:G,df_bloqueios_judiciais!D:D,Conciliacao!A57,df_bloqueios_judiciais!G:G,"&gt;0")</f>
        <v/>
      </c>
      <c r="H57" s="7">
        <f>SUMIFS(df_extratos!I:I,df_extratos!F:F,Conciliacao!BE57,df_extratos!G:G,"CREDITO")+SUMIFS(df_extratos!I:I,df_extratos!F:F,Conciliacao!A57,df_extratos!G:G,"CREDITO")+SUMIFS(df_extratos!I:I,df_extratos!F:F,Conciliacao!BF57,df_extratos!G:G,"CREDITO")+SUMIFS(df_extratos!I:I,df_extratos!F:F,Conciliacao!BG57,df_extratos!G:G,"CREDITO")+SUMIFS(df_extratos!I:I,df_extratos!F:F,Conciliacao!BH57,df_extratos!G:G,"CREDITO")</f>
        <v/>
      </c>
      <c r="I57" s="9">
        <f>H57-SUM(B57:G57)</f>
        <v/>
      </c>
      <c r="J57" s="4">
        <f>SUMIFS(df_blueme_sem_parcelamento!E:E,df_blueme_sem_parcelamento!H:H,Conciliacao!A57)*(-1)</f>
        <v/>
      </c>
      <c r="K57" s="4">
        <f>SUMIFS(df_blueme_com_parcelamento!J:J,df_blueme_com_parcelamento!M:M,Conciliacao!A57)*(-1)</f>
        <v/>
      </c>
      <c r="L57" s="4">
        <f>SUMIFS(df_mutuos!N:N,df_mutuos!B:B,Conciliacao!A57)*(-1)</f>
        <v/>
      </c>
      <c r="M57" s="8">
        <f>SUMIFS(df_bloqueios_judiciais!G:G,df_bloqueios_judiciais!D:D,Conciliacao!A57,df_bloqueios_judiciais!G:G,"&lt;0")</f>
        <v/>
      </c>
      <c r="N57" s="10">
        <f>SUMIFS(df_extratos!I:I,df_extratos!F:F,Conciliacao!BE57,df_extratos!G:G,"DEBITO")+SUMIFS(df_extratos!I:I,df_extratos!F:F,Conciliacao!A57,df_extratos!G:G,"DEBITO")+SUMIFS(df_extratos!I:I,df_extratos!F:F,Conciliacao!BF57,df_extratos!G:G,"DEBITO")+SUMIFS(df_extratos!I:I,df_extratos!F:F,Conciliacao!BG57,df_extratos!G:G,"DEBITO")+SUMIFS(df_extratos!I:I,df_extratos!F:F,Conciliacao!BH57,df_extratos!G:G,"DEBITO")</f>
        <v/>
      </c>
      <c r="O57" s="11">
        <f>N57-SUM(J57:M57)</f>
        <v/>
      </c>
      <c r="P57" s="25">
        <f>SUMIFS(df_ajustes_conciliaco!D:D,df_ajustes_conciliaco!C:C,Conciliacao!A57)</f>
        <v/>
      </c>
      <c r="Q57" s="22">
        <f>O57+I57-P57</f>
        <v/>
      </c>
      <c r="BE57" s="20" t="n">
        <v>45713.5</v>
      </c>
      <c r="BF57" s="20" t="n">
        <v>45713.125</v>
      </c>
      <c r="BG57" s="20" t="n">
        <v>45713.54166666666</v>
      </c>
      <c r="BH57" s="20" t="n">
        <v>45713.625</v>
      </c>
    </row>
    <row r="58">
      <c r="A58" s="5">
        <f>A57+1</f>
        <v/>
      </c>
      <c r="B58" s="3">
        <f>-SUMIFS(df_extrato_zig!G:G,df_extrato_zig!E:E,Conciliacao!A58,df_extrato_zig!D:D,"Saque")-SUMIFS(df_extrato_zig!G:G,df_extrato_zig!E:E,Conciliacao!A58,df_extrato_zig!D:D,"Antecipação")</f>
        <v/>
      </c>
      <c r="C58" s="3">
        <f>SUMIFS(df_extrato_zig!E:E,df_extrato_zig!L:L,Conciliacao!A58,df_extrato_zig!F:F,"DINHEIRO")</f>
        <v/>
      </c>
      <c r="D58" s="3">
        <f>SUMIFS(view_parc_agrup!H:H,view_parc_agrup!G:G,Conciliacao!A58)</f>
        <v/>
      </c>
      <c r="E58" s="3">
        <f>SUMIFS(df_eventos!F:F,df_eventos!H:H,Conciliacao!A58)</f>
        <v/>
      </c>
      <c r="F58" s="3">
        <f>SUMIFS(df_mutuos!M:M,df_mutuos!B:B,Conciliacao!A58)</f>
        <v/>
      </c>
      <c r="G58" s="6">
        <f>SUMIFS(df_bloqueios_judiciais!G:G,df_bloqueios_judiciais!D:D,Conciliacao!A58,df_bloqueios_judiciais!G:G,"&gt;0")</f>
        <v/>
      </c>
      <c r="H58" s="7">
        <f>SUMIFS(df_extratos!I:I,df_extratos!F:F,Conciliacao!BE58,df_extratos!G:G,"CREDITO")+SUMIFS(df_extratos!I:I,df_extratos!F:F,Conciliacao!A58,df_extratos!G:G,"CREDITO")+SUMIFS(df_extratos!I:I,df_extratos!F:F,Conciliacao!BF58,df_extratos!G:G,"CREDITO")+SUMIFS(df_extratos!I:I,df_extratos!F:F,Conciliacao!BG58,df_extratos!G:G,"CREDITO")+SUMIFS(df_extratos!I:I,df_extratos!F:F,Conciliacao!BH58,df_extratos!G:G,"CREDITO")</f>
        <v/>
      </c>
      <c r="I58" s="9">
        <f>H58-SUM(B58:G58)</f>
        <v/>
      </c>
      <c r="J58" s="4">
        <f>SUMIFS(df_blueme_sem_parcelamento!E:E,df_blueme_sem_parcelamento!H:H,Conciliacao!A58)*(-1)</f>
        <v/>
      </c>
      <c r="K58" s="4">
        <f>SUMIFS(df_blueme_com_parcelamento!J:J,df_blueme_com_parcelamento!M:M,Conciliacao!A58)*(-1)</f>
        <v/>
      </c>
      <c r="L58" s="4">
        <f>SUMIFS(df_mutuos!N:N,df_mutuos!B:B,Conciliacao!A58)*(-1)</f>
        <v/>
      </c>
      <c r="M58" s="8">
        <f>SUMIFS(df_bloqueios_judiciais!G:G,df_bloqueios_judiciais!D:D,Conciliacao!A58,df_bloqueios_judiciais!G:G,"&lt;0")</f>
        <v/>
      </c>
      <c r="N58" s="10">
        <f>SUMIFS(df_extratos!I:I,df_extratos!F:F,Conciliacao!BE58,df_extratos!G:G,"DEBITO")+SUMIFS(df_extratos!I:I,df_extratos!F:F,Conciliacao!A58,df_extratos!G:G,"DEBITO")+SUMIFS(df_extratos!I:I,df_extratos!F:F,Conciliacao!BF58,df_extratos!G:G,"DEBITO")+SUMIFS(df_extratos!I:I,df_extratos!F:F,Conciliacao!BG58,df_extratos!G:G,"DEBITO")+SUMIFS(df_extratos!I:I,df_extratos!F:F,Conciliacao!BH58,df_extratos!G:G,"DEBITO")</f>
        <v/>
      </c>
      <c r="O58" s="11">
        <f>N58-SUM(J58:M58)</f>
        <v/>
      </c>
      <c r="P58" s="25">
        <f>SUMIFS(df_ajustes_conciliaco!D:D,df_ajustes_conciliaco!C:C,Conciliacao!A58)</f>
        <v/>
      </c>
      <c r="Q58" s="22">
        <f>O58+I58-P58</f>
        <v/>
      </c>
      <c r="BE58" s="20" t="n">
        <v>45714.5</v>
      </c>
      <c r="BF58" s="20" t="n">
        <v>45714.125</v>
      </c>
      <c r="BG58" s="20" t="n">
        <v>45714.54166666666</v>
      </c>
      <c r="BH58" s="20" t="n">
        <v>45714.625</v>
      </c>
    </row>
    <row r="59">
      <c r="A59" s="5">
        <f>A58+1</f>
        <v/>
      </c>
      <c r="B59" s="3">
        <f>-SUMIFS(df_extrato_zig!G:G,df_extrato_zig!E:E,Conciliacao!A59,df_extrato_zig!D:D,"Saque")-SUMIFS(df_extrato_zig!G:G,df_extrato_zig!E:E,Conciliacao!A59,df_extrato_zig!D:D,"Antecipação")</f>
        <v/>
      </c>
      <c r="C59" s="3">
        <f>SUMIFS(df_extrato_zig!E:E,df_extrato_zig!L:L,Conciliacao!A59,df_extrato_zig!F:F,"DINHEIRO")</f>
        <v/>
      </c>
      <c r="D59" s="3">
        <f>SUMIFS(view_parc_agrup!H:H,view_parc_agrup!G:G,Conciliacao!A59)</f>
        <v/>
      </c>
      <c r="E59" s="3">
        <f>SUMIFS(df_eventos!F:F,df_eventos!H:H,Conciliacao!A59)</f>
        <v/>
      </c>
      <c r="F59" s="3">
        <f>SUMIFS(df_mutuos!M:M,df_mutuos!B:B,Conciliacao!A59)</f>
        <v/>
      </c>
      <c r="G59" s="6">
        <f>SUMIFS(df_bloqueios_judiciais!G:G,df_bloqueios_judiciais!D:D,Conciliacao!A59,df_bloqueios_judiciais!G:G,"&gt;0")</f>
        <v/>
      </c>
      <c r="H59" s="7">
        <f>SUMIFS(df_extratos!I:I,df_extratos!F:F,Conciliacao!BE59,df_extratos!G:G,"CREDITO")+SUMIFS(df_extratos!I:I,df_extratos!F:F,Conciliacao!A59,df_extratos!G:G,"CREDITO")+SUMIFS(df_extratos!I:I,df_extratos!F:F,Conciliacao!BF59,df_extratos!G:G,"CREDITO")+SUMIFS(df_extratos!I:I,df_extratos!F:F,Conciliacao!BG59,df_extratos!G:G,"CREDITO")+SUMIFS(df_extratos!I:I,df_extratos!F:F,Conciliacao!BH59,df_extratos!G:G,"CREDITO")</f>
        <v/>
      </c>
      <c r="I59" s="9">
        <f>H59-SUM(B59:G59)</f>
        <v/>
      </c>
      <c r="J59" s="4">
        <f>SUMIFS(df_blueme_sem_parcelamento!E:E,df_blueme_sem_parcelamento!H:H,Conciliacao!A59)*(-1)</f>
        <v/>
      </c>
      <c r="K59" s="4">
        <f>SUMIFS(df_blueme_com_parcelamento!J:J,df_blueme_com_parcelamento!M:M,Conciliacao!A59)*(-1)</f>
        <v/>
      </c>
      <c r="L59" s="4">
        <f>SUMIFS(df_mutuos!N:N,df_mutuos!B:B,Conciliacao!A59)*(-1)</f>
        <v/>
      </c>
      <c r="M59" s="8">
        <f>SUMIFS(df_bloqueios_judiciais!G:G,df_bloqueios_judiciais!D:D,Conciliacao!A59,df_bloqueios_judiciais!G:G,"&lt;0")</f>
        <v/>
      </c>
      <c r="N59" s="10">
        <f>SUMIFS(df_extratos!I:I,df_extratos!F:F,Conciliacao!BE59,df_extratos!G:G,"DEBITO")+SUMIFS(df_extratos!I:I,df_extratos!F:F,Conciliacao!A59,df_extratos!G:G,"DEBITO")+SUMIFS(df_extratos!I:I,df_extratos!F:F,Conciliacao!BF59,df_extratos!G:G,"DEBITO")+SUMIFS(df_extratos!I:I,df_extratos!F:F,Conciliacao!BG59,df_extratos!G:G,"DEBITO")+SUMIFS(df_extratos!I:I,df_extratos!F:F,Conciliacao!BH59,df_extratos!G:G,"DEBITO")</f>
        <v/>
      </c>
      <c r="O59" s="11">
        <f>N59-SUM(J59:M59)</f>
        <v/>
      </c>
      <c r="P59" s="25">
        <f>SUMIFS(df_ajustes_conciliaco!D:D,df_ajustes_conciliaco!C:C,Conciliacao!A59)</f>
        <v/>
      </c>
      <c r="Q59" s="22">
        <f>O59+I59-P59</f>
        <v/>
      </c>
      <c r="BE59" s="20" t="n">
        <v>45715.5</v>
      </c>
      <c r="BF59" s="20" t="n">
        <v>45715.125</v>
      </c>
      <c r="BG59" s="20" t="n">
        <v>45715.54166666666</v>
      </c>
      <c r="BH59" s="20" t="n">
        <v>45715.625</v>
      </c>
    </row>
    <row r="60">
      <c r="A60" s="5">
        <f>A59+1</f>
        <v/>
      </c>
      <c r="B60" s="3">
        <f>-SUMIFS(df_extrato_zig!G:G,df_extrato_zig!E:E,Conciliacao!A60,df_extrato_zig!D:D,"Saque")-SUMIFS(df_extrato_zig!G:G,df_extrato_zig!E:E,Conciliacao!A60,df_extrato_zig!D:D,"Antecipação")</f>
        <v/>
      </c>
      <c r="C60" s="3">
        <f>SUMIFS(df_extrato_zig!E:E,df_extrato_zig!L:L,Conciliacao!A60,df_extrato_zig!F:F,"DINHEIRO")</f>
        <v/>
      </c>
      <c r="D60" s="3">
        <f>SUMIFS(view_parc_agrup!H:H,view_parc_agrup!G:G,Conciliacao!A60)</f>
        <v/>
      </c>
      <c r="E60" s="3">
        <f>SUMIFS(df_eventos!F:F,df_eventos!H:H,Conciliacao!A60)</f>
        <v/>
      </c>
      <c r="F60" s="3">
        <f>SUMIFS(df_mutuos!M:M,df_mutuos!B:B,Conciliacao!A60)</f>
        <v/>
      </c>
      <c r="G60" s="6">
        <f>SUMIFS(df_bloqueios_judiciais!G:G,df_bloqueios_judiciais!D:D,Conciliacao!A60,df_bloqueios_judiciais!G:G,"&gt;0")</f>
        <v/>
      </c>
      <c r="H60" s="7">
        <f>SUMIFS(df_extratos!I:I,df_extratos!F:F,Conciliacao!BE60,df_extratos!G:G,"CREDITO")+SUMIFS(df_extratos!I:I,df_extratos!F:F,Conciliacao!A60,df_extratos!G:G,"CREDITO")+SUMIFS(df_extratos!I:I,df_extratos!F:F,Conciliacao!BF60,df_extratos!G:G,"CREDITO")+SUMIFS(df_extratos!I:I,df_extratos!F:F,Conciliacao!BG60,df_extratos!G:G,"CREDITO")+SUMIFS(df_extratos!I:I,df_extratos!F:F,Conciliacao!BH60,df_extratos!G:G,"CREDITO")</f>
        <v/>
      </c>
      <c r="I60" s="9">
        <f>H60-SUM(B60:G60)</f>
        <v/>
      </c>
      <c r="J60" s="4">
        <f>SUMIFS(df_blueme_sem_parcelamento!E:E,df_blueme_sem_parcelamento!H:H,Conciliacao!A60)*(-1)</f>
        <v/>
      </c>
      <c r="K60" s="4">
        <f>SUMIFS(df_blueme_com_parcelamento!J:J,df_blueme_com_parcelamento!M:M,Conciliacao!A60)*(-1)</f>
        <v/>
      </c>
      <c r="L60" s="4">
        <f>SUMIFS(df_mutuos!N:N,df_mutuos!B:B,Conciliacao!A60)*(-1)</f>
        <v/>
      </c>
      <c r="M60" s="8">
        <f>SUMIFS(df_bloqueios_judiciais!G:G,df_bloqueios_judiciais!D:D,Conciliacao!A60,df_bloqueios_judiciais!G:G,"&lt;0")</f>
        <v/>
      </c>
      <c r="N60" s="10">
        <f>SUMIFS(df_extratos!I:I,df_extratos!F:F,Conciliacao!BE60,df_extratos!G:G,"DEBITO")+SUMIFS(df_extratos!I:I,df_extratos!F:F,Conciliacao!A60,df_extratos!G:G,"DEBITO")+SUMIFS(df_extratos!I:I,df_extratos!F:F,Conciliacao!BF60,df_extratos!G:G,"DEBITO")+SUMIFS(df_extratos!I:I,df_extratos!F:F,Conciliacao!BG60,df_extratos!G:G,"DEBITO")+SUMIFS(df_extratos!I:I,df_extratos!F:F,Conciliacao!BH60,df_extratos!G:G,"DEBITO")</f>
        <v/>
      </c>
      <c r="O60" s="11">
        <f>N60-SUM(J60:M60)</f>
        <v/>
      </c>
      <c r="P60" s="25">
        <f>SUMIFS(df_ajustes_conciliaco!D:D,df_ajustes_conciliaco!C:C,Conciliacao!A60)</f>
        <v/>
      </c>
      <c r="Q60" s="22">
        <f>O60+I60-P60</f>
        <v/>
      </c>
      <c r="BE60" s="20" t="n">
        <v>45716.5</v>
      </c>
      <c r="BF60" s="20" t="n">
        <v>45716.125</v>
      </c>
      <c r="BG60" s="20" t="n">
        <v>45716.54166666666</v>
      </c>
      <c r="BH60" s="20" t="n">
        <v>45716.625</v>
      </c>
    </row>
    <row r="61">
      <c r="A61" s="5">
        <f>A60+1</f>
        <v/>
      </c>
      <c r="B61" s="3">
        <f>-SUMIFS(df_extrato_zig!G:G,df_extrato_zig!E:E,Conciliacao!A61,df_extrato_zig!D:D,"Saque")-SUMIFS(df_extrato_zig!G:G,df_extrato_zig!E:E,Conciliacao!A61,df_extrato_zig!D:D,"Antecipação")</f>
        <v/>
      </c>
      <c r="C61" s="3">
        <f>SUMIFS(df_extrato_zig!E:E,df_extrato_zig!L:L,Conciliacao!A61,df_extrato_zig!F:F,"DINHEIRO")</f>
        <v/>
      </c>
      <c r="D61" s="3">
        <f>SUMIFS(view_parc_agrup!H:H,view_parc_agrup!G:G,Conciliacao!A61)</f>
        <v/>
      </c>
      <c r="E61" s="3">
        <f>SUMIFS(df_eventos!F:F,df_eventos!H:H,Conciliacao!A61)</f>
        <v/>
      </c>
      <c r="F61" s="3">
        <f>SUMIFS(df_mutuos!M:M,df_mutuos!B:B,Conciliacao!A61)</f>
        <v/>
      </c>
      <c r="G61" s="6">
        <f>SUMIFS(df_bloqueios_judiciais!G:G,df_bloqueios_judiciais!D:D,Conciliacao!A61,df_bloqueios_judiciais!G:G,"&gt;0")</f>
        <v/>
      </c>
      <c r="H61" s="7">
        <f>SUMIFS(df_extratos!I:I,df_extratos!F:F,Conciliacao!BE61,df_extratos!G:G,"CREDITO")+SUMIFS(df_extratos!I:I,df_extratos!F:F,Conciliacao!A61,df_extratos!G:G,"CREDITO")+SUMIFS(df_extratos!I:I,df_extratos!F:F,Conciliacao!BF61,df_extratos!G:G,"CREDITO")+SUMIFS(df_extratos!I:I,df_extratos!F:F,Conciliacao!BG61,df_extratos!G:G,"CREDITO")+SUMIFS(df_extratos!I:I,df_extratos!F:F,Conciliacao!BH61,df_extratos!G:G,"CREDITO")</f>
        <v/>
      </c>
      <c r="I61" s="9">
        <f>H61-SUM(B61:G61)</f>
        <v/>
      </c>
      <c r="J61" s="4">
        <f>SUMIFS(df_blueme_sem_parcelamento!E:E,df_blueme_sem_parcelamento!H:H,Conciliacao!A61)*(-1)</f>
        <v/>
      </c>
      <c r="K61" s="4">
        <f>SUMIFS(df_blueme_com_parcelamento!J:J,df_blueme_com_parcelamento!M:M,Conciliacao!A61)*(-1)</f>
        <v/>
      </c>
      <c r="L61" s="4">
        <f>SUMIFS(df_mutuos!N:N,df_mutuos!B:B,Conciliacao!A61)*(-1)</f>
        <v/>
      </c>
      <c r="M61" s="8">
        <f>SUMIFS(df_bloqueios_judiciais!G:G,df_bloqueios_judiciais!D:D,Conciliacao!A61,df_bloqueios_judiciais!G:G,"&lt;0")</f>
        <v/>
      </c>
      <c r="N61" s="10">
        <f>SUMIFS(df_extratos!I:I,df_extratos!F:F,Conciliacao!BE61,df_extratos!G:G,"DEBITO")+SUMIFS(df_extratos!I:I,df_extratos!F:F,Conciliacao!A61,df_extratos!G:G,"DEBITO")+SUMIFS(df_extratos!I:I,df_extratos!F:F,Conciliacao!BF61,df_extratos!G:G,"DEBITO")+SUMIFS(df_extratos!I:I,df_extratos!F:F,Conciliacao!BG61,df_extratos!G:G,"DEBITO")+SUMIFS(df_extratos!I:I,df_extratos!F:F,Conciliacao!BH61,df_extratos!G:G,"DEBITO")</f>
        <v/>
      </c>
      <c r="O61" s="11">
        <f>N61-SUM(J61:M61)</f>
        <v/>
      </c>
      <c r="P61" s="25">
        <f>SUMIFS(df_ajustes_conciliaco!D:D,df_ajustes_conciliaco!C:C,Conciliacao!A61)</f>
        <v/>
      </c>
      <c r="Q61" s="22">
        <f>O61+I61-P61</f>
        <v/>
      </c>
      <c r="BE61" s="20" t="n">
        <v>45717.5</v>
      </c>
      <c r="BF61" s="20" t="n">
        <v>45717.125</v>
      </c>
      <c r="BG61" s="20" t="n">
        <v>45717.54166666666</v>
      </c>
      <c r="BH61" s="20" t="n">
        <v>45717.625</v>
      </c>
    </row>
    <row r="62">
      <c r="A62" s="5">
        <f>A61+1</f>
        <v/>
      </c>
      <c r="B62" s="3">
        <f>-SUMIFS(df_extrato_zig!G:G,df_extrato_zig!E:E,Conciliacao!A62,df_extrato_zig!D:D,"Saque")-SUMIFS(df_extrato_zig!G:G,df_extrato_zig!E:E,Conciliacao!A62,df_extrato_zig!D:D,"Antecipação")</f>
        <v/>
      </c>
      <c r="C62" s="3">
        <f>SUMIFS(df_extrato_zig!E:E,df_extrato_zig!L:L,Conciliacao!A62,df_extrato_zig!F:F,"DINHEIRO")</f>
        <v/>
      </c>
      <c r="D62" s="3">
        <f>SUMIFS(view_parc_agrup!H:H,view_parc_agrup!G:G,Conciliacao!A62)</f>
        <v/>
      </c>
      <c r="E62" s="3">
        <f>SUMIFS(df_eventos!F:F,df_eventos!H:H,Conciliacao!A62)</f>
        <v/>
      </c>
      <c r="F62" s="3">
        <f>SUMIFS(df_mutuos!M:M,df_mutuos!B:B,Conciliacao!A62)</f>
        <v/>
      </c>
      <c r="G62" s="6">
        <f>SUMIFS(df_bloqueios_judiciais!G:G,df_bloqueios_judiciais!D:D,Conciliacao!A62,df_bloqueios_judiciais!G:G,"&gt;0")</f>
        <v/>
      </c>
      <c r="H62" s="7">
        <f>SUMIFS(df_extratos!I:I,df_extratos!F:F,Conciliacao!BE62,df_extratos!G:G,"CREDITO")+SUMIFS(df_extratos!I:I,df_extratos!F:F,Conciliacao!A62,df_extratos!G:G,"CREDITO")+SUMIFS(df_extratos!I:I,df_extratos!F:F,Conciliacao!BF62,df_extratos!G:G,"CREDITO")+SUMIFS(df_extratos!I:I,df_extratos!F:F,Conciliacao!BG62,df_extratos!G:G,"CREDITO")+SUMIFS(df_extratos!I:I,df_extratos!F:F,Conciliacao!BH62,df_extratos!G:G,"CREDITO")</f>
        <v/>
      </c>
      <c r="I62" s="9">
        <f>H62-SUM(B62:G62)</f>
        <v/>
      </c>
      <c r="J62" s="4">
        <f>SUMIFS(df_blueme_sem_parcelamento!E:E,df_blueme_sem_parcelamento!H:H,Conciliacao!A62)*(-1)</f>
        <v/>
      </c>
      <c r="K62" s="4">
        <f>SUMIFS(df_blueme_com_parcelamento!J:J,df_blueme_com_parcelamento!M:M,Conciliacao!A62)*(-1)</f>
        <v/>
      </c>
      <c r="L62" s="4">
        <f>SUMIFS(df_mutuos!N:N,df_mutuos!B:B,Conciliacao!A62)*(-1)</f>
        <v/>
      </c>
      <c r="M62" s="8">
        <f>SUMIFS(df_bloqueios_judiciais!G:G,df_bloqueios_judiciais!D:D,Conciliacao!A62,df_bloqueios_judiciais!G:G,"&lt;0")</f>
        <v/>
      </c>
      <c r="N62" s="10">
        <f>SUMIFS(df_extratos!I:I,df_extratos!F:F,Conciliacao!BE62,df_extratos!G:G,"DEBITO")+SUMIFS(df_extratos!I:I,df_extratos!F:F,Conciliacao!A62,df_extratos!G:G,"DEBITO")+SUMIFS(df_extratos!I:I,df_extratos!F:F,Conciliacao!BF62,df_extratos!G:G,"DEBITO")+SUMIFS(df_extratos!I:I,df_extratos!F:F,Conciliacao!BG62,df_extratos!G:G,"DEBITO")+SUMIFS(df_extratos!I:I,df_extratos!F:F,Conciliacao!BH62,df_extratos!G:G,"DEBITO")</f>
        <v/>
      </c>
      <c r="O62" s="11">
        <f>N62-SUM(J62:M62)</f>
        <v/>
      </c>
      <c r="P62" s="25">
        <f>SUMIFS(df_ajustes_conciliaco!D:D,df_ajustes_conciliaco!C:C,Conciliacao!A62)</f>
        <v/>
      </c>
      <c r="Q62" s="22">
        <f>O62+I62-P62</f>
        <v/>
      </c>
      <c r="BE62" s="20" t="n">
        <v>45718.5</v>
      </c>
      <c r="BF62" s="20" t="n">
        <v>45718.125</v>
      </c>
      <c r="BG62" s="20" t="n">
        <v>45718.54166666666</v>
      </c>
      <c r="BH62" s="20" t="n">
        <v>45718.625</v>
      </c>
    </row>
    <row r="63">
      <c r="A63" s="5">
        <f>A62+1</f>
        <v/>
      </c>
      <c r="B63" s="3">
        <f>-SUMIFS(df_extrato_zig!G:G,df_extrato_zig!E:E,Conciliacao!A63,df_extrato_zig!D:D,"Saque")-SUMIFS(df_extrato_zig!G:G,df_extrato_zig!E:E,Conciliacao!A63,df_extrato_zig!D:D,"Antecipação")</f>
        <v/>
      </c>
      <c r="C63" s="3">
        <f>SUMIFS(df_extrato_zig!E:E,df_extrato_zig!L:L,Conciliacao!A63,df_extrato_zig!F:F,"DINHEIRO")</f>
        <v/>
      </c>
      <c r="D63" s="3">
        <f>SUMIFS(view_parc_agrup!H:H,view_parc_agrup!G:G,Conciliacao!A63)</f>
        <v/>
      </c>
      <c r="E63" s="3">
        <f>SUMIFS(df_eventos!F:F,df_eventos!H:H,Conciliacao!A63)</f>
        <v/>
      </c>
      <c r="F63" s="3">
        <f>SUMIFS(df_mutuos!M:M,df_mutuos!B:B,Conciliacao!A63)</f>
        <v/>
      </c>
      <c r="G63" s="6">
        <f>SUMIFS(df_bloqueios_judiciais!G:G,df_bloqueios_judiciais!D:D,Conciliacao!A63,df_bloqueios_judiciais!G:G,"&gt;0")</f>
        <v/>
      </c>
      <c r="H63" s="7">
        <f>SUMIFS(df_extratos!I:I,df_extratos!F:F,Conciliacao!BE63,df_extratos!G:G,"CREDITO")+SUMIFS(df_extratos!I:I,df_extratos!F:F,Conciliacao!A63,df_extratos!G:G,"CREDITO")+SUMIFS(df_extratos!I:I,df_extratos!F:F,Conciliacao!BF63,df_extratos!G:G,"CREDITO")+SUMIFS(df_extratos!I:I,df_extratos!F:F,Conciliacao!BG63,df_extratos!G:G,"CREDITO")+SUMIFS(df_extratos!I:I,df_extratos!F:F,Conciliacao!BH63,df_extratos!G:G,"CREDITO")</f>
        <v/>
      </c>
      <c r="I63" s="9">
        <f>H63-SUM(B63:G63)</f>
        <v/>
      </c>
      <c r="J63" s="4">
        <f>SUMIFS(df_blueme_sem_parcelamento!E:E,df_blueme_sem_parcelamento!H:H,Conciliacao!A63)*(-1)</f>
        <v/>
      </c>
      <c r="K63" s="4">
        <f>SUMIFS(df_blueme_com_parcelamento!J:J,df_blueme_com_parcelamento!M:M,Conciliacao!A63)*(-1)</f>
        <v/>
      </c>
      <c r="L63" s="4">
        <f>SUMIFS(df_mutuos!N:N,df_mutuos!B:B,Conciliacao!A63)*(-1)</f>
        <v/>
      </c>
      <c r="M63" s="8">
        <f>SUMIFS(df_bloqueios_judiciais!G:G,df_bloqueios_judiciais!D:D,Conciliacao!A63,df_bloqueios_judiciais!G:G,"&lt;0")</f>
        <v/>
      </c>
      <c r="N63" s="10">
        <f>SUMIFS(df_extratos!I:I,df_extratos!F:F,Conciliacao!BE63,df_extratos!G:G,"DEBITO")+SUMIFS(df_extratos!I:I,df_extratos!F:F,Conciliacao!A63,df_extratos!G:G,"DEBITO")+SUMIFS(df_extratos!I:I,df_extratos!F:F,Conciliacao!BF63,df_extratos!G:G,"DEBITO")+SUMIFS(df_extratos!I:I,df_extratos!F:F,Conciliacao!BG63,df_extratos!G:G,"DEBITO")+SUMIFS(df_extratos!I:I,df_extratos!F:F,Conciliacao!BH63,df_extratos!G:G,"DEBITO")</f>
        <v/>
      </c>
      <c r="O63" s="11">
        <f>N63-SUM(J63:M63)</f>
        <v/>
      </c>
      <c r="P63" s="25">
        <f>SUMIFS(df_ajustes_conciliaco!D:D,df_ajustes_conciliaco!C:C,Conciliacao!A63)</f>
        <v/>
      </c>
      <c r="Q63" s="22">
        <f>O63+I63-P63</f>
        <v/>
      </c>
      <c r="BE63" s="20" t="n">
        <v>45719.5</v>
      </c>
      <c r="BF63" s="20" t="n">
        <v>45719.125</v>
      </c>
      <c r="BG63" s="20" t="n">
        <v>45719.54166666666</v>
      </c>
      <c r="BH63" s="20" t="n">
        <v>45719.625</v>
      </c>
    </row>
    <row r="64">
      <c r="A64" s="5">
        <f>A63+1</f>
        <v/>
      </c>
      <c r="B64" s="3">
        <f>-SUMIFS(df_extrato_zig!G:G,df_extrato_zig!E:E,Conciliacao!A64,df_extrato_zig!D:D,"Saque")-SUMIFS(df_extrato_zig!G:G,df_extrato_zig!E:E,Conciliacao!A64,df_extrato_zig!D:D,"Antecipação")</f>
        <v/>
      </c>
      <c r="C64" s="3">
        <f>SUMIFS(df_extrato_zig!E:E,df_extrato_zig!L:L,Conciliacao!A64,df_extrato_zig!F:F,"DINHEIRO")</f>
        <v/>
      </c>
      <c r="D64" s="3">
        <f>SUMIFS(view_parc_agrup!H:H,view_parc_agrup!G:G,Conciliacao!A64)</f>
        <v/>
      </c>
      <c r="E64" s="3">
        <f>SUMIFS(df_eventos!F:F,df_eventos!H:H,Conciliacao!A64)</f>
        <v/>
      </c>
      <c r="F64" s="3">
        <f>SUMIFS(df_mutuos!M:M,df_mutuos!B:B,Conciliacao!A64)</f>
        <v/>
      </c>
      <c r="G64" s="6">
        <f>SUMIFS(df_bloqueios_judiciais!G:G,df_bloqueios_judiciais!D:D,Conciliacao!A64,df_bloqueios_judiciais!G:G,"&gt;0")</f>
        <v/>
      </c>
      <c r="H64" s="7">
        <f>SUMIFS(df_extratos!I:I,df_extratos!F:F,Conciliacao!BE64,df_extratos!G:G,"CREDITO")+SUMIFS(df_extratos!I:I,df_extratos!F:F,Conciliacao!A64,df_extratos!G:G,"CREDITO")+SUMIFS(df_extratos!I:I,df_extratos!F:F,Conciliacao!BF64,df_extratos!G:G,"CREDITO")+SUMIFS(df_extratos!I:I,df_extratos!F:F,Conciliacao!BG64,df_extratos!G:G,"CREDITO")+SUMIFS(df_extratos!I:I,df_extratos!F:F,Conciliacao!BH64,df_extratos!G:G,"CREDITO")</f>
        <v/>
      </c>
      <c r="I64" s="9">
        <f>H64-SUM(B64:G64)</f>
        <v/>
      </c>
      <c r="J64" s="4">
        <f>SUMIFS(df_blueme_sem_parcelamento!E:E,df_blueme_sem_parcelamento!H:H,Conciliacao!A64)*(-1)</f>
        <v/>
      </c>
      <c r="K64" s="4">
        <f>SUMIFS(df_blueme_com_parcelamento!J:J,df_blueme_com_parcelamento!M:M,Conciliacao!A64)*(-1)</f>
        <v/>
      </c>
      <c r="L64" s="4">
        <f>SUMIFS(df_mutuos!N:N,df_mutuos!B:B,Conciliacao!A64)*(-1)</f>
        <v/>
      </c>
      <c r="M64" s="8">
        <f>SUMIFS(df_bloqueios_judiciais!G:G,df_bloqueios_judiciais!D:D,Conciliacao!A64,df_bloqueios_judiciais!G:G,"&lt;0")</f>
        <v/>
      </c>
      <c r="N64" s="10">
        <f>SUMIFS(df_extratos!I:I,df_extratos!F:F,Conciliacao!BE64,df_extratos!G:G,"DEBITO")+SUMIFS(df_extratos!I:I,df_extratos!F:F,Conciliacao!A64,df_extratos!G:G,"DEBITO")+SUMIFS(df_extratos!I:I,df_extratos!F:F,Conciliacao!BF64,df_extratos!G:G,"DEBITO")+SUMIFS(df_extratos!I:I,df_extratos!F:F,Conciliacao!BG64,df_extratos!G:G,"DEBITO")+SUMIFS(df_extratos!I:I,df_extratos!F:F,Conciliacao!BH64,df_extratos!G:G,"DEBITO")</f>
        <v/>
      </c>
      <c r="O64" s="11">
        <f>N64-SUM(J64:M64)</f>
        <v/>
      </c>
      <c r="P64" s="25">
        <f>SUMIFS(df_ajustes_conciliaco!D:D,df_ajustes_conciliaco!C:C,Conciliacao!A64)</f>
        <v/>
      </c>
      <c r="Q64" s="22">
        <f>O64+I64-P64</f>
        <v/>
      </c>
      <c r="BE64" s="20" t="n">
        <v>45720.5</v>
      </c>
      <c r="BF64" s="20" t="n">
        <v>45720.125</v>
      </c>
      <c r="BG64" s="20" t="n">
        <v>45720.54166666666</v>
      </c>
      <c r="BH64" s="20" t="n">
        <v>45720.625</v>
      </c>
    </row>
    <row r="65">
      <c r="A65" s="5">
        <f>A64+1</f>
        <v/>
      </c>
      <c r="B65" s="3">
        <f>-SUMIFS(df_extrato_zig!G:G,df_extrato_zig!E:E,Conciliacao!A65,df_extrato_zig!D:D,"Saque")-SUMIFS(df_extrato_zig!G:G,df_extrato_zig!E:E,Conciliacao!A65,df_extrato_zig!D:D,"Antecipação")</f>
        <v/>
      </c>
      <c r="C65" s="3">
        <f>SUMIFS(df_extrato_zig!E:E,df_extrato_zig!L:L,Conciliacao!A65,df_extrato_zig!F:F,"DINHEIRO")</f>
        <v/>
      </c>
      <c r="D65" s="3">
        <f>SUMIFS(view_parc_agrup!H:H,view_parc_agrup!G:G,Conciliacao!A65)</f>
        <v/>
      </c>
      <c r="E65" s="3">
        <f>SUMIFS(df_eventos!F:F,df_eventos!H:H,Conciliacao!A65)</f>
        <v/>
      </c>
      <c r="F65" s="3">
        <f>SUMIFS(df_mutuos!M:M,df_mutuos!B:B,Conciliacao!A65)</f>
        <v/>
      </c>
      <c r="G65" s="6">
        <f>SUMIFS(df_bloqueios_judiciais!G:G,df_bloqueios_judiciais!D:D,Conciliacao!A65,df_bloqueios_judiciais!G:G,"&gt;0")</f>
        <v/>
      </c>
      <c r="H65" s="7">
        <f>SUMIFS(df_extratos!I:I,df_extratos!F:F,Conciliacao!BE65,df_extratos!G:G,"CREDITO")+SUMIFS(df_extratos!I:I,df_extratos!F:F,Conciliacao!A65,df_extratos!G:G,"CREDITO")+SUMIFS(df_extratos!I:I,df_extratos!F:F,Conciliacao!BF65,df_extratos!G:G,"CREDITO")+SUMIFS(df_extratos!I:I,df_extratos!F:F,Conciliacao!BG65,df_extratos!G:G,"CREDITO")+SUMIFS(df_extratos!I:I,df_extratos!F:F,Conciliacao!BH65,df_extratos!G:G,"CREDITO")</f>
        <v/>
      </c>
      <c r="I65" s="9">
        <f>H65-SUM(B65:G65)</f>
        <v/>
      </c>
      <c r="J65" s="4">
        <f>SUMIFS(df_blueme_sem_parcelamento!E:E,df_blueme_sem_parcelamento!H:H,Conciliacao!A65)*(-1)</f>
        <v/>
      </c>
      <c r="K65" s="4">
        <f>SUMIFS(df_blueme_com_parcelamento!J:J,df_blueme_com_parcelamento!M:M,Conciliacao!A65)*(-1)</f>
        <v/>
      </c>
      <c r="L65" s="4">
        <f>SUMIFS(df_mutuos!N:N,df_mutuos!B:B,Conciliacao!A65)*(-1)</f>
        <v/>
      </c>
      <c r="M65" s="8">
        <f>SUMIFS(df_bloqueios_judiciais!G:G,df_bloqueios_judiciais!D:D,Conciliacao!A65,df_bloqueios_judiciais!G:G,"&lt;0")</f>
        <v/>
      </c>
      <c r="N65" s="10">
        <f>SUMIFS(df_extratos!I:I,df_extratos!F:F,Conciliacao!BE65,df_extratos!G:G,"DEBITO")+SUMIFS(df_extratos!I:I,df_extratos!F:F,Conciliacao!A65,df_extratos!G:G,"DEBITO")+SUMIFS(df_extratos!I:I,df_extratos!F:F,Conciliacao!BF65,df_extratos!G:G,"DEBITO")+SUMIFS(df_extratos!I:I,df_extratos!F:F,Conciliacao!BG65,df_extratos!G:G,"DEBITO")+SUMIFS(df_extratos!I:I,df_extratos!F:F,Conciliacao!BH65,df_extratos!G:G,"DEBITO")</f>
        <v/>
      </c>
      <c r="O65" s="11">
        <f>N65-SUM(J65:M65)</f>
        <v/>
      </c>
      <c r="P65" s="25">
        <f>SUMIFS(df_ajustes_conciliaco!D:D,df_ajustes_conciliaco!C:C,Conciliacao!A65)</f>
        <v/>
      </c>
      <c r="Q65" s="22">
        <f>O65+I65-P65</f>
        <v/>
      </c>
      <c r="BE65" s="20" t="n">
        <v>45721.5</v>
      </c>
      <c r="BF65" s="20" t="n">
        <v>45721.125</v>
      </c>
      <c r="BG65" s="20" t="n">
        <v>45721.54166666666</v>
      </c>
      <c r="BH65" s="20" t="n">
        <v>45721.625</v>
      </c>
    </row>
    <row r="66">
      <c r="A66" s="5">
        <f>A65+1</f>
        <v/>
      </c>
      <c r="B66" s="3">
        <f>-SUMIFS(df_extrato_zig!G:G,df_extrato_zig!E:E,Conciliacao!A66,df_extrato_zig!D:D,"Saque")-SUMIFS(df_extrato_zig!G:G,df_extrato_zig!E:E,Conciliacao!A66,df_extrato_zig!D:D,"Antecipação")</f>
        <v/>
      </c>
      <c r="C66" s="3">
        <f>SUMIFS(df_extrato_zig!E:E,df_extrato_zig!L:L,Conciliacao!A66,df_extrato_zig!F:F,"DINHEIRO")</f>
        <v/>
      </c>
      <c r="D66" s="3">
        <f>SUMIFS(view_parc_agrup!H:H,view_parc_agrup!G:G,Conciliacao!A66)</f>
        <v/>
      </c>
      <c r="E66" s="3">
        <f>SUMIFS(df_eventos!F:F,df_eventos!H:H,Conciliacao!A66)</f>
        <v/>
      </c>
      <c r="F66" s="3">
        <f>SUMIFS(df_mutuos!M:M,df_mutuos!B:B,Conciliacao!A66)</f>
        <v/>
      </c>
      <c r="G66" s="6">
        <f>SUMIFS(df_bloqueios_judiciais!G:G,df_bloqueios_judiciais!D:D,Conciliacao!A66,df_bloqueios_judiciais!G:G,"&gt;0")</f>
        <v/>
      </c>
      <c r="H66" s="7">
        <f>SUMIFS(df_extratos!I:I,df_extratos!F:F,Conciliacao!BE66,df_extratos!G:G,"CREDITO")+SUMIFS(df_extratos!I:I,df_extratos!F:F,Conciliacao!A66,df_extratos!G:G,"CREDITO")+SUMIFS(df_extratos!I:I,df_extratos!F:F,Conciliacao!BF66,df_extratos!G:G,"CREDITO")+SUMIFS(df_extratos!I:I,df_extratos!F:F,Conciliacao!BG66,df_extratos!G:G,"CREDITO")+SUMIFS(df_extratos!I:I,df_extratos!F:F,Conciliacao!BH66,df_extratos!G:G,"CREDITO")</f>
        <v/>
      </c>
      <c r="I66" s="9">
        <f>H66-SUM(B66:G66)</f>
        <v/>
      </c>
      <c r="J66" s="4">
        <f>SUMIFS(df_blueme_sem_parcelamento!E:E,df_blueme_sem_parcelamento!H:H,Conciliacao!A66)*(-1)</f>
        <v/>
      </c>
      <c r="K66" s="4">
        <f>SUMIFS(df_blueme_com_parcelamento!J:J,df_blueme_com_parcelamento!M:M,Conciliacao!A66)*(-1)</f>
        <v/>
      </c>
      <c r="L66" s="4">
        <f>SUMIFS(df_mutuos!N:N,df_mutuos!B:B,Conciliacao!A66)*(-1)</f>
        <v/>
      </c>
      <c r="M66" s="8">
        <f>SUMIFS(df_bloqueios_judiciais!G:G,df_bloqueios_judiciais!D:D,Conciliacao!A66,df_bloqueios_judiciais!G:G,"&lt;0")</f>
        <v/>
      </c>
      <c r="N66" s="10">
        <f>SUMIFS(df_extratos!I:I,df_extratos!F:F,Conciliacao!BE66,df_extratos!G:G,"DEBITO")+SUMIFS(df_extratos!I:I,df_extratos!F:F,Conciliacao!A66,df_extratos!G:G,"DEBITO")+SUMIFS(df_extratos!I:I,df_extratos!F:F,Conciliacao!BF66,df_extratos!G:G,"DEBITO")+SUMIFS(df_extratos!I:I,df_extratos!F:F,Conciliacao!BG66,df_extratos!G:G,"DEBITO")+SUMIFS(df_extratos!I:I,df_extratos!F:F,Conciliacao!BH66,df_extratos!G:G,"DEBITO")</f>
        <v/>
      </c>
      <c r="O66" s="11">
        <f>N66-SUM(J66:M66)</f>
        <v/>
      </c>
      <c r="P66" s="25">
        <f>SUMIFS(df_ajustes_conciliaco!D:D,df_ajustes_conciliaco!C:C,Conciliacao!A66)</f>
        <v/>
      </c>
      <c r="Q66" s="22">
        <f>O66+I66-P66</f>
        <v/>
      </c>
      <c r="BE66" s="20" t="n">
        <v>45722.5</v>
      </c>
      <c r="BF66" s="20" t="n">
        <v>45722.125</v>
      </c>
      <c r="BG66" s="20" t="n">
        <v>45722.54166666666</v>
      </c>
      <c r="BH66" s="20" t="n">
        <v>45722.625</v>
      </c>
    </row>
    <row r="67">
      <c r="A67" s="5">
        <f>A66+1</f>
        <v/>
      </c>
      <c r="B67" s="3">
        <f>-SUMIFS(df_extrato_zig!G:G,df_extrato_zig!E:E,Conciliacao!A67,df_extrato_zig!D:D,"Saque")-SUMIFS(df_extrato_zig!G:G,df_extrato_zig!E:E,Conciliacao!A67,df_extrato_zig!D:D,"Antecipação")</f>
        <v/>
      </c>
      <c r="C67" s="3">
        <f>SUMIFS(df_extrato_zig!E:E,df_extrato_zig!L:L,Conciliacao!A67,df_extrato_zig!F:F,"DINHEIRO")</f>
        <v/>
      </c>
      <c r="D67" s="3">
        <f>SUMIFS(view_parc_agrup!H:H,view_parc_agrup!G:G,Conciliacao!A67)</f>
        <v/>
      </c>
      <c r="E67" s="3">
        <f>SUMIFS(df_eventos!F:F,df_eventos!H:H,Conciliacao!A67)</f>
        <v/>
      </c>
      <c r="F67" s="3">
        <f>SUMIFS(df_mutuos!M:M,df_mutuos!B:B,Conciliacao!A67)</f>
        <v/>
      </c>
      <c r="G67" s="6">
        <f>SUMIFS(df_bloqueios_judiciais!G:G,df_bloqueios_judiciais!D:D,Conciliacao!A67,df_bloqueios_judiciais!G:G,"&gt;0")</f>
        <v/>
      </c>
      <c r="H67" s="7">
        <f>SUMIFS(df_extratos!I:I,df_extratos!F:F,Conciliacao!BE67,df_extratos!G:G,"CREDITO")+SUMIFS(df_extratos!I:I,df_extratos!F:F,Conciliacao!A67,df_extratos!G:G,"CREDITO")+SUMIFS(df_extratos!I:I,df_extratos!F:F,Conciliacao!BF67,df_extratos!G:G,"CREDITO")+SUMIFS(df_extratos!I:I,df_extratos!F:F,Conciliacao!BG67,df_extratos!G:G,"CREDITO")+SUMIFS(df_extratos!I:I,df_extratos!F:F,Conciliacao!BH67,df_extratos!G:G,"CREDITO")</f>
        <v/>
      </c>
      <c r="I67" s="9">
        <f>H67-SUM(B67:G67)</f>
        <v/>
      </c>
      <c r="J67" s="4">
        <f>SUMIFS(df_blueme_sem_parcelamento!E:E,df_blueme_sem_parcelamento!H:H,Conciliacao!A67)*(-1)</f>
        <v/>
      </c>
      <c r="K67" s="4">
        <f>SUMIFS(df_blueme_com_parcelamento!J:J,df_blueme_com_parcelamento!M:M,Conciliacao!A67)*(-1)</f>
        <v/>
      </c>
      <c r="L67" s="4">
        <f>SUMIFS(df_mutuos!N:N,df_mutuos!B:B,Conciliacao!A67)*(-1)</f>
        <v/>
      </c>
      <c r="M67" s="8">
        <f>SUMIFS(df_bloqueios_judiciais!G:G,df_bloqueios_judiciais!D:D,Conciliacao!A67,df_bloqueios_judiciais!G:G,"&lt;0")</f>
        <v/>
      </c>
      <c r="N67" s="10">
        <f>SUMIFS(df_extratos!I:I,df_extratos!F:F,Conciliacao!BE67,df_extratos!G:G,"DEBITO")+SUMIFS(df_extratos!I:I,df_extratos!F:F,Conciliacao!A67,df_extratos!G:G,"DEBITO")+SUMIFS(df_extratos!I:I,df_extratos!F:F,Conciliacao!BF67,df_extratos!G:G,"DEBITO")+SUMIFS(df_extratos!I:I,df_extratos!F:F,Conciliacao!BG67,df_extratos!G:G,"DEBITO")+SUMIFS(df_extratos!I:I,df_extratos!F:F,Conciliacao!BH67,df_extratos!G:G,"DEBITO")</f>
        <v/>
      </c>
      <c r="O67" s="11">
        <f>N67-SUM(J67:M67)</f>
        <v/>
      </c>
      <c r="P67" s="25">
        <f>SUMIFS(df_ajustes_conciliaco!D:D,df_ajustes_conciliaco!C:C,Conciliacao!A67)</f>
        <v/>
      </c>
      <c r="Q67" s="22">
        <f>O67+I67-P67</f>
        <v/>
      </c>
      <c r="BE67" s="20" t="n">
        <v>45723.5</v>
      </c>
      <c r="BF67" s="20" t="n">
        <v>45723.125</v>
      </c>
      <c r="BG67" s="20" t="n">
        <v>45723.54166666666</v>
      </c>
      <c r="BH67" s="20" t="n">
        <v>45723.625</v>
      </c>
    </row>
    <row r="68">
      <c r="A68" s="5">
        <f>A67+1</f>
        <v/>
      </c>
      <c r="B68" s="3">
        <f>-SUMIFS(df_extrato_zig!G:G,df_extrato_zig!E:E,Conciliacao!A68,df_extrato_zig!D:D,"Saque")-SUMIFS(df_extrato_zig!G:G,df_extrato_zig!E:E,Conciliacao!A68,df_extrato_zig!D:D,"Antecipação")</f>
        <v/>
      </c>
      <c r="C68" s="3">
        <f>SUMIFS(df_extrato_zig!E:E,df_extrato_zig!L:L,Conciliacao!A68,df_extrato_zig!F:F,"DINHEIRO")</f>
        <v/>
      </c>
      <c r="D68" s="3">
        <f>SUMIFS(view_parc_agrup!H:H,view_parc_agrup!G:G,Conciliacao!A68)</f>
        <v/>
      </c>
      <c r="E68" s="3">
        <f>SUMIFS(df_eventos!F:F,df_eventos!H:H,Conciliacao!A68)</f>
        <v/>
      </c>
      <c r="F68" s="3">
        <f>SUMIFS(df_mutuos!M:M,df_mutuos!B:B,Conciliacao!A68)</f>
        <v/>
      </c>
      <c r="G68" s="6">
        <f>SUMIFS(df_bloqueios_judiciais!G:G,df_bloqueios_judiciais!D:D,Conciliacao!A68,df_bloqueios_judiciais!G:G,"&gt;0")</f>
        <v/>
      </c>
      <c r="H68" s="7">
        <f>SUMIFS(df_extratos!I:I,df_extratos!F:F,Conciliacao!BE68,df_extratos!G:G,"CREDITO")+SUMIFS(df_extratos!I:I,df_extratos!F:F,Conciliacao!A68,df_extratos!G:G,"CREDITO")+SUMIFS(df_extratos!I:I,df_extratos!F:F,Conciliacao!BF68,df_extratos!G:G,"CREDITO")+SUMIFS(df_extratos!I:I,df_extratos!F:F,Conciliacao!BG68,df_extratos!G:G,"CREDITO")+SUMIFS(df_extratos!I:I,df_extratos!F:F,Conciliacao!BH68,df_extratos!G:G,"CREDITO")</f>
        <v/>
      </c>
      <c r="I68" s="9">
        <f>H68-SUM(B68:G68)</f>
        <v/>
      </c>
      <c r="J68" s="4">
        <f>SUMIFS(df_blueme_sem_parcelamento!E:E,df_blueme_sem_parcelamento!H:H,Conciliacao!A68)*(-1)</f>
        <v/>
      </c>
      <c r="K68" s="4">
        <f>SUMIFS(df_blueme_com_parcelamento!J:J,df_blueme_com_parcelamento!M:M,Conciliacao!A68)*(-1)</f>
        <v/>
      </c>
      <c r="L68" s="4">
        <f>SUMIFS(df_mutuos!N:N,df_mutuos!B:B,Conciliacao!A68)*(-1)</f>
        <v/>
      </c>
      <c r="M68" s="8">
        <f>SUMIFS(df_bloqueios_judiciais!G:G,df_bloqueios_judiciais!D:D,Conciliacao!A68,df_bloqueios_judiciais!G:G,"&lt;0")</f>
        <v/>
      </c>
      <c r="N68" s="10">
        <f>SUMIFS(df_extratos!I:I,df_extratos!F:F,Conciliacao!BE68,df_extratos!G:G,"DEBITO")+SUMIFS(df_extratos!I:I,df_extratos!F:F,Conciliacao!A68,df_extratos!G:G,"DEBITO")+SUMIFS(df_extratos!I:I,df_extratos!F:F,Conciliacao!BF68,df_extratos!G:G,"DEBITO")+SUMIFS(df_extratos!I:I,df_extratos!F:F,Conciliacao!BG68,df_extratos!G:G,"DEBITO")+SUMIFS(df_extratos!I:I,df_extratos!F:F,Conciliacao!BH68,df_extratos!G:G,"DEBITO")</f>
        <v/>
      </c>
      <c r="O68" s="11">
        <f>N68-SUM(J68:M68)</f>
        <v/>
      </c>
      <c r="P68" s="25">
        <f>SUMIFS(df_ajustes_conciliaco!D:D,df_ajustes_conciliaco!C:C,Conciliacao!A68)</f>
        <v/>
      </c>
      <c r="Q68" s="22">
        <f>O68+I68-P68</f>
        <v/>
      </c>
      <c r="BE68" s="20" t="n">
        <v>45724.5</v>
      </c>
      <c r="BF68" s="20" t="n">
        <v>45724.125</v>
      </c>
      <c r="BG68" s="20" t="n">
        <v>45724.54166666666</v>
      </c>
      <c r="BH68" s="20" t="n">
        <v>45724.625</v>
      </c>
    </row>
    <row r="69">
      <c r="A69" s="5">
        <f>A68+1</f>
        <v/>
      </c>
      <c r="B69" s="3">
        <f>-SUMIFS(df_extrato_zig!G:G,df_extrato_zig!E:E,Conciliacao!A69,df_extrato_zig!D:D,"Saque")-SUMIFS(df_extrato_zig!G:G,df_extrato_zig!E:E,Conciliacao!A69,df_extrato_zig!D:D,"Antecipação")</f>
        <v/>
      </c>
      <c r="C69" s="3">
        <f>SUMIFS(df_extrato_zig!E:E,df_extrato_zig!L:L,Conciliacao!A69,df_extrato_zig!F:F,"DINHEIRO")</f>
        <v/>
      </c>
      <c r="D69" s="3">
        <f>SUMIFS(view_parc_agrup!H:H,view_parc_agrup!G:G,Conciliacao!A69)</f>
        <v/>
      </c>
      <c r="E69" s="3">
        <f>SUMIFS(df_eventos!F:F,df_eventos!H:H,Conciliacao!A69)</f>
        <v/>
      </c>
      <c r="F69" s="3">
        <f>SUMIFS(df_mutuos!M:M,df_mutuos!B:B,Conciliacao!A69)</f>
        <v/>
      </c>
      <c r="G69" s="6">
        <f>SUMIFS(df_bloqueios_judiciais!G:G,df_bloqueios_judiciais!D:D,Conciliacao!A69,df_bloqueios_judiciais!G:G,"&gt;0")</f>
        <v/>
      </c>
      <c r="H69" s="7">
        <f>SUMIFS(df_extratos!I:I,df_extratos!F:F,Conciliacao!BE69,df_extratos!G:G,"CREDITO")+SUMIFS(df_extratos!I:I,df_extratos!F:F,Conciliacao!A69,df_extratos!G:G,"CREDITO")+SUMIFS(df_extratos!I:I,df_extratos!F:F,Conciliacao!BF69,df_extratos!G:G,"CREDITO")+SUMIFS(df_extratos!I:I,df_extratos!F:F,Conciliacao!BG69,df_extratos!G:G,"CREDITO")+SUMIFS(df_extratos!I:I,df_extratos!F:F,Conciliacao!BH69,df_extratos!G:G,"CREDITO")</f>
        <v/>
      </c>
      <c r="I69" s="9">
        <f>H69-SUM(B69:G69)</f>
        <v/>
      </c>
      <c r="J69" s="4">
        <f>SUMIFS(df_blueme_sem_parcelamento!E:E,df_blueme_sem_parcelamento!H:H,Conciliacao!A69)*(-1)</f>
        <v/>
      </c>
      <c r="K69" s="4">
        <f>SUMIFS(df_blueme_com_parcelamento!J:J,df_blueme_com_parcelamento!M:M,Conciliacao!A69)*(-1)</f>
        <v/>
      </c>
      <c r="L69" s="4">
        <f>SUMIFS(df_mutuos!N:N,df_mutuos!B:B,Conciliacao!A69)*(-1)</f>
        <v/>
      </c>
      <c r="M69" s="8">
        <f>SUMIFS(df_bloqueios_judiciais!G:G,df_bloqueios_judiciais!D:D,Conciliacao!A69,df_bloqueios_judiciais!G:G,"&lt;0")</f>
        <v/>
      </c>
      <c r="N69" s="10">
        <f>SUMIFS(df_extratos!I:I,df_extratos!F:F,Conciliacao!BE69,df_extratos!G:G,"DEBITO")+SUMIFS(df_extratos!I:I,df_extratos!F:F,Conciliacao!A69,df_extratos!G:G,"DEBITO")+SUMIFS(df_extratos!I:I,df_extratos!F:F,Conciliacao!BF69,df_extratos!G:G,"DEBITO")+SUMIFS(df_extratos!I:I,df_extratos!F:F,Conciliacao!BG69,df_extratos!G:G,"DEBITO")+SUMIFS(df_extratos!I:I,df_extratos!F:F,Conciliacao!BH69,df_extratos!G:G,"DEBITO")</f>
        <v/>
      </c>
      <c r="O69" s="11">
        <f>N69-SUM(J69:M69)</f>
        <v/>
      </c>
      <c r="P69" s="25">
        <f>SUMIFS(df_ajustes_conciliaco!D:D,df_ajustes_conciliaco!C:C,Conciliacao!A69)</f>
        <v/>
      </c>
      <c r="Q69" s="22">
        <f>O69+I69-P69</f>
        <v/>
      </c>
      <c r="BE69" s="20" t="n">
        <v>45725.5</v>
      </c>
      <c r="BF69" s="20" t="n">
        <v>45725.125</v>
      </c>
      <c r="BG69" s="20" t="n">
        <v>45725.54166666666</v>
      </c>
      <c r="BH69" s="20" t="n">
        <v>45725.625</v>
      </c>
    </row>
    <row r="70">
      <c r="A70" s="5">
        <f>A69+1</f>
        <v/>
      </c>
      <c r="B70" s="3">
        <f>-SUMIFS(df_extrato_zig!G:G,df_extrato_zig!E:E,Conciliacao!A70,df_extrato_zig!D:D,"Saque")-SUMIFS(df_extrato_zig!G:G,df_extrato_zig!E:E,Conciliacao!A70,df_extrato_zig!D:D,"Antecipação")</f>
        <v/>
      </c>
      <c r="C70" s="3">
        <f>SUMIFS(df_extrato_zig!E:E,df_extrato_zig!L:L,Conciliacao!A70,df_extrato_zig!F:F,"DINHEIRO")</f>
        <v/>
      </c>
      <c r="D70" s="3">
        <f>SUMIFS(view_parc_agrup!H:H,view_parc_agrup!G:G,Conciliacao!A70)</f>
        <v/>
      </c>
      <c r="E70" s="3">
        <f>SUMIFS(df_eventos!F:F,df_eventos!H:H,Conciliacao!A70)</f>
        <v/>
      </c>
      <c r="F70" s="3">
        <f>SUMIFS(df_mutuos!M:M,df_mutuos!B:B,Conciliacao!A70)</f>
        <v/>
      </c>
      <c r="G70" s="6">
        <f>SUMIFS(df_bloqueios_judiciais!G:G,df_bloqueios_judiciais!D:D,Conciliacao!A70,df_bloqueios_judiciais!G:G,"&gt;0")</f>
        <v/>
      </c>
      <c r="H70" s="7">
        <f>SUMIFS(df_extratos!I:I,df_extratos!F:F,Conciliacao!BE70,df_extratos!G:G,"CREDITO")+SUMIFS(df_extratos!I:I,df_extratos!F:F,Conciliacao!A70,df_extratos!G:G,"CREDITO")+SUMIFS(df_extratos!I:I,df_extratos!F:F,Conciliacao!BF70,df_extratos!G:G,"CREDITO")+SUMIFS(df_extratos!I:I,df_extratos!F:F,Conciliacao!BG70,df_extratos!G:G,"CREDITO")+SUMIFS(df_extratos!I:I,df_extratos!F:F,Conciliacao!BH70,df_extratos!G:G,"CREDITO")</f>
        <v/>
      </c>
      <c r="I70" s="9">
        <f>H70-SUM(B70:G70)</f>
        <v/>
      </c>
      <c r="J70" s="4">
        <f>SUMIFS(df_blueme_sem_parcelamento!E:E,df_blueme_sem_parcelamento!H:H,Conciliacao!A70)*(-1)</f>
        <v/>
      </c>
      <c r="K70" s="4">
        <f>SUMIFS(df_blueme_com_parcelamento!J:J,df_blueme_com_parcelamento!M:M,Conciliacao!A70)*(-1)</f>
        <v/>
      </c>
      <c r="L70" s="4">
        <f>SUMIFS(df_mutuos!N:N,df_mutuos!B:B,Conciliacao!A70)*(-1)</f>
        <v/>
      </c>
      <c r="M70" s="8">
        <f>SUMIFS(df_bloqueios_judiciais!G:G,df_bloqueios_judiciais!D:D,Conciliacao!A70,df_bloqueios_judiciais!G:G,"&lt;0")</f>
        <v/>
      </c>
      <c r="N70" s="10">
        <f>SUMIFS(df_extratos!I:I,df_extratos!F:F,Conciliacao!BE70,df_extratos!G:G,"DEBITO")+SUMIFS(df_extratos!I:I,df_extratos!F:F,Conciliacao!A70,df_extratos!G:G,"DEBITO")+SUMIFS(df_extratos!I:I,df_extratos!F:F,Conciliacao!BF70,df_extratos!G:G,"DEBITO")+SUMIFS(df_extratos!I:I,df_extratos!F:F,Conciliacao!BG70,df_extratos!G:G,"DEBITO")+SUMIFS(df_extratos!I:I,df_extratos!F:F,Conciliacao!BH70,df_extratos!G:G,"DEBITO")</f>
        <v/>
      </c>
      <c r="O70" s="11">
        <f>N70-SUM(J70:M70)</f>
        <v/>
      </c>
      <c r="P70" s="25">
        <f>SUMIFS(df_ajustes_conciliaco!D:D,df_ajustes_conciliaco!C:C,Conciliacao!A70)</f>
        <v/>
      </c>
      <c r="Q70" s="22">
        <f>O70+I70-P70</f>
        <v/>
      </c>
      <c r="BE70" s="20" t="n">
        <v>45726.5</v>
      </c>
      <c r="BF70" s="20" t="n">
        <v>45726.125</v>
      </c>
      <c r="BG70" s="20" t="n">
        <v>45726.54166666666</v>
      </c>
      <c r="BH70" s="20" t="n">
        <v>45726.625</v>
      </c>
    </row>
    <row r="71">
      <c r="A71" s="5">
        <f>A70+1</f>
        <v/>
      </c>
      <c r="B71" s="3">
        <f>-SUMIFS(df_extrato_zig!G:G,df_extrato_zig!E:E,Conciliacao!A71,df_extrato_zig!D:D,"Saque")-SUMIFS(df_extrato_zig!G:G,df_extrato_zig!E:E,Conciliacao!A71,df_extrato_zig!D:D,"Antecipação")</f>
        <v/>
      </c>
      <c r="C71" s="3">
        <f>SUMIFS(df_extrato_zig!E:E,df_extrato_zig!L:L,Conciliacao!A71,df_extrato_zig!F:F,"DINHEIRO")</f>
        <v/>
      </c>
      <c r="D71" s="3">
        <f>SUMIFS(view_parc_agrup!H:H,view_parc_agrup!G:G,Conciliacao!A71)</f>
        <v/>
      </c>
      <c r="E71" s="3">
        <f>SUMIFS(df_eventos!F:F,df_eventos!H:H,Conciliacao!A71)</f>
        <v/>
      </c>
      <c r="F71" s="3">
        <f>SUMIFS(df_mutuos!M:M,df_mutuos!B:B,Conciliacao!A71)</f>
        <v/>
      </c>
      <c r="G71" s="6">
        <f>SUMIFS(df_bloqueios_judiciais!G:G,df_bloqueios_judiciais!D:D,Conciliacao!A71,df_bloqueios_judiciais!G:G,"&gt;0")</f>
        <v/>
      </c>
      <c r="H71" s="7">
        <f>SUMIFS(df_extratos!I:I,df_extratos!F:F,Conciliacao!BE71,df_extratos!G:G,"CREDITO")+SUMIFS(df_extratos!I:I,df_extratos!F:F,Conciliacao!A71,df_extratos!G:G,"CREDITO")+SUMIFS(df_extratos!I:I,df_extratos!F:F,Conciliacao!BF71,df_extratos!G:G,"CREDITO")+SUMIFS(df_extratos!I:I,df_extratos!F:F,Conciliacao!BG71,df_extratos!G:G,"CREDITO")+SUMIFS(df_extratos!I:I,df_extratos!F:F,Conciliacao!BH71,df_extratos!G:G,"CREDITO")</f>
        <v/>
      </c>
      <c r="I71" s="9">
        <f>H71-SUM(B71:G71)</f>
        <v/>
      </c>
      <c r="J71" s="4">
        <f>SUMIFS(df_blueme_sem_parcelamento!E:E,df_blueme_sem_parcelamento!H:H,Conciliacao!A71)*(-1)</f>
        <v/>
      </c>
      <c r="K71" s="4">
        <f>SUMIFS(df_blueme_com_parcelamento!J:J,df_blueme_com_parcelamento!M:M,Conciliacao!A71)*(-1)</f>
        <v/>
      </c>
      <c r="L71" s="4">
        <f>SUMIFS(df_mutuos!N:N,df_mutuos!B:B,Conciliacao!A71)*(-1)</f>
        <v/>
      </c>
      <c r="M71" s="8">
        <f>SUMIFS(df_bloqueios_judiciais!G:G,df_bloqueios_judiciais!D:D,Conciliacao!A71,df_bloqueios_judiciais!G:G,"&lt;0")</f>
        <v/>
      </c>
      <c r="N71" s="10">
        <f>SUMIFS(df_extratos!I:I,df_extratos!F:F,Conciliacao!BE71,df_extratos!G:G,"DEBITO")+SUMIFS(df_extratos!I:I,df_extratos!F:F,Conciliacao!A71,df_extratos!G:G,"DEBITO")+SUMIFS(df_extratos!I:I,df_extratos!F:F,Conciliacao!BF71,df_extratos!G:G,"DEBITO")+SUMIFS(df_extratos!I:I,df_extratos!F:F,Conciliacao!BG71,df_extratos!G:G,"DEBITO")+SUMIFS(df_extratos!I:I,df_extratos!F:F,Conciliacao!BH71,df_extratos!G:G,"DEBITO")</f>
        <v/>
      </c>
      <c r="O71" s="11">
        <f>N71-SUM(J71:M71)</f>
        <v/>
      </c>
      <c r="P71" s="25">
        <f>SUMIFS(df_ajustes_conciliaco!D:D,df_ajustes_conciliaco!C:C,Conciliacao!A71)</f>
        <v/>
      </c>
      <c r="Q71" s="22">
        <f>O71+I71-P71</f>
        <v/>
      </c>
      <c r="BE71" s="20" t="n">
        <v>45727.5</v>
      </c>
      <c r="BF71" s="20" t="n">
        <v>45727.125</v>
      </c>
      <c r="BG71" s="20" t="n">
        <v>45727.54166666666</v>
      </c>
      <c r="BH71" s="20" t="n">
        <v>45727.625</v>
      </c>
    </row>
    <row r="72">
      <c r="A72" s="5">
        <f>A71+1</f>
        <v/>
      </c>
      <c r="B72" s="3">
        <f>-SUMIFS(df_extrato_zig!G:G,df_extrato_zig!E:E,Conciliacao!A72,df_extrato_zig!D:D,"Saque")-SUMIFS(df_extrato_zig!G:G,df_extrato_zig!E:E,Conciliacao!A72,df_extrato_zig!D:D,"Antecipação")</f>
        <v/>
      </c>
      <c r="C72" s="3">
        <f>SUMIFS(df_extrato_zig!E:E,df_extrato_zig!L:L,Conciliacao!A72,df_extrato_zig!F:F,"DINHEIRO")</f>
        <v/>
      </c>
      <c r="D72" s="3">
        <f>SUMIFS(view_parc_agrup!H:H,view_parc_agrup!G:G,Conciliacao!A72)</f>
        <v/>
      </c>
      <c r="E72" s="3">
        <f>SUMIFS(df_eventos!F:F,df_eventos!H:H,Conciliacao!A72)</f>
        <v/>
      </c>
      <c r="F72" s="3">
        <f>SUMIFS(df_mutuos!M:M,df_mutuos!B:B,Conciliacao!A72)</f>
        <v/>
      </c>
      <c r="G72" s="6">
        <f>SUMIFS(df_bloqueios_judiciais!G:G,df_bloqueios_judiciais!D:D,Conciliacao!A72,df_bloqueios_judiciais!G:G,"&gt;0")</f>
        <v/>
      </c>
      <c r="H72" s="7">
        <f>SUMIFS(df_extratos!I:I,df_extratos!F:F,Conciliacao!BE72,df_extratos!G:G,"CREDITO")+SUMIFS(df_extratos!I:I,df_extratos!F:F,Conciliacao!A72,df_extratos!G:G,"CREDITO")+SUMIFS(df_extratos!I:I,df_extratos!F:F,Conciliacao!BF72,df_extratos!G:G,"CREDITO")+SUMIFS(df_extratos!I:I,df_extratos!F:F,Conciliacao!BG72,df_extratos!G:G,"CREDITO")+SUMIFS(df_extratos!I:I,df_extratos!F:F,Conciliacao!BH72,df_extratos!G:G,"CREDITO")</f>
        <v/>
      </c>
      <c r="I72" s="9">
        <f>H72-SUM(B72:G72)</f>
        <v/>
      </c>
      <c r="J72" s="4">
        <f>SUMIFS(df_blueme_sem_parcelamento!E:E,df_blueme_sem_parcelamento!H:H,Conciliacao!A72)*(-1)</f>
        <v/>
      </c>
      <c r="K72" s="4">
        <f>SUMIFS(df_blueme_com_parcelamento!J:J,df_blueme_com_parcelamento!M:M,Conciliacao!A72)*(-1)</f>
        <v/>
      </c>
      <c r="L72" s="4">
        <f>SUMIFS(df_mutuos!N:N,df_mutuos!B:B,Conciliacao!A72)*(-1)</f>
        <v/>
      </c>
      <c r="M72" s="8">
        <f>SUMIFS(df_bloqueios_judiciais!G:G,df_bloqueios_judiciais!D:D,Conciliacao!A72,df_bloqueios_judiciais!G:G,"&lt;0")</f>
        <v/>
      </c>
      <c r="N72" s="10">
        <f>SUMIFS(df_extratos!I:I,df_extratos!F:F,Conciliacao!BE72,df_extratos!G:G,"DEBITO")+SUMIFS(df_extratos!I:I,df_extratos!F:F,Conciliacao!A72,df_extratos!G:G,"DEBITO")+SUMIFS(df_extratos!I:I,df_extratos!F:F,Conciliacao!BF72,df_extratos!G:G,"DEBITO")+SUMIFS(df_extratos!I:I,df_extratos!F:F,Conciliacao!BG72,df_extratos!G:G,"DEBITO")+SUMIFS(df_extratos!I:I,df_extratos!F:F,Conciliacao!BH72,df_extratos!G:G,"DEBITO")</f>
        <v/>
      </c>
      <c r="O72" s="11">
        <f>N72-SUM(J72:M72)</f>
        <v/>
      </c>
      <c r="P72" s="25">
        <f>SUMIFS(df_ajustes_conciliaco!D:D,df_ajustes_conciliaco!C:C,Conciliacao!A72)</f>
        <v/>
      </c>
      <c r="Q72" s="22">
        <f>O72+I72-P72</f>
        <v/>
      </c>
      <c r="BE72" s="20" t="n">
        <v>45728.5</v>
      </c>
      <c r="BF72" s="20" t="n">
        <v>45728.125</v>
      </c>
      <c r="BG72" s="20" t="n">
        <v>45728.54166666666</v>
      </c>
      <c r="BH72" s="20" t="n">
        <v>45728.625</v>
      </c>
    </row>
    <row r="73">
      <c r="A73" s="5">
        <f>A72+1</f>
        <v/>
      </c>
      <c r="B73" s="3">
        <f>-SUMIFS(df_extrato_zig!G:G,df_extrato_zig!E:E,Conciliacao!A73,df_extrato_zig!D:D,"Saque")-SUMIFS(df_extrato_zig!G:G,df_extrato_zig!E:E,Conciliacao!A73,df_extrato_zig!D:D,"Antecipação")</f>
        <v/>
      </c>
      <c r="C73" s="3">
        <f>SUMIFS(df_extrato_zig!E:E,df_extrato_zig!L:L,Conciliacao!A73,df_extrato_zig!F:F,"DINHEIRO")</f>
        <v/>
      </c>
      <c r="D73" s="3">
        <f>SUMIFS(view_parc_agrup!H:H,view_parc_agrup!G:G,Conciliacao!A73)</f>
        <v/>
      </c>
      <c r="E73" s="3">
        <f>SUMIFS(df_eventos!F:F,df_eventos!H:H,Conciliacao!A73)</f>
        <v/>
      </c>
      <c r="F73" s="3">
        <f>SUMIFS(df_mutuos!M:M,df_mutuos!B:B,Conciliacao!A73)</f>
        <v/>
      </c>
      <c r="G73" s="6">
        <f>SUMIFS(df_bloqueios_judiciais!G:G,df_bloqueios_judiciais!D:D,Conciliacao!A73,df_bloqueios_judiciais!G:G,"&gt;0")</f>
        <v/>
      </c>
      <c r="H73" s="7">
        <f>SUMIFS(df_extratos!I:I,df_extratos!F:F,Conciliacao!BE73,df_extratos!G:G,"CREDITO")+SUMIFS(df_extratos!I:I,df_extratos!F:F,Conciliacao!A73,df_extratos!G:G,"CREDITO")+SUMIFS(df_extratos!I:I,df_extratos!F:F,Conciliacao!BF73,df_extratos!G:G,"CREDITO")+SUMIFS(df_extratos!I:I,df_extratos!F:F,Conciliacao!BG73,df_extratos!G:G,"CREDITO")+SUMIFS(df_extratos!I:I,df_extratos!F:F,Conciliacao!BH73,df_extratos!G:G,"CREDITO")</f>
        <v/>
      </c>
      <c r="I73" s="9">
        <f>H73-SUM(B73:G73)</f>
        <v/>
      </c>
      <c r="J73" s="4">
        <f>SUMIFS(df_blueme_sem_parcelamento!E:E,df_blueme_sem_parcelamento!H:H,Conciliacao!A73)*(-1)</f>
        <v/>
      </c>
      <c r="K73" s="4">
        <f>SUMIFS(df_blueme_com_parcelamento!J:J,df_blueme_com_parcelamento!M:M,Conciliacao!A73)*(-1)</f>
        <v/>
      </c>
      <c r="L73" s="4">
        <f>SUMIFS(df_mutuos!N:N,df_mutuos!B:B,Conciliacao!A73)*(-1)</f>
        <v/>
      </c>
      <c r="M73" s="8">
        <f>SUMIFS(df_bloqueios_judiciais!G:G,df_bloqueios_judiciais!D:D,Conciliacao!A73,df_bloqueios_judiciais!G:G,"&lt;0")</f>
        <v/>
      </c>
      <c r="N73" s="10">
        <f>SUMIFS(df_extratos!I:I,df_extratos!F:F,Conciliacao!BE73,df_extratos!G:G,"DEBITO")+SUMIFS(df_extratos!I:I,df_extratos!F:F,Conciliacao!A73,df_extratos!G:G,"DEBITO")+SUMIFS(df_extratos!I:I,df_extratos!F:F,Conciliacao!BF73,df_extratos!G:G,"DEBITO")+SUMIFS(df_extratos!I:I,df_extratos!F:F,Conciliacao!BG73,df_extratos!G:G,"DEBITO")+SUMIFS(df_extratos!I:I,df_extratos!F:F,Conciliacao!BH73,df_extratos!G:G,"DEBITO")</f>
        <v/>
      </c>
      <c r="O73" s="11">
        <f>N73-SUM(J73:M73)</f>
        <v/>
      </c>
      <c r="P73" s="25">
        <f>SUMIFS(df_ajustes_conciliaco!D:D,df_ajustes_conciliaco!C:C,Conciliacao!A73)</f>
        <v/>
      </c>
      <c r="Q73" s="22">
        <f>O73+I73-P73</f>
        <v/>
      </c>
      <c r="BE73" s="20" t="n">
        <v>45729.5</v>
      </c>
      <c r="BF73" s="20" t="n">
        <v>45729.125</v>
      </c>
      <c r="BG73" s="20" t="n">
        <v>45729.54166666666</v>
      </c>
      <c r="BH73" s="20" t="n">
        <v>45729.625</v>
      </c>
    </row>
    <row r="74">
      <c r="A74" s="5">
        <f>A73+1</f>
        <v/>
      </c>
      <c r="B74" s="3">
        <f>-SUMIFS(df_extrato_zig!G:G,df_extrato_zig!E:E,Conciliacao!A74,df_extrato_zig!D:D,"Saque")-SUMIFS(df_extrato_zig!G:G,df_extrato_zig!E:E,Conciliacao!A74,df_extrato_zig!D:D,"Antecipação")</f>
        <v/>
      </c>
      <c r="C74" s="3">
        <f>SUMIFS(df_extrato_zig!E:E,df_extrato_zig!L:L,Conciliacao!A74,df_extrato_zig!F:F,"DINHEIRO")</f>
        <v/>
      </c>
      <c r="D74" s="3">
        <f>SUMIFS(view_parc_agrup!H:H,view_parc_agrup!G:G,Conciliacao!A74)</f>
        <v/>
      </c>
      <c r="E74" s="3">
        <f>SUMIFS(df_eventos!F:F,df_eventos!H:H,Conciliacao!A74)</f>
        <v/>
      </c>
      <c r="F74" s="3">
        <f>SUMIFS(df_mutuos!M:M,df_mutuos!B:B,Conciliacao!A74)</f>
        <v/>
      </c>
      <c r="G74" s="6">
        <f>SUMIFS(df_bloqueios_judiciais!G:G,df_bloqueios_judiciais!D:D,Conciliacao!A74,df_bloqueios_judiciais!G:G,"&gt;0")</f>
        <v/>
      </c>
      <c r="H74" s="7">
        <f>SUMIFS(df_extratos!I:I,df_extratos!F:F,Conciliacao!BE74,df_extratos!G:G,"CREDITO")+SUMIFS(df_extratos!I:I,df_extratos!F:F,Conciliacao!A74,df_extratos!G:G,"CREDITO")+SUMIFS(df_extratos!I:I,df_extratos!F:F,Conciliacao!BF74,df_extratos!G:G,"CREDITO")+SUMIFS(df_extratos!I:I,df_extratos!F:F,Conciliacao!BG74,df_extratos!G:G,"CREDITO")+SUMIFS(df_extratos!I:I,df_extratos!F:F,Conciliacao!BH74,df_extratos!G:G,"CREDITO")</f>
        <v/>
      </c>
      <c r="I74" s="9">
        <f>H74-SUM(B74:G74)</f>
        <v/>
      </c>
      <c r="J74" s="4">
        <f>SUMIFS(df_blueme_sem_parcelamento!E:E,df_blueme_sem_parcelamento!H:H,Conciliacao!A74)*(-1)</f>
        <v/>
      </c>
      <c r="K74" s="4">
        <f>SUMIFS(df_blueme_com_parcelamento!J:J,df_blueme_com_parcelamento!M:M,Conciliacao!A74)*(-1)</f>
        <v/>
      </c>
      <c r="L74" s="4">
        <f>SUMIFS(df_mutuos!N:N,df_mutuos!B:B,Conciliacao!A74)*(-1)</f>
        <v/>
      </c>
      <c r="M74" s="8">
        <f>SUMIFS(df_bloqueios_judiciais!G:G,df_bloqueios_judiciais!D:D,Conciliacao!A74,df_bloqueios_judiciais!G:G,"&lt;0")</f>
        <v/>
      </c>
      <c r="N74" s="10">
        <f>SUMIFS(df_extratos!I:I,df_extratos!F:F,Conciliacao!BE74,df_extratos!G:G,"DEBITO")+SUMIFS(df_extratos!I:I,df_extratos!F:F,Conciliacao!A74,df_extratos!G:G,"DEBITO")+SUMIFS(df_extratos!I:I,df_extratos!F:F,Conciliacao!BF74,df_extratos!G:G,"DEBITO")+SUMIFS(df_extratos!I:I,df_extratos!F:F,Conciliacao!BG74,df_extratos!G:G,"DEBITO")+SUMIFS(df_extratos!I:I,df_extratos!F:F,Conciliacao!BH74,df_extratos!G:G,"DEBITO")</f>
        <v/>
      </c>
      <c r="O74" s="11">
        <f>N74-SUM(J74:M74)</f>
        <v/>
      </c>
      <c r="P74" s="25">
        <f>SUMIFS(df_ajustes_conciliaco!D:D,df_ajustes_conciliaco!C:C,Conciliacao!A74)</f>
        <v/>
      </c>
      <c r="Q74" s="22">
        <f>O74+I74-P74</f>
        <v/>
      </c>
      <c r="BE74" s="20" t="n">
        <v>45730.5</v>
      </c>
      <c r="BF74" s="20" t="n">
        <v>45730.125</v>
      </c>
      <c r="BG74" s="20" t="n">
        <v>45730.54166666666</v>
      </c>
      <c r="BH74" s="20" t="n">
        <v>45730.625</v>
      </c>
    </row>
    <row r="75">
      <c r="A75" s="5">
        <f>A74+1</f>
        <v/>
      </c>
      <c r="B75" s="3">
        <f>-SUMIFS(df_extrato_zig!G:G,df_extrato_zig!E:E,Conciliacao!A75,df_extrato_zig!D:D,"Saque")-SUMIFS(df_extrato_zig!G:G,df_extrato_zig!E:E,Conciliacao!A75,df_extrato_zig!D:D,"Antecipação")</f>
        <v/>
      </c>
      <c r="C75" s="3">
        <f>SUMIFS(df_extrato_zig!E:E,df_extrato_zig!L:L,Conciliacao!A75,df_extrato_zig!F:F,"DINHEIRO")</f>
        <v/>
      </c>
      <c r="D75" s="3">
        <f>SUMIFS(view_parc_agrup!H:H,view_parc_agrup!G:G,Conciliacao!A75)</f>
        <v/>
      </c>
      <c r="E75" s="3">
        <f>SUMIFS(df_eventos!F:F,df_eventos!H:H,Conciliacao!A75)</f>
        <v/>
      </c>
      <c r="F75" s="3">
        <f>SUMIFS(df_mutuos!M:M,df_mutuos!B:B,Conciliacao!A75)</f>
        <v/>
      </c>
      <c r="G75" s="6">
        <f>SUMIFS(df_bloqueios_judiciais!G:G,df_bloqueios_judiciais!D:D,Conciliacao!A75,df_bloqueios_judiciais!G:G,"&gt;0")</f>
        <v/>
      </c>
      <c r="H75" s="7">
        <f>SUMIFS(df_extratos!I:I,df_extratos!F:F,Conciliacao!BE75,df_extratos!G:G,"CREDITO")+SUMIFS(df_extratos!I:I,df_extratos!F:F,Conciliacao!A75,df_extratos!G:G,"CREDITO")+SUMIFS(df_extratos!I:I,df_extratos!F:F,Conciliacao!BF75,df_extratos!G:G,"CREDITO")+SUMIFS(df_extratos!I:I,df_extratos!F:F,Conciliacao!BG75,df_extratos!G:G,"CREDITO")+SUMIFS(df_extratos!I:I,df_extratos!F:F,Conciliacao!BH75,df_extratos!G:G,"CREDITO")</f>
        <v/>
      </c>
      <c r="I75" s="9">
        <f>H75-SUM(B75:G75)</f>
        <v/>
      </c>
      <c r="J75" s="4">
        <f>SUMIFS(df_blueme_sem_parcelamento!E:E,df_blueme_sem_parcelamento!H:H,Conciliacao!A75)*(-1)</f>
        <v/>
      </c>
      <c r="K75" s="4">
        <f>SUMIFS(df_blueme_com_parcelamento!J:J,df_blueme_com_parcelamento!M:M,Conciliacao!A75)*(-1)</f>
        <v/>
      </c>
      <c r="L75" s="4">
        <f>SUMIFS(df_mutuos!N:N,df_mutuos!B:B,Conciliacao!A75)*(-1)</f>
        <v/>
      </c>
      <c r="M75" s="8">
        <f>SUMIFS(df_bloqueios_judiciais!G:G,df_bloqueios_judiciais!D:D,Conciliacao!A75,df_bloqueios_judiciais!G:G,"&lt;0")</f>
        <v/>
      </c>
      <c r="N75" s="10">
        <f>SUMIFS(df_extratos!I:I,df_extratos!F:F,Conciliacao!BE75,df_extratos!G:G,"DEBITO")+SUMIFS(df_extratos!I:I,df_extratos!F:F,Conciliacao!A75,df_extratos!G:G,"DEBITO")+SUMIFS(df_extratos!I:I,df_extratos!F:F,Conciliacao!BF75,df_extratos!G:G,"DEBITO")+SUMIFS(df_extratos!I:I,df_extratos!F:F,Conciliacao!BG75,df_extratos!G:G,"DEBITO")+SUMIFS(df_extratos!I:I,df_extratos!F:F,Conciliacao!BH75,df_extratos!G:G,"DEBITO")</f>
        <v/>
      </c>
      <c r="O75" s="11">
        <f>N75-SUM(J75:M75)</f>
        <v/>
      </c>
      <c r="P75" s="25">
        <f>SUMIFS(df_ajustes_conciliaco!D:D,df_ajustes_conciliaco!C:C,Conciliacao!A75)</f>
        <v/>
      </c>
      <c r="Q75" s="22">
        <f>O75+I75-P75</f>
        <v/>
      </c>
      <c r="BE75" s="20" t="n">
        <v>45731.5</v>
      </c>
      <c r="BF75" s="20" t="n">
        <v>45731.125</v>
      </c>
      <c r="BG75" s="20" t="n">
        <v>45731.54166666666</v>
      </c>
      <c r="BH75" s="20" t="n">
        <v>45731.625</v>
      </c>
    </row>
    <row r="76">
      <c r="A76" s="5">
        <f>A75+1</f>
        <v/>
      </c>
      <c r="B76" s="3">
        <f>-SUMIFS(df_extrato_zig!G:G,df_extrato_zig!E:E,Conciliacao!A76,df_extrato_zig!D:D,"Saque")-SUMIFS(df_extrato_zig!G:G,df_extrato_zig!E:E,Conciliacao!A76,df_extrato_zig!D:D,"Antecipação")</f>
        <v/>
      </c>
      <c r="C76" s="3">
        <f>SUMIFS(df_extrato_zig!E:E,df_extrato_zig!L:L,Conciliacao!A76,df_extrato_zig!F:F,"DINHEIRO")</f>
        <v/>
      </c>
      <c r="D76" s="3">
        <f>SUMIFS(view_parc_agrup!H:H,view_parc_agrup!G:G,Conciliacao!A76)</f>
        <v/>
      </c>
      <c r="E76" s="3">
        <f>SUMIFS(df_eventos!F:F,df_eventos!H:H,Conciliacao!A76)</f>
        <v/>
      </c>
      <c r="F76" s="3">
        <f>SUMIFS(df_mutuos!M:M,df_mutuos!B:B,Conciliacao!A76)</f>
        <v/>
      </c>
      <c r="G76" s="6">
        <f>SUMIFS(df_bloqueios_judiciais!G:G,df_bloqueios_judiciais!D:D,Conciliacao!A76,df_bloqueios_judiciais!G:G,"&gt;0")</f>
        <v/>
      </c>
      <c r="H76" s="7">
        <f>SUMIFS(df_extratos!I:I,df_extratos!F:F,Conciliacao!BE76,df_extratos!G:G,"CREDITO")+SUMIFS(df_extratos!I:I,df_extratos!F:F,Conciliacao!A76,df_extratos!G:G,"CREDITO")+SUMIFS(df_extratos!I:I,df_extratos!F:F,Conciliacao!BF76,df_extratos!G:G,"CREDITO")+SUMIFS(df_extratos!I:I,df_extratos!F:F,Conciliacao!BG76,df_extratos!G:G,"CREDITO")+SUMIFS(df_extratos!I:I,df_extratos!F:F,Conciliacao!BH76,df_extratos!G:G,"CREDITO")</f>
        <v/>
      </c>
      <c r="I76" s="9">
        <f>H76-SUM(B76:G76)</f>
        <v/>
      </c>
      <c r="J76" s="4">
        <f>SUMIFS(df_blueme_sem_parcelamento!E:E,df_blueme_sem_parcelamento!H:H,Conciliacao!A76)*(-1)</f>
        <v/>
      </c>
      <c r="K76" s="4">
        <f>SUMIFS(df_blueme_com_parcelamento!J:J,df_blueme_com_parcelamento!M:M,Conciliacao!A76)*(-1)</f>
        <v/>
      </c>
      <c r="L76" s="4">
        <f>SUMIFS(df_mutuos!N:N,df_mutuos!B:B,Conciliacao!A76)*(-1)</f>
        <v/>
      </c>
      <c r="M76" s="8">
        <f>SUMIFS(df_bloqueios_judiciais!G:G,df_bloqueios_judiciais!D:D,Conciliacao!A76,df_bloqueios_judiciais!G:G,"&lt;0")</f>
        <v/>
      </c>
      <c r="N76" s="10">
        <f>SUMIFS(df_extratos!I:I,df_extratos!F:F,Conciliacao!BE76,df_extratos!G:G,"DEBITO")+SUMIFS(df_extratos!I:I,df_extratos!F:F,Conciliacao!A76,df_extratos!G:G,"DEBITO")+SUMIFS(df_extratos!I:I,df_extratos!F:F,Conciliacao!BF76,df_extratos!G:G,"DEBITO")+SUMIFS(df_extratos!I:I,df_extratos!F:F,Conciliacao!BG76,df_extratos!G:G,"DEBITO")+SUMIFS(df_extratos!I:I,df_extratos!F:F,Conciliacao!BH76,df_extratos!G:G,"DEBITO")</f>
        <v/>
      </c>
      <c r="O76" s="11">
        <f>N76-SUM(J76:M76)</f>
        <v/>
      </c>
      <c r="P76" s="25">
        <f>SUMIFS(df_ajustes_conciliaco!D:D,df_ajustes_conciliaco!C:C,Conciliacao!A76)</f>
        <v/>
      </c>
      <c r="Q76" s="22">
        <f>O76+I76-P76</f>
        <v/>
      </c>
      <c r="BE76" s="20" t="n">
        <v>45732.5</v>
      </c>
      <c r="BF76" s="20" t="n">
        <v>45732.125</v>
      </c>
      <c r="BG76" s="20" t="n">
        <v>45732.54166666666</v>
      </c>
      <c r="BH76" s="20" t="n">
        <v>45732.625</v>
      </c>
    </row>
    <row r="77">
      <c r="A77" s="5">
        <f>A76+1</f>
        <v/>
      </c>
      <c r="B77" s="3">
        <f>-SUMIFS(df_extrato_zig!G:G,df_extrato_zig!E:E,Conciliacao!A77,df_extrato_zig!D:D,"Saque")-SUMIFS(df_extrato_zig!G:G,df_extrato_zig!E:E,Conciliacao!A77,df_extrato_zig!D:D,"Antecipação")</f>
        <v/>
      </c>
      <c r="C77" s="3">
        <f>SUMIFS(df_extrato_zig!E:E,df_extrato_zig!L:L,Conciliacao!A77,df_extrato_zig!F:F,"DINHEIRO")</f>
        <v/>
      </c>
      <c r="D77" s="3">
        <f>SUMIFS(view_parc_agrup!H:H,view_parc_agrup!G:G,Conciliacao!A77)</f>
        <v/>
      </c>
      <c r="E77" s="3">
        <f>SUMIFS(df_eventos!F:F,df_eventos!H:H,Conciliacao!A77)</f>
        <v/>
      </c>
      <c r="F77" s="3">
        <f>SUMIFS(df_mutuos!M:M,df_mutuos!B:B,Conciliacao!A77)</f>
        <v/>
      </c>
      <c r="G77" s="6">
        <f>SUMIFS(df_bloqueios_judiciais!G:G,df_bloqueios_judiciais!D:D,Conciliacao!A77,df_bloqueios_judiciais!G:G,"&gt;0")</f>
        <v/>
      </c>
      <c r="H77" s="7">
        <f>SUMIFS(df_extratos!I:I,df_extratos!F:F,Conciliacao!BE77,df_extratos!G:G,"CREDITO")+SUMIFS(df_extratos!I:I,df_extratos!F:F,Conciliacao!A77,df_extratos!G:G,"CREDITO")+SUMIFS(df_extratos!I:I,df_extratos!F:F,Conciliacao!BF77,df_extratos!G:G,"CREDITO")+SUMIFS(df_extratos!I:I,df_extratos!F:F,Conciliacao!BG77,df_extratos!G:G,"CREDITO")+SUMIFS(df_extratos!I:I,df_extratos!F:F,Conciliacao!BH77,df_extratos!G:G,"CREDITO")</f>
        <v/>
      </c>
      <c r="I77" s="9">
        <f>H77-SUM(B77:G77)</f>
        <v/>
      </c>
      <c r="J77" s="4">
        <f>SUMIFS(df_blueme_sem_parcelamento!E:E,df_blueme_sem_parcelamento!H:H,Conciliacao!A77)*(-1)</f>
        <v/>
      </c>
      <c r="K77" s="4">
        <f>SUMIFS(df_blueme_com_parcelamento!J:J,df_blueme_com_parcelamento!M:M,Conciliacao!A77)*(-1)</f>
        <v/>
      </c>
      <c r="L77" s="4">
        <f>SUMIFS(df_mutuos!N:N,df_mutuos!B:B,Conciliacao!A77)*(-1)</f>
        <v/>
      </c>
      <c r="M77" s="8">
        <f>SUMIFS(df_bloqueios_judiciais!G:G,df_bloqueios_judiciais!D:D,Conciliacao!A77,df_bloqueios_judiciais!G:G,"&lt;0")</f>
        <v/>
      </c>
      <c r="N77" s="10">
        <f>SUMIFS(df_extratos!I:I,df_extratos!F:F,Conciliacao!BE77,df_extratos!G:G,"DEBITO")+SUMIFS(df_extratos!I:I,df_extratos!F:F,Conciliacao!A77,df_extratos!G:G,"DEBITO")+SUMIFS(df_extratos!I:I,df_extratos!F:F,Conciliacao!BF77,df_extratos!G:G,"DEBITO")+SUMIFS(df_extratos!I:I,df_extratos!F:F,Conciliacao!BG77,df_extratos!G:G,"DEBITO")+SUMIFS(df_extratos!I:I,df_extratos!F:F,Conciliacao!BH77,df_extratos!G:G,"DEBITO")</f>
        <v/>
      </c>
      <c r="O77" s="11">
        <f>N77-SUM(J77:M77)</f>
        <v/>
      </c>
      <c r="P77" s="25">
        <f>SUMIFS(df_ajustes_conciliaco!D:D,df_ajustes_conciliaco!C:C,Conciliacao!A77)</f>
        <v/>
      </c>
      <c r="Q77" s="22">
        <f>O77+I77-P77</f>
        <v/>
      </c>
      <c r="BE77" s="20" t="n">
        <v>45733.5</v>
      </c>
      <c r="BF77" s="20" t="n">
        <v>45733.125</v>
      </c>
      <c r="BG77" s="20" t="n">
        <v>45733.54166666666</v>
      </c>
      <c r="BH77" s="20" t="n">
        <v>45733.625</v>
      </c>
    </row>
    <row r="78">
      <c r="A78" s="5">
        <f>A77+1</f>
        <v/>
      </c>
      <c r="B78" s="3">
        <f>-SUMIFS(df_extrato_zig!G:G,df_extrato_zig!E:E,Conciliacao!A78,df_extrato_zig!D:D,"Saque")-SUMIFS(df_extrato_zig!G:G,df_extrato_zig!E:E,Conciliacao!A78,df_extrato_zig!D:D,"Antecipação")</f>
        <v/>
      </c>
      <c r="C78" s="3">
        <f>SUMIFS(df_extrato_zig!E:E,df_extrato_zig!L:L,Conciliacao!A78,df_extrato_zig!F:F,"DINHEIRO")</f>
        <v/>
      </c>
      <c r="D78" s="3">
        <f>SUMIFS(view_parc_agrup!H:H,view_parc_agrup!G:G,Conciliacao!A78)</f>
        <v/>
      </c>
      <c r="E78" s="3">
        <f>SUMIFS(df_eventos!F:F,df_eventos!H:H,Conciliacao!A78)</f>
        <v/>
      </c>
      <c r="F78" s="3">
        <f>SUMIFS(df_mutuos!M:M,df_mutuos!B:B,Conciliacao!A78)</f>
        <v/>
      </c>
      <c r="G78" s="6">
        <f>SUMIFS(df_bloqueios_judiciais!G:G,df_bloqueios_judiciais!D:D,Conciliacao!A78,df_bloqueios_judiciais!G:G,"&gt;0")</f>
        <v/>
      </c>
      <c r="H78" s="7">
        <f>SUMIFS(df_extratos!I:I,df_extratos!F:F,Conciliacao!BE78,df_extratos!G:G,"CREDITO")+SUMIFS(df_extratos!I:I,df_extratos!F:F,Conciliacao!A78,df_extratos!G:G,"CREDITO")+SUMIFS(df_extratos!I:I,df_extratos!F:F,Conciliacao!BF78,df_extratos!G:G,"CREDITO")+SUMIFS(df_extratos!I:I,df_extratos!F:F,Conciliacao!BG78,df_extratos!G:G,"CREDITO")+SUMIFS(df_extratos!I:I,df_extratos!F:F,Conciliacao!BH78,df_extratos!G:G,"CREDITO")</f>
        <v/>
      </c>
      <c r="I78" s="9">
        <f>H78-SUM(B78:G78)</f>
        <v/>
      </c>
      <c r="J78" s="4">
        <f>SUMIFS(df_blueme_sem_parcelamento!E:E,df_blueme_sem_parcelamento!H:H,Conciliacao!A78)*(-1)</f>
        <v/>
      </c>
      <c r="K78" s="4">
        <f>SUMIFS(df_blueme_com_parcelamento!J:J,df_blueme_com_parcelamento!M:M,Conciliacao!A78)*(-1)</f>
        <v/>
      </c>
      <c r="L78" s="4">
        <f>SUMIFS(df_mutuos!N:N,df_mutuos!B:B,Conciliacao!A78)*(-1)</f>
        <v/>
      </c>
      <c r="M78" s="8">
        <f>SUMIFS(df_bloqueios_judiciais!G:G,df_bloqueios_judiciais!D:D,Conciliacao!A78,df_bloqueios_judiciais!G:G,"&lt;0")</f>
        <v/>
      </c>
      <c r="N78" s="10">
        <f>SUMIFS(df_extratos!I:I,df_extratos!F:F,Conciliacao!BE78,df_extratos!G:G,"DEBITO")+SUMIFS(df_extratos!I:I,df_extratos!F:F,Conciliacao!A78,df_extratos!G:G,"DEBITO")+SUMIFS(df_extratos!I:I,df_extratos!F:F,Conciliacao!BF78,df_extratos!G:G,"DEBITO")+SUMIFS(df_extratos!I:I,df_extratos!F:F,Conciliacao!BG78,df_extratos!G:G,"DEBITO")+SUMIFS(df_extratos!I:I,df_extratos!F:F,Conciliacao!BH78,df_extratos!G:G,"DEBITO")</f>
        <v/>
      </c>
      <c r="O78" s="11">
        <f>N78-SUM(J78:M78)</f>
        <v/>
      </c>
      <c r="P78" s="25">
        <f>SUMIFS(df_ajustes_conciliaco!D:D,df_ajustes_conciliaco!C:C,Conciliacao!A78)</f>
        <v/>
      </c>
      <c r="Q78" s="22">
        <f>O78+I78-P78</f>
        <v/>
      </c>
      <c r="BE78" s="20" t="n">
        <v>45734.5</v>
      </c>
      <c r="BF78" s="20" t="n">
        <v>45734.125</v>
      </c>
      <c r="BG78" s="20" t="n">
        <v>45734.54166666666</v>
      </c>
      <c r="BH78" s="20" t="n">
        <v>45734.625</v>
      </c>
    </row>
    <row r="79">
      <c r="A79" s="5">
        <f>A78+1</f>
        <v/>
      </c>
      <c r="B79" s="3">
        <f>-SUMIFS(df_extrato_zig!G:G,df_extrato_zig!E:E,Conciliacao!A79,df_extrato_zig!D:D,"Saque")-SUMIFS(df_extrato_zig!G:G,df_extrato_zig!E:E,Conciliacao!A79,df_extrato_zig!D:D,"Antecipação")</f>
        <v/>
      </c>
      <c r="C79" s="3">
        <f>SUMIFS(df_extrato_zig!E:E,df_extrato_zig!L:L,Conciliacao!A79,df_extrato_zig!F:F,"DINHEIRO")</f>
        <v/>
      </c>
      <c r="D79" s="3">
        <f>SUMIFS(view_parc_agrup!H:H,view_parc_agrup!G:G,Conciliacao!A79)</f>
        <v/>
      </c>
      <c r="E79" s="3">
        <f>SUMIFS(df_eventos!F:F,df_eventos!H:H,Conciliacao!A79)</f>
        <v/>
      </c>
      <c r="F79" s="3">
        <f>SUMIFS(df_mutuos!M:M,df_mutuos!B:B,Conciliacao!A79)</f>
        <v/>
      </c>
      <c r="G79" s="6">
        <f>SUMIFS(df_bloqueios_judiciais!G:G,df_bloqueios_judiciais!D:D,Conciliacao!A79,df_bloqueios_judiciais!G:G,"&gt;0")</f>
        <v/>
      </c>
      <c r="H79" s="7">
        <f>SUMIFS(df_extratos!I:I,df_extratos!F:F,Conciliacao!BE79,df_extratos!G:G,"CREDITO")+SUMIFS(df_extratos!I:I,df_extratos!F:F,Conciliacao!A79,df_extratos!G:G,"CREDITO")+SUMIFS(df_extratos!I:I,df_extratos!F:F,Conciliacao!BF79,df_extratos!G:G,"CREDITO")+SUMIFS(df_extratos!I:I,df_extratos!F:F,Conciliacao!BG79,df_extratos!G:G,"CREDITO")+SUMIFS(df_extratos!I:I,df_extratos!F:F,Conciliacao!BH79,df_extratos!G:G,"CREDITO")</f>
        <v/>
      </c>
      <c r="I79" s="9">
        <f>H79-SUM(B79:G79)</f>
        <v/>
      </c>
      <c r="J79" s="4">
        <f>SUMIFS(df_blueme_sem_parcelamento!E:E,df_blueme_sem_parcelamento!H:H,Conciliacao!A79)*(-1)</f>
        <v/>
      </c>
      <c r="K79" s="4">
        <f>SUMIFS(df_blueme_com_parcelamento!J:J,df_blueme_com_parcelamento!M:M,Conciliacao!A79)*(-1)</f>
        <v/>
      </c>
      <c r="L79" s="4">
        <f>SUMIFS(df_mutuos!N:N,df_mutuos!B:B,Conciliacao!A79)*(-1)</f>
        <v/>
      </c>
      <c r="M79" s="8">
        <f>SUMIFS(df_bloqueios_judiciais!G:G,df_bloqueios_judiciais!D:D,Conciliacao!A79,df_bloqueios_judiciais!G:G,"&lt;0")</f>
        <v/>
      </c>
      <c r="N79" s="10">
        <f>SUMIFS(df_extratos!I:I,df_extratos!F:F,Conciliacao!BE79,df_extratos!G:G,"DEBITO")+SUMIFS(df_extratos!I:I,df_extratos!F:F,Conciliacao!A79,df_extratos!G:G,"DEBITO")+SUMIFS(df_extratos!I:I,df_extratos!F:F,Conciliacao!BF79,df_extratos!G:G,"DEBITO")+SUMIFS(df_extratos!I:I,df_extratos!F:F,Conciliacao!BG79,df_extratos!G:G,"DEBITO")+SUMIFS(df_extratos!I:I,df_extratos!F:F,Conciliacao!BH79,df_extratos!G:G,"DEBITO")</f>
        <v/>
      </c>
      <c r="O79" s="11">
        <f>N79-SUM(J79:M79)</f>
        <v/>
      </c>
      <c r="P79" s="25">
        <f>SUMIFS(df_ajustes_conciliaco!D:D,df_ajustes_conciliaco!C:C,Conciliacao!A79)</f>
        <v/>
      </c>
      <c r="Q79" s="22">
        <f>O79+I79-P79</f>
        <v/>
      </c>
      <c r="BE79" s="20" t="n">
        <v>45735.5</v>
      </c>
      <c r="BF79" s="20" t="n">
        <v>45735.125</v>
      </c>
      <c r="BG79" s="20" t="n">
        <v>45735.54166666666</v>
      </c>
      <c r="BH79" s="20" t="n">
        <v>45735.625</v>
      </c>
    </row>
    <row r="80">
      <c r="A80" s="5">
        <f>A79+1</f>
        <v/>
      </c>
      <c r="B80" s="3">
        <f>-SUMIFS(df_extrato_zig!G:G,df_extrato_zig!E:E,Conciliacao!A80,df_extrato_zig!D:D,"Saque")-SUMIFS(df_extrato_zig!G:G,df_extrato_zig!E:E,Conciliacao!A80,df_extrato_zig!D:D,"Antecipação")</f>
        <v/>
      </c>
      <c r="C80" s="3">
        <f>SUMIFS(df_extrato_zig!E:E,df_extrato_zig!L:L,Conciliacao!A80,df_extrato_zig!F:F,"DINHEIRO")</f>
        <v/>
      </c>
      <c r="D80" s="3">
        <f>SUMIFS(view_parc_agrup!H:H,view_parc_agrup!G:G,Conciliacao!A80)</f>
        <v/>
      </c>
      <c r="E80" s="3">
        <f>SUMIFS(df_eventos!F:F,df_eventos!H:H,Conciliacao!A80)</f>
        <v/>
      </c>
      <c r="F80" s="3">
        <f>SUMIFS(df_mutuos!M:M,df_mutuos!B:B,Conciliacao!A80)</f>
        <v/>
      </c>
      <c r="G80" s="6">
        <f>SUMIFS(df_bloqueios_judiciais!G:G,df_bloqueios_judiciais!D:D,Conciliacao!A80,df_bloqueios_judiciais!G:G,"&gt;0")</f>
        <v/>
      </c>
      <c r="H80" s="7">
        <f>SUMIFS(df_extratos!I:I,df_extratos!F:F,Conciliacao!BE80,df_extratos!G:G,"CREDITO")+SUMIFS(df_extratos!I:I,df_extratos!F:F,Conciliacao!A80,df_extratos!G:G,"CREDITO")+SUMIFS(df_extratos!I:I,df_extratos!F:F,Conciliacao!BF80,df_extratos!G:G,"CREDITO")+SUMIFS(df_extratos!I:I,df_extratos!F:F,Conciliacao!BG80,df_extratos!G:G,"CREDITO")+SUMIFS(df_extratos!I:I,df_extratos!F:F,Conciliacao!BH80,df_extratos!G:G,"CREDITO")</f>
        <v/>
      </c>
      <c r="I80" s="9">
        <f>H80-SUM(B80:G80)</f>
        <v/>
      </c>
      <c r="J80" s="4">
        <f>SUMIFS(df_blueme_sem_parcelamento!E:E,df_blueme_sem_parcelamento!H:H,Conciliacao!A80)*(-1)</f>
        <v/>
      </c>
      <c r="K80" s="4">
        <f>SUMIFS(df_blueme_com_parcelamento!J:J,df_blueme_com_parcelamento!M:M,Conciliacao!A80)*(-1)</f>
        <v/>
      </c>
      <c r="L80" s="4">
        <f>SUMIFS(df_mutuos!N:N,df_mutuos!B:B,Conciliacao!A80)*(-1)</f>
        <v/>
      </c>
      <c r="M80" s="8">
        <f>SUMIFS(df_bloqueios_judiciais!G:G,df_bloqueios_judiciais!D:D,Conciliacao!A80,df_bloqueios_judiciais!G:G,"&lt;0")</f>
        <v/>
      </c>
      <c r="N80" s="10">
        <f>SUMIFS(df_extratos!I:I,df_extratos!F:F,Conciliacao!BE80,df_extratos!G:G,"DEBITO")+SUMIFS(df_extratos!I:I,df_extratos!F:F,Conciliacao!A80,df_extratos!G:G,"DEBITO")+SUMIFS(df_extratos!I:I,df_extratos!F:F,Conciliacao!BF80,df_extratos!G:G,"DEBITO")+SUMIFS(df_extratos!I:I,df_extratos!F:F,Conciliacao!BG80,df_extratos!G:G,"DEBITO")+SUMIFS(df_extratos!I:I,df_extratos!F:F,Conciliacao!BH80,df_extratos!G:G,"DEBITO")</f>
        <v/>
      </c>
      <c r="O80" s="11">
        <f>N80-SUM(J80:M80)</f>
        <v/>
      </c>
      <c r="P80" s="25">
        <f>SUMIFS(df_ajustes_conciliaco!D:D,df_ajustes_conciliaco!C:C,Conciliacao!A80)</f>
        <v/>
      </c>
      <c r="Q80" s="22">
        <f>O80+I80-P80</f>
        <v/>
      </c>
      <c r="BE80" s="20" t="n">
        <v>45736.5</v>
      </c>
      <c r="BF80" s="20" t="n">
        <v>45736.125</v>
      </c>
      <c r="BG80" s="20" t="n">
        <v>45736.54166666666</v>
      </c>
      <c r="BH80" s="20" t="n">
        <v>45736.625</v>
      </c>
    </row>
    <row r="81">
      <c r="A81" s="5">
        <f>A80+1</f>
        <v/>
      </c>
      <c r="B81" s="3">
        <f>-SUMIFS(df_extrato_zig!G:G,df_extrato_zig!E:E,Conciliacao!A81,df_extrato_zig!D:D,"Saque")-SUMIFS(df_extrato_zig!G:G,df_extrato_zig!E:E,Conciliacao!A81,df_extrato_zig!D:D,"Antecipação")</f>
        <v/>
      </c>
      <c r="C81" s="3">
        <f>SUMIFS(df_extrato_zig!E:E,df_extrato_zig!L:L,Conciliacao!A81,df_extrato_zig!F:F,"DINHEIRO")</f>
        <v/>
      </c>
      <c r="D81" s="3">
        <f>SUMIFS(view_parc_agrup!H:H,view_parc_agrup!G:G,Conciliacao!A81)</f>
        <v/>
      </c>
      <c r="E81" s="3">
        <f>SUMIFS(df_eventos!F:F,df_eventos!H:H,Conciliacao!A81)</f>
        <v/>
      </c>
      <c r="F81" s="3">
        <f>SUMIFS(df_mutuos!M:M,df_mutuos!B:B,Conciliacao!A81)</f>
        <v/>
      </c>
      <c r="G81" s="6">
        <f>SUMIFS(df_bloqueios_judiciais!G:G,df_bloqueios_judiciais!D:D,Conciliacao!A81,df_bloqueios_judiciais!G:G,"&gt;0")</f>
        <v/>
      </c>
      <c r="H81" s="7">
        <f>SUMIFS(df_extratos!I:I,df_extratos!F:F,Conciliacao!BE81,df_extratos!G:G,"CREDITO")+SUMIFS(df_extratos!I:I,df_extratos!F:F,Conciliacao!A81,df_extratos!G:G,"CREDITO")+SUMIFS(df_extratos!I:I,df_extratos!F:F,Conciliacao!BF81,df_extratos!G:G,"CREDITO")+SUMIFS(df_extratos!I:I,df_extratos!F:F,Conciliacao!BG81,df_extratos!G:G,"CREDITO")+SUMIFS(df_extratos!I:I,df_extratos!F:F,Conciliacao!BH81,df_extratos!G:G,"CREDITO")</f>
        <v/>
      </c>
      <c r="I81" s="9">
        <f>H81-SUM(B81:G81)</f>
        <v/>
      </c>
      <c r="J81" s="4">
        <f>SUMIFS(df_blueme_sem_parcelamento!E:E,df_blueme_sem_parcelamento!H:H,Conciliacao!A81)*(-1)</f>
        <v/>
      </c>
      <c r="K81" s="4">
        <f>SUMIFS(df_blueme_com_parcelamento!J:J,df_blueme_com_parcelamento!M:M,Conciliacao!A81)*(-1)</f>
        <v/>
      </c>
      <c r="L81" s="4">
        <f>SUMIFS(df_mutuos!N:N,df_mutuos!B:B,Conciliacao!A81)*(-1)</f>
        <v/>
      </c>
      <c r="M81" s="8">
        <f>SUMIFS(df_bloqueios_judiciais!G:G,df_bloqueios_judiciais!D:D,Conciliacao!A81,df_bloqueios_judiciais!G:G,"&lt;0")</f>
        <v/>
      </c>
      <c r="N81" s="10">
        <f>SUMIFS(df_extratos!I:I,df_extratos!F:F,Conciliacao!BE81,df_extratos!G:G,"DEBITO")+SUMIFS(df_extratos!I:I,df_extratos!F:F,Conciliacao!A81,df_extratos!G:G,"DEBITO")+SUMIFS(df_extratos!I:I,df_extratos!F:F,Conciliacao!BF81,df_extratos!G:G,"DEBITO")+SUMIFS(df_extratos!I:I,df_extratos!F:F,Conciliacao!BG81,df_extratos!G:G,"DEBITO")+SUMIFS(df_extratos!I:I,df_extratos!F:F,Conciliacao!BH81,df_extratos!G:G,"DEBITO")</f>
        <v/>
      </c>
      <c r="O81" s="11">
        <f>N81-SUM(J81:M81)</f>
        <v/>
      </c>
      <c r="P81" s="25">
        <f>SUMIFS(df_ajustes_conciliaco!D:D,df_ajustes_conciliaco!C:C,Conciliacao!A81)</f>
        <v/>
      </c>
      <c r="Q81" s="22">
        <f>O81+I81-P81</f>
        <v/>
      </c>
      <c r="BE81" s="20" t="n">
        <v>45737.5</v>
      </c>
      <c r="BF81" s="20" t="n">
        <v>45737.125</v>
      </c>
      <c r="BG81" s="20" t="n">
        <v>45737.54166666666</v>
      </c>
      <c r="BH81" s="20" t="n">
        <v>45737.625</v>
      </c>
    </row>
    <row r="82">
      <c r="A82" s="5">
        <f>A81+1</f>
        <v/>
      </c>
      <c r="B82" s="3">
        <f>-SUMIFS(df_extrato_zig!G:G,df_extrato_zig!E:E,Conciliacao!A82,df_extrato_zig!D:D,"Saque")-SUMIFS(df_extrato_zig!G:G,df_extrato_zig!E:E,Conciliacao!A82,df_extrato_zig!D:D,"Antecipação")</f>
        <v/>
      </c>
      <c r="C82" s="3">
        <f>SUMIFS(df_extrato_zig!E:E,df_extrato_zig!L:L,Conciliacao!A82,df_extrato_zig!F:F,"DINHEIRO")</f>
        <v/>
      </c>
      <c r="D82" s="3">
        <f>SUMIFS(view_parc_agrup!H:H,view_parc_agrup!G:G,Conciliacao!A82)</f>
        <v/>
      </c>
      <c r="E82" s="3">
        <f>SUMIFS(df_eventos!F:F,df_eventos!H:H,Conciliacao!A82)</f>
        <v/>
      </c>
      <c r="F82" s="3">
        <f>SUMIFS(df_mutuos!M:M,df_mutuos!B:B,Conciliacao!A82)</f>
        <v/>
      </c>
      <c r="G82" s="6">
        <f>SUMIFS(df_bloqueios_judiciais!G:G,df_bloqueios_judiciais!D:D,Conciliacao!A82,df_bloqueios_judiciais!G:G,"&gt;0")</f>
        <v/>
      </c>
      <c r="H82" s="7">
        <f>SUMIFS(df_extratos!I:I,df_extratos!F:F,Conciliacao!BE82,df_extratos!G:G,"CREDITO")+SUMIFS(df_extratos!I:I,df_extratos!F:F,Conciliacao!A82,df_extratos!G:G,"CREDITO")+SUMIFS(df_extratos!I:I,df_extratos!F:F,Conciliacao!BF82,df_extratos!G:G,"CREDITO")+SUMIFS(df_extratos!I:I,df_extratos!F:F,Conciliacao!BG82,df_extratos!G:G,"CREDITO")+SUMIFS(df_extratos!I:I,df_extratos!F:F,Conciliacao!BH82,df_extratos!G:G,"CREDITO")</f>
        <v/>
      </c>
      <c r="I82" s="9">
        <f>H82-SUM(B82:G82)</f>
        <v/>
      </c>
      <c r="J82" s="4">
        <f>SUMIFS(df_blueme_sem_parcelamento!E:E,df_blueme_sem_parcelamento!H:H,Conciliacao!A82)*(-1)</f>
        <v/>
      </c>
      <c r="K82" s="4">
        <f>SUMIFS(df_blueme_com_parcelamento!J:J,df_blueme_com_parcelamento!M:M,Conciliacao!A82)*(-1)</f>
        <v/>
      </c>
      <c r="L82" s="4">
        <f>SUMIFS(df_mutuos!N:N,df_mutuos!B:B,Conciliacao!A82)*(-1)</f>
        <v/>
      </c>
      <c r="M82" s="8">
        <f>SUMIFS(df_bloqueios_judiciais!G:G,df_bloqueios_judiciais!D:D,Conciliacao!A82,df_bloqueios_judiciais!G:G,"&lt;0")</f>
        <v/>
      </c>
      <c r="N82" s="10">
        <f>SUMIFS(df_extratos!I:I,df_extratos!F:F,Conciliacao!BE82,df_extratos!G:G,"DEBITO")+SUMIFS(df_extratos!I:I,df_extratos!F:F,Conciliacao!A82,df_extratos!G:G,"DEBITO")+SUMIFS(df_extratos!I:I,df_extratos!F:F,Conciliacao!BF82,df_extratos!G:G,"DEBITO")+SUMIFS(df_extratos!I:I,df_extratos!F:F,Conciliacao!BG82,df_extratos!G:G,"DEBITO")+SUMIFS(df_extratos!I:I,df_extratos!F:F,Conciliacao!BH82,df_extratos!G:G,"DEBITO")</f>
        <v/>
      </c>
      <c r="O82" s="11">
        <f>N82-SUM(J82:M82)</f>
        <v/>
      </c>
      <c r="P82" s="25">
        <f>SUMIFS(df_ajustes_conciliaco!D:D,df_ajustes_conciliaco!C:C,Conciliacao!A82)</f>
        <v/>
      </c>
      <c r="Q82" s="22">
        <f>O82+I82-P82</f>
        <v/>
      </c>
      <c r="BE82" s="20" t="n">
        <v>45738.5</v>
      </c>
      <c r="BF82" s="20" t="n">
        <v>45738.125</v>
      </c>
      <c r="BG82" s="20" t="n">
        <v>45738.54166666666</v>
      </c>
      <c r="BH82" s="20" t="n">
        <v>45738.625</v>
      </c>
    </row>
    <row r="83">
      <c r="A83" s="5">
        <f>A82+1</f>
        <v/>
      </c>
      <c r="B83" s="3">
        <f>-SUMIFS(df_extrato_zig!G:G,df_extrato_zig!E:E,Conciliacao!A83,df_extrato_zig!D:D,"Saque")-SUMIFS(df_extrato_zig!G:G,df_extrato_zig!E:E,Conciliacao!A83,df_extrato_zig!D:D,"Antecipação")</f>
        <v/>
      </c>
      <c r="C83" s="3">
        <f>SUMIFS(df_extrato_zig!E:E,df_extrato_zig!L:L,Conciliacao!A83,df_extrato_zig!F:F,"DINHEIRO")</f>
        <v/>
      </c>
      <c r="D83" s="3">
        <f>SUMIFS(view_parc_agrup!H:H,view_parc_agrup!G:G,Conciliacao!A83)</f>
        <v/>
      </c>
      <c r="E83" s="3">
        <f>SUMIFS(df_eventos!F:F,df_eventos!H:H,Conciliacao!A83)</f>
        <v/>
      </c>
      <c r="F83" s="3">
        <f>SUMIFS(df_mutuos!M:M,df_mutuos!B:B,Conciliacao!A83)</f>
        <v/>
      </c>
      <c r="G83" s="6">
        <f>SUMIFS(df_bloqueios_judiciais!G:G,df_bloqueios_judiciais!D:D,Conciliacao!A83,df_bloqueios_judiciais!G:G,"&gt;0")</f>
        <v/>
      </c>
      <c r="H83" s="7">
        <f>SUMIFS(df_extratos!I:I,df_extratos!F:F,Conciliacao!BE83,df_extratos!G:G,"CREDITO")+SUMIFS(df_extratos!I:I,df_extratos!F:F,Conciliacao!A83,df_extratos!G:G,"CREDITO")+SUMIFS(df_extratos!I:I,df_extratos!F:F,Conciliacao!BF83,df_extratos!G:G,"CREDITO")+SUMIFS(df_extratos!I:I,df_extratos!F:F,Conciliacao!BG83,df_extratos!G:G,"CREDITO")+SUMIFS(df_extratos!I:I,df_extratos!F:F,Conciliacao!BH83,df_extratos!G:G,"CREDITO")</f>
        <v/>
      </c>
      <c r="I83" s="9">
        <f>H83-SUM(B83:G83)</f>
        <v/>
      </c>
      <c r="J83" s="4">
        <f>SUMIFS(df_blueme_sem_parcelamento!E:E,df_blueme_sem_parcelamento!H:H,Conciliacao!A83)*(-1)</f>
        <v/>
      </c>
      <c r="K83" s="4">
        <f>SUMIFS(df_blueme_com_parcelamento!J:J,df_blueme_com_parcelamento!M:M,Conciliacao!A83)*(-1)</f>
        <v/>
      </c>
      <c r="L83" s="4">
        <f>SUMIFS(df_mutuos!N:N,df_mutuos!B:B,Conciliacao!A83)*(-1)</f>
        <v/>
      </c>
      <c r="M83" s="8">
        <f>SUMIFS(df_bloqueios_judiciais!G:G,df_bloqueios_judiciais!D:D,Conciliacao!A83,df_bloqueios_judiciais!G:G,"&lt;0")</f>
        <v/>
      </c>
      <c r="N83" s="10">
        <f>SUMIFS(df_extratos!I:I,df_extratos!F:F,Conciliacao!BE83,df_extratos!G:G,"DEBITO")+SUMIFS(df_extratos!I:I,df_extratos!F:F,Conciliacao!A83,df_extratos!G:G,"DEBITO")+SUMIFS(df_extratos!I:I,df_extratos!F:F,Conciliacao!BF83,df_extratos!G:G,"DEBITO")+SUMIFS(df_extratos!I:I,df_extratos!F:F,Conciliacao!BG83,df_extratos!G:G,"DEBITO")+SUMIFS(df_extratos!I:I,df_extratos!F:F,Conciliacao!BH83,df_extratos!G:G,"DEBITO")</f>
        <v/>
      </c>
      <c r="O83" s="11">
        <f>N83-SUM(J83:M83)</f>
        <v/>
      </c>
      <c r="P83" s="25">
        <f>SUMIFS(df_ajustes_conciliaco!D:D,df_ajustes_conciliaco!C:C,Conciliacao!A83)</f>
        <v/>
      </c>
      <c r="Q83" s="22">
        <f>O83+I83-P83</f>
        <v/>
      </c>
      <c r="BE83" s="20" t="n">
        <v>45739.5</v>
      </c>
      <c r="BF83" s="20" t="n">
        <v>45739.125</v>
      </c>
      <c r="BG83" s="20" t="n">
        <v>45739.54166666666</v>
      </c>
      <c r="BH83" s="20" t="n">
        <v>45739.625</v>
      </c>
    </row>
    <row r="84">
      <c r="A84" s="5">
        <f>A83+1</f>
        <v/>
      </c>
      <c r="B84" s="3">
        <f>-SUMIFS(df_extrato_zig!G:G,df_extrato_zig!E:E,Conciliacao!A84,df_extrato_zig!D:D,"Saque")-SUMIFS(df_extrato_zig!G:G,df_extrato_zig!E:E,Conciliacao!A84,df_extrato_zig!D:D,"Antecipação")</f>
        <v/>
      </c>
      <c r="C84" s="3">
        <f>SUMIFS(df_extrato_zig!E:E,df_extrato_zig!L:L,Conciliacao!A84,df_extrato_zig!F:F,"DINHEIRO")</f>
        <v/>
      </c>
      <c r="D84" s="3">
        <f>SUMIFS(view_parc_agrup!H:H,view_parc_agrup!G:G,Conciliacao!A84)</f>
        <v/>
      </c>
      <c r="E84" s="3">
        <f>SUMIFS(df_eventos!F:F,df_eventos!H:H,Conciliacao!A84)</f>
        <v/>
      </c>
      <c r="F84" s="3">
        <f>SUMIFS(df_mutuos!M:M,df_mutuos!B:B,Conciliacao!A84)</f>
        <v/>
      </c>
      <c r="G84" s="6">
        <f>SUMIFS(df_bloqueios_judiciais!G:G,df_bloqueios_judiciais!D:D,Conciliacao!A84,df_bloqueios_judiciais!G:G,"&gt;0")</f>
        <v/>
      </c>
      <c r="H84" s="7">
        <f>SUMIFS(df_extratos!I:I,df_extratos!F:F,Conciliacao!BE84,df_extratos!G:G,"CREDITO")+SUMIFS(df_extratos!I:I,df_extratos!F:F,Conciliacao!A84,df_extratos!G:G,"CREDITO")+SUMIFS(df_extratos!I:I,df_extratos!F:F,Conciliacao!BF84,df_extratos!G:G,"CREDITO")+SUMIFS(df_extratos!I:I,df_extratos!F:F,Conciliacao!BG84,df_extratos!G:G,"CREDITO")+SUMIFS(df_extratos!I:I,df_extratos!F:F,Conciliacao!BH84,df_extratos!G:G,"CREDITO")</f>
        <v/>
      </c>
      <c r="I84" s="9">
        <f>H84-SUM(B84:G84)</f>
        <v/>
      </c>
      <c r="J84" s="4">
        <f>SUMIFS(df_blueme_sem_parcelamento!E:E,df_blueme_sem_parcelamento!H:H,Conciliacao!A84)*(-1)</f>
        <v/>
      </c>
      <c r="K84" s="4">
        <f>SUMIFS(df_blueme_com_parcelamento!J:J,df_blueme_com_parcelamento!M:M,Conciliacao!A84)*(-1)</f>
        <v/>
      </c>
      <c r="L84" s="4">
        <f>SUMIFS(df_mutuos!N:N,df_mutuos!B:B,Conciliacao!A84)*(-1)</f>
        <v/>
      </c>
      <c r="M84" s="8">
        <f>SUMIFS(df_bloqueios_judiciais!G:G,df_bloqueios_judiciais!D:D,Conciliacao!A84,df_bloqueios_judiciais!G:G,"&lt;0")</f>
        <v/>
      </c>
      <c r="N84" s="10">
        <f>SUMIFS(df_extratos!I:I,df_extratos!F:F,Conciliacao!BE84,df_extratos!G:G,"DEBITO")+SUMIFS(df_extratos!I:I,df_extratos!F:F,Conciliacao!A84,df_extratos!G:G,"DEBITO")+SUMIFS(df_extratos!I:I,df_extratos!F:F,Conciliacao!BF84,df_extratos!G:G,"DEBITO")+SUMIFS(df_extratos!I:I,df_extratos!F:F,Conciliacao!BG84,df_extratos!G:G,"DEBITO")+SUMIFS(df_extratos!I:I,df_extratos!F:F,Conciliacao!BH84,df_extratos!G:G,"DEBITO")</f>
        <v/>
      </c>
      <c r="O84" s="11">
        <f>N84-SUM(J84:M84)</f>
        <v/>
      </c>
      <c r="P84" s="25">
        <f>SUMIFS(df_ajustes_conciliaco!D:D,df_ajustes_conciliaco!C:C,Conciliacao!A84)</f>
        <v/>
      </c>
      <c r="Q84" s="22">
        <f>O84+I84-P84</f>
        <v/>
      </c>
      <c r="BE84" s="20" t="n">
        <v>45740.5</v>
      </c>
      <c r="BF84" s="20" t="n">
        <v>45740.125</v>
      </c>
      <c r="BG84" s="20" t="n">
        <v>45740.54166666666</v>
      </c>
      <c r="BH84" s="20" t="n">
        <v>45740.625</v>
      </c>
    </row>
    <row r="85">
      <c r="A85" s="5">
        <f>A84+1</f>
        <v/>
      </c>
      <c r="B85" s="3">
        <f>-SUMIFS(df_extrato_zig!G:G,df_extrato_zig!E:E,Conciliacao!A85,df_extrato_zig!D:D,"Saque")-SUMIFS(df_extrato_zig!G:G,df_extrato_zig!E:E,Conciliacao!A85,df_extrato_zig!D:D,"Antecipação")</f>
        <v/>
      </c>
      <c r="C85" s="3">
        <f>SUMIFS(df_extrato_zig!E:E,df_extrato_zig!L:L,Conciliacao!A85,df_extrato_zig!F:F,"DINHEIRO")</f>
        <v/>
      </c>
      <c r="D85" s="3">
        <f>SUMIFS(view_parc_agrup!H:H,view_parc_agrup!G:G,Conciliacao!A85)</f>
        <v/>
      </c>
      <c r="E85" s="3">
        <f>SUMIFS(df_eventos!F:F,df_eventos!H:H,Conciliacao!A85)</f>
        <v/>
      </c>
      <c r="F85" s="3">
        <f>SUMIFS(df_mutuos!M:M,df_mutuos!B:B,Conciliacao!A85)</f>
        <v/>
      </c>
      <c r="G85" s="6">
        <f>SUMIFS(df_bloqueios_judiciais!G:G,df_bloqueios_judiciais!D:D,Conciliacao!A85,df_bloqueios_judiciais!G:G,"&gt;0")</f>
        <v/>
      </c>
      <c r="H85" s="7">
        <f>SUMIFS(df_extratos!I:I,df_extratos!F:F,Conciliacao!BE85,df_extratos!G:G,"CREDITO")+SUMIFS(df_extratos!I:I,df_extratos!F:F,Conciliacao!A85,df_extratos!G:G,"CREDITO")+SUMIFS(df_extratos!I:I,df_extratos!F:F,Conciliacao!BF85,df_extratos!G:G,"CREDITO")+SUMIFS(df_extratos!I:I,df_extratos!F:F,Conciliacao!BG85,df_extratos!G:G,"CREDITO")+SUMIFS(df_extratos!I:I,df_extratos!F:F,Conciliacao!BH85,df_extratos!G:G,"CREDITO")</f>
        <v/>
      </c>
      <c r="I85" s="9">
        <f>H85-SUM(B85:G85)</f>
        <v/>
      </c>
      <c r="J85" s="4">
        <f>SUMIFS(df_blueme_sem_parcelamento!E:E,df_blueme_sem_parcelamento!H:H,Conciliacao!A85)*(-1)</f>
        <v/>
      </c>
      <c r="K85" s="4">
        <f>SUMIFS(df_blueme_com_parcelamento!J:J,df_blueme_com_parcelamento!M:M,Conciliacao!A85)*(-1)</f>
        <v/>
      </c>
      <c r="L85" s="4">
        <f>SUMIFS(df_mutuos!N:N,df_mutuos!B:B,Conciliacao!A85)*(-1)</f>
        <v/>
      </c>
      <c r="M85" s="8">
        <f>SUMIFS(df_bloqueios_judiciais!G:G,df_bloqueios_judiciais!D:D,Conciliacao!A85,df_bloqueios_judiciais!G:G,"&lt;0")</f>
        <v/>
      </c>
      <c r="N85" s="10">
        <f>SUMIFS(df_extratos!I:I,df_extratos!F:F,Conciliacao!BE85,df_extratos!G:G,"DEBITO")+SUMIFS(df_extratos!I:I,df_extratos!F:F,Conciliacao!A85,df_extratos!G:G,"DEBITO")+SUMIFS(df_extratos!I:I,df_extratos!F:F,Conciliacao!BF85,df_extratos!G:G,"DEBITO")+SUMIFS(df_extratos!I:I,df_extratos!F:F,Conciliacao!BG85,df_extratos!G:G,"DEBITO")+SUMIFS(df_extratos!I:I,df_extratos!F:F,Conciliacao!BH85,df_extratos!G:G,"DEBITO")</f>
        <v/>
      </c>
      <c r="O85" s="11">
        <f>N85-SUM(J85:M85)</f>
        <v/>
      </c>
      <c r="P85" s="25">
        <f>SUMIFS(df_ajustes_conciliaco!D:D,df_ajustes_conciliaco!C:C,Conciliacao!A85)</f>
        <v/>
      </c>
      <c r="Q85" s="22">
        <f>O85+I85-P85</f>
        <v/>
      </c>
      <c r="BE85" s="20" t="n">
        <v>45741.5</v>
      </c>
      <c r="BF85" s="20" t="n">
        <v>45741.125</v>
      </c>
      <c r="BG85" s="20" t="n">
        <v>45741.54166666666</v>
      </c>
      <c r="BH85" s="20" t="n">
        <v>45741.625</v>
      </c>
    </row>
    <row r="86">
      <c r="A86" s="5">
        <f>A85+1</f>
        <v/>
      </c>
      <c r="B86" s="3">
        <f>-SUMIFS(df_extrato_zig!G:G,df_extrato_zig!E:E,Conciliacao!A86,df_extrato_zig!D:D,"Saque")-SUMIFS(df_extrato_zig!G:G,df_extrato_zig!E:E,Conciliacao!A86,df_extrato_zig!D:D,"Antecipação")</f>
        <v/>
      </c>
      <c r="C86" s="3">
        <f>SUMIFS(df_extrato_zig!E:E,df_extrato_zig!L:L,Conciliacao!A86,df_extrato_zig!F:F,"DINHEIRO")</f>
        <v/>
      </c>
      <c r="D86" s="3">
        <f>SUMIFS(view_parc_agrup!H:H,view_parc_agrup!G:G,Conciliacao!A86)</f>
        <v/>
      </c>
      <c r="E86" s="3">
        <f>SUMIFS(df_eventos!F:F,df_eventos!H:H,Conciliacao!A86)</f>
        <v/>
      </c>
      <c r="F86" s="3">
        <f>SUMIFS(df_mutuos!M:M,df_mutuos!B:B,Conciliacao!A86)</f>
        <v/>
      </c>
      <c r="G86" s="6">
        <f>SUMIFS(df_bloqueios_judiciais!G:G,df_bloqueios_judiciais!D:D,Conciliacao!A86,df_bloqueios_judiciais!G:G,"&gt;0")</f>
        <v/>
      </c>
      <c r="H86" s="7">
        <f>SUMIFS(df_extratos!I:I,df_extratos!F:F,Conciliacao!BE86,df_extratos!G:G,"CREDITO")+SUMIFS(df_extratos!I:I,df_extratos!F:F,Conciliacao!A86,df_extratos!G:G,"CREDITO")+SUMIFS(df_extratos!I:I,df_extratos!F:F,Conciliacao!BF86,df_extratos!G:G,"CREDITO")+SUMIFS(df_extratos!I:I,df_extratos!F:F,Conciliacao!BG86,df_extratos!G:G,"CREDITO")+SUMIFS(df_extratos!I:I,df_extratos!F:F,Conciliacao!BH86,df_extratos!G:G,"CREDITO")</f>
        <v/>
      </c>
      <c r="I86" s="9">
        <f>H86-SUM(B86:G86)</f>
        <v/>
      </c>
      <c r="J86" s="4">
        <f>SUMIFS(df_blueme_sem_parcelamento!E:E,df_blueme_sem_parcelamento!H:H,Conciliacao!A86)*(-1)</f>
        <v/>
      </c>
      <c r="K86" s="4">
        <f>SUMIFS(df_blueme_com_parcelamento!J:J,df_blueme_com_parcelamento!M:M,Conciliacao!A86)*(-1)</f>
        <v/>
      </c>
      <c r="L86" s="4">
        <f>SUMIFS(df_mutuos!N:N,df_mutuos!B:B,Conciliacao!A86)*(-1)</f>
        <v/>
      </c>
      <c r="M86" s="8">
        <f>SUMIFS(df_bloqueios_judiciais!G:G,df_bloqueios_judiciais!D:D,Conciliacao!A86,df_bloqueios_judiciais!G:G,"&lt;0")</f>
        <v/>
      </c>
      <c r="N86" s="10">
        <f>SUMIFS(df_extratos!I:I,df_extratos!F:F,Conciliacao!BE86,df_extratos!G:G,"DEBITO")+SUMIFS(df_extratos!I:I,df_extratos!F:F,Conciliacao!A86,df_extratos!G:G,"DEBITO")+SUMIFS(df_extratos!I:I,df_extratos!F:F,Conciliacao!BF86,df_extratos!G:G,"DEBITO")+SUMIFS(df_extratos!I:I,df_extratos!F:F,Conciliacao!BG86,df_extratos!G:G,"DEBITO")+SUMIFS(df_extratos!I:I,df_extratos!F:F,Conciliacao!BH86,df_extratos!G:G,"DEBITO")</f>
        <v/>
      </c>
      <c r="O86" s="11">
        <f>N86-SUM(J86:M86)</f>
        <v/>
      </c>
      <c r="P86" s="25">
        <f>SUMIFS(df_ajustes_conciliaco!D:D,df_ajustes_conciliaco!C:C,Conciliacao!A86)</f>
        <v/>
      </c>
      <c r="Q86" s="22">
        <f>O86+I86-P86</f>
        <v/>
      </c>
      <c r="BE86" s="20" t="n">
        <v>45742.5</v>
      </c>
      <c r="BF86" s="20" t="n">
        <v>45742.125</v>
      </c>
      <c r="BG86" s="20" t="n">
        <v>45742.54166666666</v>
      </c>
      <c r="BH86" s="20" t="n">
        <v>45742.625</v>
      </c>
    </row>
    <row r="87">
      <c r="A87" s="5">
        <f>A86+1</f>
        <v/>
      </c>
      <c r="B87" s="3">
        <f>-SUMIFS(df_extrato_zig!G:G,df_extrato_zig!E:E,Conciliacao!A87,df_extrato_zig!D:D,"Saque")-SUMIFS(df_extrato_zig!G:G,df_extrato_zig!E:E,Conciliacao!A87,df_extrato_zig!D:D,"Antecipação")</f>
        <v/>
      </c>
      <c r="C87" s="3">
        <f>SUMIFS(df_extrato_zig!E:E,df_extrato_zig!L:L,Conciliacao!A87,df_extrato_zig!F:F,"DINHEIRO")</f>
        <v/>
      </c>
      <c r="D87" s="3">
        <f>SUMIFS(view_parc_agrup!H:H,view_parc_agrup!G:G,Conciliacao!A87)</f>
        <v/>
      </c>
      <c r="E87" s="3">
        <f>SUMIFS(df_eventos!F:F,df_eventos!H:H,Conciliacao!A87)</f>
        <v/>
      </c>
      <c r="F87" s="3">
        <f>SUMIFS(df_mutuos!M:M,df_mutuos!B:B,Conciliacao!A87)</f>
        <v/>
      </c>
      <c r="G87" s="6">
        <f>SUMIFS(df_bloqueios_judiciais!G:G,df_bloqueios_judiciais!D:D,Conciliacao!A87,df_bloqueios_judiciais!G:G,"&gt;0")</f>
        <v/>
      </c>
      <c r="H87" s="7">
        <f>SUMIFS(df_extratos!I:I,df_extratos!F:F,Conciliacao!BE87,df_extratos!G:G,"CREDITO")+SUMIFS(df_extratos!I:I,df_extratos!F:F,Conciliacao!A87,df_extratos!G:G,"CREDITO")+SUMIFS(df_extratos!I:I,df_extratos!F:F,Conciliacao!BF87,df_extratos!G:G,"CREDITO")+SUMIFS(df_extratos!I:I,df_extratos!F:F,Conciliacao!BG87,df_extratos!G:G,"CREDITO")+SUMIFS(df_extratos!I:I,df_extratos!F:F,Conciliacao!BH87,df_extratos!G:G,"CREDITO")</f>
        <v/>
      </c>
      <c r="I87" s="9">
        <f>H87-SUM(B87:G87)</f>
        <v/>
      </c>
      <c r="J87" s="4">
        <f>SUMIFS(df_blueme_sem_parcelamento!E:E,df_blueme_sem_parcelamento!H:H,Conciliacao!A87)*(-1)</f>
        <v/>
      </c>
      <c r="K87" s="4">
        <f>SUMIFS(df_blueme_com_parcelamento!J:J,df_blueme_com_parcelamento!M:M,Conciliacao!A87)*(-1)</f>
        <v/>
      </c>
      <c r="L87" s="4">
        <f>SUMIFS(df_mutuos!N:N,df_mutuos!B:B,Conciliacao!A87)*(-1)</f>
        <v/>
      </c>
      <c r="M87" s="8">
        <f>SUMIFS(df_bloqueios_judiciais!G:G,df_bloqueios_judiciais!D:D,Conciliacao!A87,df_bloqueios_judiciais!G:G,"&lt;0")</f>
        <v/>
      </c>
      <c r="N87" s="10">
        <f>SUMIFS(df_extratos!I:I,df_extratos!F:F,Conciliacao!BE87,df_extratos!G:G,"DEBITO")+SUMIFS(df_extratos!I:I,df_extratos!F:F,Conciliacao!A87,df_extratos!G:G,"DEBITO")+SUMIFS(df_extratos!I:I,df_extratos!F:F,Conciliacao!BF87,df_extratos!G:G,"DEBITO")+SUMIFS(df_extratos!I:I,df_extratos!F:F,Conciliacao!BG87,df_extratos!G:G,"DEBITO")+SUMIFS(df_extratos!I:I,df_extratos!F:F,Conciliacao!BH87,df_extratos!G:G,"DEBITO")</f>
        <v/>
      </c>
      <c r="O87" s="11">
        <f>N87-SUM(J87:M87)</f>
        <v/>
      </c>
      <c r="P87" s="25">
        <f>SUMIFS(df_ajustes_conciliaco!D:D,df_ajustes_conciliaco!C:C,Conciliacao!A87)</f>
        <v/>
      </c>
      <c r="Q87" s="22">
        <f>O87+I87-P87</f>
        <v/>
      </c>
      <c r="BE87" s="20" t="n">
        <v>45743.5</v>
      </c>
      <c r="BF87" s="20" t="n">
        <v>45743.125</v>
      </c>
      <c r="BG87" s="20" t="n">
        <v>45743.54166666666</v>
      </c>
      <c r="BH87" s="20" t="n">
        <v>45743.625</v>
      </c>
    </row>
    <row r="88">
      <c r="A88" s="5">
        <f>A87+1</f>
        <v/>
      </c>
      <c r="B88" s="3">
        <f>-SUMIFS(df_extrato_zig!G:G,df_extrato_zig!E:E,Conciliacao!A88,df_extrato_zig!D:D,"Saque")-SUMIFS(df_extrato_zig!G:G,df_extrato_zig!E:E,Conciliacao!A88,df_extrato_zig!D:D,"Antecipação")</f>
        <v/>
      </c>
      <c r="C88" s="3">
        <f>SUMIFS(df_extrato_zig!E:E,df_extrato_zig!L:L,Conciliacao!A88,df_extrato_zig!F:F,"DINHEIRO")</f>
        <v/>
      </c>
      <c r="D88" s="3">
        <f>SUMIFS(view_parc_agrup!H:H,view_parc_agrup!G:G,Conciliacao!A88)</f>
        <v/>
      </c>
      <c r="E88" s="3">
        <f>SUMIFS(df_eventos!F:F,df_eventos!H:H,Conciliacao!A88)</f>
        <v/>
      </c>
      <c r="F88" s="3">
        <f>SUMIFS(df_mutuos!M:M,df_mutuos!B:B,Conciliacao!A88)</f>
        <v/>
      </c>
      <c r="G88" s="6">
        <f>SUMIFS(df_bloqueios_judiciais!G:G,df_bloqueios_judiciais!D:D,Conciliacao!A88,df_bloqueios_judiciais!G:G,"&gt;0")</f>
        <v/>
      </c>
      <c r="H88" s="7">
        <f>SUMIFS(df_extratos!I:I,df_extratos!F:F,Conciliacao!BE88,df_extratos!G:G,"CREDITO")+SUMIFS(df_extratos!I:I,df_extratos!F:F,Conciliacao!A88,df_extratos!G:G,"CREDITO")+SUMIFS(df_extratos!I:I,df_extratos!F:F,Conciliacao!BF88,df_extratos!G:G,"CREDITO")+SUMIFS(df_extratos!I:I,df_extratos!F:F,Conciliacao!BG88,df_extratos!G:G,"CREDITO")+SUMIFS(df_extratos!I:I,df_extratos!F:F,Conciliacao!BH88,df_extratos!G:G,"CREDITO")</f>
        <v/>
      </c>
      <c r="I88" s="9">
        <f>H88-SUM(B88:G88)</f>
        <v/>
      </c>
      <c r="J88" s="4">
        <f>SUMIFS(df_blueme_sem_parcelamento!E:E,df_blueme_sem_parcelamento!H:H,Conciliacao!A88)*(-1)</f>
        <v/>
      </c>
      <c r="K88" s="4">
        <f>SUMIFS(df_blueme_com_parcelamento!J:J,df_blueme_com_parcelamento!M:M,Conciliacao!A88)*(-1)</f>
        <v/>
      </c>
      <c r="L88" s="4">
        <f>SUMIFS(df_mutuos!N:N,df_mutuos!B:B,Conciliacao!A88)*(-1)</f>
        <v/>
      </c>
      <c r="M88" s="8">
        <f>SUMIFS(df_bloqueios_judiciais!G:G,df_bloqueios_judiciais!D:D,Conciliacao!A88,df_bloqueios_judiciais!G:G,"&lt;0")</f>
        <v/>
      </c>
      <c r="N88" s="10">
        <f>SUMIFS(df_extratos!I:I,df_extratos!F:F,Conciliacao!BE88,df_extratos!G:G,"DEBITO")+SUMIFS(df_extratos!I:I,df_extratos!F:F,Conciliacao!A88,df_extratos!G:G,"DEBITO")+SUMIFS(df_extratos!I:I,df_extratos!F:F,Conciliacao!BF88,df_extratos!G:G,"DEBITO")+SUMIFS(df_extratos!I:I,df_extratos!F:F,Conciliacao!BG88,df_extratos!G:G,"DEBITO")+SUMIFS(df_extratos!I:I,df_extratos!F:F,Conciliacao!BH88,df_extratos!G:G,"DEBITO")</f>
        <v/>
      </c>
      <c r="O88" s="11">
        <f>N88-SUM(J88:M88)</f>
        <v/>
      </c>
      <c r="P88" s="25">
        <f>SUMIFS(df_ajustes_conciliaco!D:D,df_ajustes_conciliaco!C:C,Conciliacao!A88)</f>
        <v/>
      </c>
      <c r="Q88" s="22">
        <f>O88+I88-P88</f>
        <v/>
      </c>
      <c r="BE88" s="20" t="n">
        <v>45744.5</v>
      </c>
      <c r="BF88" s="20" t="n">
        <v>45744.125</v>
      </c>
      <c r="BG88" s="20" t="n">
        <v>45744.54166666666</v>
      </c>
      <c r="BH88" s="20" t="n">
        <v>45744.625</v>
      </c>
    </row>
    <row r="89">
      <c r="A89" s="5">
        <f>A88+1</f>
        <v/>
      </c>
      <c r="B89" s="3">
        <f>-SUMIFS(df_extrato_zig!G:G,df_extrato_zig!E:E,Conciliacao!A89,df_extrato_zig!D:D,"Saque")-SUMIFS(df_extrato_zig!G:G,df_extrato_zig!E:E,Conciliacao!A89,df_extrato_zig!D:D,"Antecipação")</f>
        <v/>
      </c>
      <c r="C89" s="3">
        <f>SUMIFS(df_extrato_zig!E:E,df_extrato_zig!L:L,Conciliacao!A89,df_extrato_zig!F:F,"DINHEIRO")</f>
        <v/>
      </c>
      <c r="D89" s="3">
        <f>SUMIFS(view_parc_agrup!H:H,view_parc_agrup!G:G,Conciliacao!A89)</f>
        <v/>
      </c>
      <c r="E89" s="3">
        <f>SUMIFS(df_eventos!F:F,df_eventos!H:H,Conciliacao!A89)</f>
        <v/>
      </c>
      <c r="F89" s="3">
        <f>SUMIFS(df_mutuos!M:M,df_mutuos!B:B,Conciliacao!A89)</f>
        <v/>
      </c>
      <c r="G89" s="6">
        <f>SUMIFS(df_bloqueios_judiciais!G:G,df_bloqueios_judiciais!D:D,Conciliacao!A89,df_bloqueios_judiciais!G:G,"&gt;0")</f>
        <v/>
      </c>
      <c r="H89" s="7">
        <f>SUMIFS(df_extratos!I:I,df_extratos!F:F,Conciliacao!BE89,df_extratos!G:G,"CREDITO")+SUMIFS(df_extratos!I:I,df_extratos!F:F,Conciliacao!A89,df_extratos!G:G,"CREDITO")+SUMIFS(df_extratos!I:I,df_extratos!F:F,Conciliacao!BF89,df_extratos!G:G,"CREDITO")+SUMIFS(df_extratos!I:I,df_extratos!F:F,Conciliacao!BG89,df_extratos!G:G,"CREDITO")+SUMIFS(df_extratos!I:I,df_extratos!F:F,Conciliacao!BH89,df_extratos!G:G,"CREDITO")</f>
        <v/>
      </c>
      <c r="I89" s="9">
        <f>H89-SUM(B89:G89)</f>
        <v/>
      </c>
      <c r="J89" s="4">
        <f>SUMIFS(df_blueme_sem_parcelamento!E:E,df_blueme_sem_parcelamento!H:H,Conciliacao!A89)*(-1)</f>
        <v/>
      </c>
      <c r="K89" s="4">
        <f>SUMIFS(df_blueme_com_parcelamento!J:J,df_blueme_com_parcelamento!M:M,Conciliacao!A89)*(-1)</f>
        <v/>
      </c>
      <c r="L89" s="4">
        <f>SUMIFS(df_mutuos!N:N,df_mutuos!B:B,Conciliacao!A89)*(-1)</f>
        <v/>
      </c>
      <c r="M89" s="8">
        <f>SUMIFS(df_bloqueios_judiciais!G:G,df_bloqueios_judiciais!D:D,Conciliacao!A89,df_bloqueios_judiciais!G:G,"&lt;0")</f>
        <v/>
      </c>
      <c r="N89" s="10">
        <f>SUMIFS(df_extratos!I:I,df_extratos!F:F,Conciliacao!BE89,df_extratos!G:G,"DEBITO")+SUMIFS(df_extratos!I:I,df_extratos!F:F,Conciliacao!A89,df_extratos!G:G,"DEBITO")+SUMIFS(df_extratos!I:I,df_extratos!F:F,Conciliacao!BF89,df_extratos!G:G,"DEBITO")+SUMIFS(df_extratos!I:I,df_extratos!F:F,Conciliacao!BG89,df_extratos!G:G,"DEBITO")+SUMIFS(df_extratos!I:I,df_extratos!F:F,Conciliacao!BH89,df_extratos!G:G,"DEBITO")</f>
        <v/>
      </c>
      <c r="O89" s="11">
        <f>N89-SUM(J89:M89)</f>
        <v/>
      </c>
      <c r="P89" s="25">
        <f>SUMIFS(df_ajustes_conciliaco!D:D,df_ajustes_conciliaco!C:C,Conciliacao!A89)</f>
        <v/>
      </c>
      <c r="Q89" s="22">
        <f>O89+I89-P89</f>
        <v/>
      </c>
      <c r="BE89" s="20" t="n">
        <v>45745.5</v>
      </c>
      <c r="BF89" s="20" t="n">
        <v>45745.125</v>
      </c>
      <c r="BG89" s="20" t="n">
        <v>45745.54166666666</v>
      </c>
      <c r="BH89" s="20" t="n">
        <v>45745.625</v>
      </c>
    </row>
    <row r="90">
      <c r="A90" s="5">
        <f>A89+1</f>
        <v/>
      </c>
      <c r="B90" s="3">
        <f>-SUMIFS(df_extrato_zig!G:G,df_extrato_zig!E:E,Conciliacao!A90,df_extrato_zig!D:D,"Saque")-SUMIFS(df_extrato_zig!G:G,df_extrato_zig!E:E,Conciliacao!A90,df_extrato_zig!D:D,"Antecipação")</f>
        <v/>
      </c>
      <c r="C90" s="3">
        <f>SUMIFS(df_extrato_zig!E:E,df_extrato_zig!L:L,Conciliacao!A90,df_extrato_zig!F:F,"DINHEIRO")</f>
        <v/>
      </c>
      <c r="D90" s="3">
        <f>SUMIFS(view_parc_agrup!H:H,view_parc_agrup!G:G,Conciliacao!A90)</f>
        <v/>
      </c>
      <c r="E90" s="3">
        <f>SUMIFS(df_eventos!F:F,df_eventos!H:H,Conciliacao!A90)</f>
        <v/>
      </c>
      <c r="F90" s="3">
        <f>SUMIFS(df_mutuos!M:M,df_mutuos!B:B,Conciliacao!A90)</f>
        <v/>
      </c>
      <c r="G90" s="6">
        <f>SUMIFS(df_bloqueios_judiciais!G:G,df_bloqueios_judiciais!D:D,Conciliacao!A90,df_bloqueios_judiciais!G:G,"&gt;0")</f>
        <v/>
      </c>
      <c r="H90" s="7">
        <f>SUMIFS(df_extratos!I:I,df_extratos!F:F,Conciliacao!BE90,df_extratos!G:G,"CREDITO")+SUMIFS(df_extratos!I:I,df_extratos!F:F,Conciliacao!A90,df_extratos!G:G,"CREDITO")+SUMIFS(df_extratos!I:I,df_extratos!F:F,Conciliacao!BF90,df_extratos!G:G,"CREDITO")+SUMIFS(df_extratos!I:I,df_extratos!F:F,Conciliacao!BG90,df_extratos!G:G,"CREDITO")+SUMIFS(df_extratos!I:I,df_extratos!F:F,Conciliacao!BH90,df_extratos!G:G,"CREDITO")</f>
        <v/>
      </c>
      <c r="I90" s="9">
        <f>H90-SUM(B90:G90)</f>
        <v/>
      </c>
      <c r="J90" s="4">
        <f>SUMIFS(df_blueme_sem_parcelamento!E:E,df_blueme_sem_parcelamento!H:H,Conciliacao!A90)*(-1)</f>
        <v/>
      </c>
      <c r="K90" s="4">
        <f>SUMIFS(df_blueme_com_parcelamento!J:J,df_blueme_com_parcelamento!M:M,Conciliacao!A90)*(-1)</f>
        <v/>
      </c>
      <c r="L90" s="4">
        <f>SUMIFS(df_mutuos!N:N,df_mutuos!B:B,Conciliacao!A90)*(-1)</f>
        <v/>
      </c>
      <c r="M90" s="8">
        <f>SUMIFS(df_bloqueios_judiciais!G:G,df_bloqueios_judiciais!D:D,Conciliacao!A90,df_bloqueios_judiciais!G:G,"&lt;0")</f>
        <v/>
      </c>
      <c r="N90" s="10">
        <f>SUMIFS(df_extratos!I:I,df_extratos!F:F,Conciliacao!BE90,df_extratos!G:G,"DEBITO")+SUMIFS(df_extratos!I:I,df_extratos!F:F,Conciliacao!A90,df_extratos!G:G,"DEBITO")+SUMIFS(df_extratos!I:I,df_extratos!F:F,Conciliacao!BF90,df_extratos!G:G,"DEBITO")+SUMIFS(df_extratos!I:I,df_extratos!F:F,Conciliacao!BG90,df_extratos!G:G,"DEBITO")+SUMIFS(df_extratos!I:I,df_extratos!F:F,Conciliacao!BH90,df_extratos!G:G,"DEBITO")</f>
        <v/>
      </c>
      <c r="O90" s="11">
        <f>N90-SUM(J90:M90)</f>
        <v/>
      </c>
      <c r="P90" s="25">
        <f>SUMIFS(df_ajustes_conciliaco!D:D,df_ajustes_conciliaco!C:C,Conciliacao!A90)</f>
        <v/>
      </c>
      <c r="Q90" s="22">
        <f>O90+I90-P90</f>
        <v/>
      </c>
      <c r="BE90" s="20" t="n">
        <v>45746.5</v>
      </c>
      <c r="BF90" s="20" t="n">
        <v>45746.125</v>
      </c>
      <c r="BG90" s="20" t="n">
        <v>45746.54166666666</v>
      </c>
      <c r="BH90" s="20" t="n">
        <v>45746.625</v>
      </c>
    </row>
    <row r="91">
      <c r="A91" s="5">
        <f>A90+1</f>
        <v/>
      </c>
      <c r="B91" s="3">
        <f>-SUMIFS(df_extrato_zig!G:G,df_extrato_zig!E:E,Conciliacao!A91,df_extrato_zig!D:D,"Saque")-SUMIFS(df_extrato_zig!G:G,df_extrato_zig!E:E,Conciliacao!A91,df_extrato_zig!D:D,"Antecipação")</f>
        <v/>
      </c>
      <c r="C91" s="3">
        <f>SUMIFS(df_extrato_zig!E:E,df_extrato_zig!L:L,Conciliacao!A91,df_extrato_zig!F:F,"DINHEIRO")</f>
        <v/>
      </c>
      <c r="D91" s="3">
        <f>SUMIFS(view_parc_agrup!H:H,view_parc_agrup!G:G,Conciliacao!A91)</f>
        <v/>
      </c>
      <c r="E91" s="3">
        <f>SUMIFS(df_eventos!F:F,df_eventos!H:H,Conciliacao!A91)</f>
        <v/>
      </c>
      <c r="F91" s="3">
        <f>SUMIFS(df_mutuos!M:M,df_mutuos!B:B,Conciliacao!A91)</f>
        <v/>
      </c>
      <c r="G91" s="6">
        <f>SUMIFS(df_bloqueios_judiciais!G:G,df_bloqueios_judiciais!D:D,Conciliacao!A91,df_bloqueios_judiciais!G:G,"&gt;0")</f>
        <v/>
      </c>
      <c r="H91" s="7">
        <f>SUMIFS(df_extratos!I:I,df_extratos!F:F,Conciliacao!BE91,df_extratos!G:G,"CREDITO")+SUMIFS(df_extratos!I:I,df_extratos!F:F,Conciliacao!A91,df_extratos!G:G,"CREDITO")+SUMIFS(df_extratos!I:I,df_extratos!F:F,Conciliacao!BF91,df_extratos!G:G,"CREDITO")+SUMIFS(df_extratos!I:I,df_extratos!F:F,Conciliacao!BG91,df_extratos!G:G,"CREDITO")+SUMIFS(df_extratos!I:I,df_extratos!F:F,Conciliacao!BH91,df_extratos!G:G,"CREDITO")</f>
        <v/>
      </c>
      <c r="I91" s="9">
        <f>H91-SUM(B91:G91)</f>
        <v/>
      </c>
      <c r="J91" s="4">
        <f>SUMIFS(df_blueme_sem_parcelamento!E:E,df_blueme_sem_parcelamento!H:H,Conciliacao!A91)*(-1)</f>
        <v/>
      </c>
      <c r="K91" s="4">
        <f>SUMIFS(df_blueme_com_parcelamento!J:J,df_blueme_com_parcelamento!M:M,Conciliacao!A91)*(-1)</f>
        <v/>
      </c>
      <c r="L91" s="4">
        <f>SUMIFS(df_mutuos!N:N,df_mutuos!B:B,Conciliacao!A91)*(-1)</f>
        <v/>
      </c>
      <c r="M91" s="8">
        <f>SUMIFS(df_bloqueios_judiciais!G:G,df_bloqueios_judiciais!D:D,Conciliacao!A91,df_bloqueios_judiciais!G:G,"&lt;0")</f>
        <v/>
      </c>
      <c r="N91" s="10">
        <f>SUMIFS(df_extratos!I:I,df_extratos!F:F,Conciliacao!BE91,df_extratos!G:G,"DEBITO")+SUMIFS(df_extratos!I:I,df_extratos!F:F,Conciliacao!A91,df_extratos!G:G,"DEBITO")+SUMIFS(df_extratos!I:I,df_extratos!F:F,Conciliacao!BF91,df_extratos!G:G,"DEBITO")+SUMIFS(df_extratos!I:I,df_extratos!F:F,Conciliacao!BG91,df_extratos!G:G,"DEBITO")+SUMIFS(df_extratos!I:I,df_extratos!F:F,Conciliacao!BH91,df_extratos!G:G,"DEBITO")</f>
        <v/>
      </c>
      <c r="O91" s="11">
        <f>N91-SUM(J91:M91)</f>
        <v/>
      </c>
      <c r="P91" s="25">
        <f>SUMIFS(df_ajustes_conciliaco!D:D,df_ajustes_conciliaco!C:C,Conciliacao!A91)</f>
        <v/>
      </c>
      <c r="Q91" s="22">
        <f>O91+I91-P91</f>
        <v/>
      </c>
      <c r="BE91" s="20" t="n">
        <v>45747.5</v>
      </c>
      <c r="BF91" s="20" t="n">
        <v>45747.125</v>
      </c>
      <c r="BG91" s="20" t="n">
        <v>45747.54166666666</v>
      </c>
      <c r="BH91" s="20" t="n">
        <v>45747.625</v>
      </c>
    </row>
    <row r="92">
      <c r="A92" s="5">
        <f>A91+1</f>
        <v/>
      </c>
      <c r="B92" s="3">
        <f>-SUMIFS(df_extrato_zig!G:G,df_extrato_zig!E:E,Conciliacao!A92,df_extrato_zig!D:D,"Saque")-SUMIFS(df_extrato_zig!G:G,df_extrato_zig!E:E,Conciliacao!A92,df_extrato_zig!D:D,"Antecipação")</f>
        <v/>
      </c>
      <c r="C92" s="3">
        <f>SUMIFS(df_extrato_zig!E:E,df_extrato_zig!L:L,Conciliacao!A92,df_extrato_zig!F:F,"DINHEIRO")</f>
        <v/>
      </c>
      <c r="D92" s="3">
        <f>SUMIFS(view_parc_agrup!H:H,view_parc_agrup!G:G,Conciliacao!A92)</f>
        <v/>
      </c>
      <c r="E92" s="3">
        <f>SUMIFS(df_eventos!F:F,df_eventos!H:H,Conciliacao!A92)</f>
        <v/>
      </c>
      <c r="F92" s="3">
        <f>SUMIFS(df_mutuos!M:M,df_mutuos!B:B,Conciliacao!A92)</f>
        <v/>
      </c>
      <c r="G92" s="6">
        <f>SUMIFS(df_bloqueios_judiciais!G:G,df_bloqueios_judiciais!D:D,Conciliacao!A92,df_bloqueios_judiciais!G:G,"&gt;0")</f>
        <v/>
      </c>
      <c r="H92" s="7">
        <f>SUMIFS(df_extratos!I:I,df_extratos!F:F,Conciliacao!BE92,df_extratos!G:G,"CREDITO")+SUMIFS(df_extratos!I:I,df_extratos!F:F,Conciliacao!A92,df_extratos!G:G,"CREDITO")+SUMIFS(df_extratos!I:I,df_extratos!F:F,Conciliacao!BF92,df_extratos!G:G,"CREDITO")+SUMIFS(df_extratos!I:I,df_extratos!F:F,Conciliacao!BG92,df_extratos!G:G,"CREDITO")+SUMIFS(df_extratos!I:I,df_extratos!F:F,Conciliacao!BH92,df_extratos!G:G,"CREDITO")</f>
        <v/>
      </c>
      <c r="I92" s="9">
        <f>H92-SUM(B92:G92)</f>
        <v/>
      </c>
      <c r="J92" s="4">
        <f>SUMIFS(df_blueme_sem_parcelamento!E:E,df_blueme_sem_parcelamento!H:H,Conciliacao!A92)*(-1)</f>
        <v/>
      </c>
      <c r="K92" s="4">
        <f>SUMIFS(df_blueme_com_parcelamento!J:J,df_blueme_com_parcelamento!M:M,Conciliacao!A92)*(-1)</f>
        <v/>
      </c>
      <c r="L92" s="4">
        <f>SUMIFS(df_mutuos!N:N,df_mutuos!B:B,Conciliacao!A92)*(-1)</f>
        <v/>
      </c>
      <c r="M92" s="8">
        <f>SUMIFS(df_bloqueios_judiciais!G:G,df_bloqueios_judiciais!D:D,Conciliacao!A92,df_bloqueios_judiciais!G:G,"&lt;0")</f>
        <v/>
      </c>
      <c r="N92" s="10">
        <f>SUMIFS(df_extratos!I:I,df_extratos!F:F,Conciliacao!BE92,df_extratos!G:G,"DEBITO")+SUMIFS(df_extratos!I:I,df_extratos!F:F,Conciliacao!A92,df_extratos!G:G,"DEBITO")+SUMIFS(df_extratos!I:I,df_extratos!F:F,Conciliacao!BF92,df_extratos!G:G,"DEBITO")+SUMIFS(df_extratos!I:I,df_extratos!F:F,Conciliacao!BG92,df_extratos!G:G,"DEBITO")+SUMIFS(df_extratos!I:I,df_extratos!F:F,Conciliacao!BH92,df_extratos!G:G,"DEBITO")</f>
        <v/>
      </c>
      <c r="O92" s="11">
        <f>N92-SUM(J92:M92)</f>
        <v/>
      </c>
      <c r="P92" s="25">
        <f>SUMIFS(df_ajustes_conciliaco!D:D,df_ajustes_conciliaco!C:C,Conciliacao!A92)</f>
        <v/>
      </c>
      <c r="Q92" s="22">
        <f>O92+I92-P92</f>
        <v/>
      </c>
      <c r="BE92" s="20" t="n">
        <v>45748.5</v>
      </c>
      <c r="BF92" s="20" t="n">
        <v>45748.125</v>
      </c>
      <c r="BG92" s="20" t="n">
        <v>45748.54166666666</v>
      </c>
      <c r="BH92" s="20" t="n">
        <v>45748.625</v>
      </c>
    </row>
    <row r="93">
      <c r="A93" s="5">
        <f>A92+1</f>
        <v/>
      </c>
      <c r="B93" s="3">
        <f>-SUMIFS(df_extrato_zig!G:G,df_extrato_zig!E:E,Conciliacao!A93,df_extrato_zig!D:D,"Saque")-SUMIFS(df_extrato_zig!G:G,df_extrato_zig!E:E,Conciliacao!A93,df_extrato_zig!D:D,"Antecipação")</f>
        <v/>
      </c>
      <c r="C93" s="3">
        <f>SUMIFS(df_extrato_zig!E:E,df_extrato_zig!L:L,Conciliacao!A93,df_extrato_zig!F:F,"DINHEIRO")</f>
        <v/>
      </c>
      <c r="D93" s="3">
        <f>SUMIFS(view_parc_agrup!H:H,view_parc_agrup!G:G,Conciliacao!A93)</f>
        <v/>
      </c>
      <c r="E93" s="3">
        <f>SUMIFS(df_eventos!F:F,df_eventos!H:H,Conciliacao!A93)</f>
        <v/>
      </c>
      <c r="F93" s="3">
        <f>SUMIFS(df_mutuos!M:M,df_mutuos!B:B,Conciliacao!A93)</f>
        <v/>
      </c>
      <c r="G93" s="6">
        <f>SUMIFS(df_bloqueios_judiciais!G:G,df_bloqueios_judiciais!D:D,Conciliacao!A93,df_bloqueios_judiciais!G:G,"&gt;0")</f>
        <v/>
      </c>
      <c r="H93" s="7">
        <f>SUMIFS(df_extratos!I:I,df_extratos!F:F,Conciliacao!BE93,df_extratos!G:G,"CREDITO")+SUMIFS(df_extratos!I:I,df_extratos!F:F,Conciliacao!A93,df_extratos!G:G,"CREDITO")+SUMIFS(df_extratos!I:I,df_extratos!F:F,Conciliacao!BF93,df_extratos!G:G,"CREDITO")+SUMIFS(df_extratos!I:I,df_extratos!F:F,Conciliacao!BG93,df_extratos!G:G,"CREDITO")+SUMIFS(df_extratos!I:I,df_extratos!F:F,Conciliacao!BH93,df_extratos!G:G,"CREDITO")</f>
        <v/>
      </c>
      <c r="I93" s="9">
        <f>H93-SUM(B93:G93)</f>
        <v/>
      </c>
      <c r="J93" s="4">
        <f>SUMIFS(df_blueme_sem_parcelamento!E:E,df_blueme_sem_parcelamento!H:H,Conciliacao!A93)*(-1)</f>
        <v/>
      </c>
      <c r="K93" s="4">
        <f>SUMIFS(df_blueme_com_parcelamento!J:J,df_blueme_com_parcelamento!M:M,Conciliacao!A93)*(-1)</f>
        <v/>
      </c>
      <c r="L93" s="4">
        <f>SUMIFS(df_mutuos!N:N,df_mutuos!B:B,Conciliacao!A93)*(-1)</f>
        <v/>
      </c>
      <c r="M93" s="8">
        <f>SUMIFS(df_bloqueios_judiciais!G:G,df_bloqueios_judiciais!D:D,Conciliacao!A93,df_bloqueios_judiciais!G:G,"&lt;0")</f>
        <v/>
      </c>
      <c r="N93" s="10">
        <f>SUMIFS(df_extratos!I:I,df_extratos!F:F,Conciliacao!BE93,df_extratos!G:G,"DEBITO")+SUMIFS(df_extratos!I:I,df_extratos!F:F,Conciliacao!A93,df_extratos!G:G,"DEBITO")+SUMIFS(df_extratos!I:I,df_extratos!F:F,Conciliacao!BF93,df_extratos!G:G,"DEBITO")+SUMIFS(df_extratos!I:I,df_extratos!F:F,Conciliacao!BG93,df_extratos!G:G,"DEBITO")+SUMIFS(df_extratos!I:I,df_extratos!F:F,Conciliacao!BH93,df_extratos!G:G,"DEBITO")</f>
        <v/>
      </c>
      <c r="O93" s="11">
        <f>N93-SUM(J93:M93)</f>
        <v/>
      </c>
      <c r="P93" s="25">
        <f>SUMIFS(df_ajustes_conciliaco!D:D,df_ajustes_conciliaco!C:C,Conciliacao!A93)</f>
        <v/>
      </c>
      <c r="Q93" s="22">
        <f>O93+I93-P93</f>
        <v/>
      </c>
      <c r="BE93" s="20" t="n">
        <v>45749.5</v>
      </c>
      <c r="BF93" s="20" t="n">
        <v>45749.125</v>
      </c>
      <c r="BG93" s="20" t="n">
        <v>45749.54166666666</v>
      </c>
      <c r="BH93" s="20" t="n">
        <v>45749.625</v>
      </c>
    </row>
    <row r="94">
      <c r="A94" s="5">
        <f>A93+1</f>
        <v/>
      </c>
      <c r="B94" s="3">
        <f>-SUMIFS(df_extrato_zig!G:G,df_extrato_zig!E:E,Conciliacao!A94,df_extrato_zig!D:D,"Saque")-SUMIFS(df_extrato_zig!G:G,df_extrato_zig!E:E,Conciliacao!A94,df_extrato_zig!D:D,"Antecipação")</f>
        <v/>
      </c>
      <c r="C94" s="3">
        <f>SUMIFS(df_extrato_zig!E:E,df_extrato_zig!L:L,Conciliacao!A94,df_extrato_zig!F:F,"DINHEIRO")</f>
        <v/>
      </c>
      <c r="D94" s="3">
        <f>SUMIFS(view_parc_agrup!H:H,view_parc_agrup!G:G,Conciliacao!A94)</f>
        <v/>
      </c>
      <c r="E94" s="3">
        <f>SUMIFS(df_eventos!F:F,df_eventos!H:H,Conciliacao!A94)</f>
        <v/>
      </c>
      <c r="F94" s="3">
        <f>SUMIFS(df_mutuos!M:M,df_mutuos!B:B,Conciliacao!A94)</f>
        <v/>
      </c>
      <c r="G94" s="6">
        <f>SUMIFS(df_bloqueios_judiciais!G:G,df_bloqueios_judiciais!D:D,Conciliacao!A94,df_bloqueios_judiciais!G:G,"&gt;0")</f>
        <v/>
      </c>
      <c r="H94" s="7">
        <f>SUMIFS(df_extratos!I:I,df_extratos!F:F,Conciliacao!BE94,df_extratos!G:G,"CREDITO")+SUMIFS(df_extratos!I:I,df_extratos!F:F,Conciliacao!A94,df_extratos!G:G,"CREDITO")+SUMIFS(df_extratos!I:I,df_extratos!F:F,Conciliacao!BF94,df_extratos!G:G,"CREDITO")+SUMIFS(df_extratos!I:I,df_extratos!F:F,Conciliacao!BG94,df_extratos!G:G,"CREDITO")+SUMIFS(df_extratos!I:I,df_extratos!F:F,Conciliacao!BH94,df_extratos!G:G,"CREDITO")</f>
        <v/>
      </c>
      <c r="I94" s="9">
        <f>H94-SUM(B94:G94)</f>
        <v/>
      </c>
      <c r="J94" s="4">
        <f>SUMIFS(df_blueme_sem_parcelamento!E:E,df_blueme_sem_parcelamento!H:H,Conciliacao!A94)*(-1)</f>
        <v/>
      </c>
      <c r="K94" s="4">
        <f>SUMIFS(df_blueme_com_parcelamento!J:J,df_blueme_com_parcelamento!M:M,Conciliacao!A94)*(-1)</f>
        <v/>
      </c>
      <c r="L94" s="4">
        <f>SUMIFS(df_mutuos!N:N,df_mutuos!B:B,Conciliacao!A94)*(-1)</f>
        <v/>
      </c>
      <c r="M94" s="8">
        <f>SUMIFS(df_bloqueios_judiciais!G:G,df_bloqueios_judiciais!D:D,Conciliacao!A94,df_bloqueios_judiciais!G:G,"&lt;0")</f>
        <v/>
      </c>
      <c r="N94" s="10">
        <f>SUMIFS(df_extratos!I:I,df_extratos!F:F,Conciliacao!BE94,df_extratos!G:G,"DEBITO")+SUMIFS(df_extratos!I:I,df_extratos!F:F,Conciliacao!A94,df_extratos!G:G,"DEBITO")+SUMIFS(df_extratos!I:I,df_extratos!F:F,Conciliacao!BF94,df_extratos!G:G,"DEBITO")+SUMIFS(df_extratos!I:I,df_extratos!F:F,Conciliacao!BG94,df_extratos!G:G,"DEBITO")+SUMIFS(df_extratos!I:I,df_extratos!F:F,Conciliacao!BH94,df_extratos!G:G,"DEBITO")</f>
        <v/>
      </c>
      <c r="O94" s="11">
        <f>N94-SUM(J94:M94)</f>
        <v/>
      </c>
      <c r="P94" s="25">
        <f>SUMIFS(df_ajustes_conciliaco!D:D,df_ajustes_conciliaco!C:C,Conciliacao!A94)</f>
        <v/>
      </c>
      <c r="Q94" s="22">
        <f>O94+I94-P94</f>
        <v/>
      </c>
      <c r="BE94" s="20" t="n">
        <v>45750.5</v>
      </c>
      <c r="BF94" s="20" t="n">
        <v>45750.125</v>
      </c>
      <c r="BG94" s="20" t="n">
        <v>45750.54166666666</v>
      </c>
      <c r="BH94" s="20" t="n">
        <v>45750.625</v>
      </c>
    </row>
    <row r="95">
      <c r="A95" s="5">
        <f>A94+1</f>
        <v/>
      </c>
      <c r="B95" s="3">
        <f>-SUMIFS(df_extrato_zig!G:G,df_extrato_zig!E:E,Conciliacao!A95,df_extrato_zig!D:D,"Saque")-SUMIFS(df_extrato_zig!G:G,df_extrato_zig!E:E,Conciliacao!A95,df_extrato_zig!D:D,"Antecipação")</f>
        <v/>
      </c>
      <c r="C95" s="3">
        <f>SUMIFS(df_extrato_zig!E:E,df_extrato_zig!L:L,Conciliacao!A95,df_extrato_zig!F:F,"DINHEIRO")</f>
        <v/>
      </c>
      <c r="D95" s="3">
        <f>SUMIFS(view_parc_agrup!H:H,view_parc_agrup!G:G,Conciliacao!A95)</f>
        <v/>
      </c>
      <c r="E95" s="3">
        <f>SUMIFS(df_eventos!F:F,df_eventos!H:H,Conciliacao!A95)</f>
        <v/>
      </c>
      <c r="F95" s="3">
        <f>SUMIFS(df_mutuos!M:M,df_mutuos!B:B,Conciliacao!A95)</f>
        <v/>
      </c>
      <c r="G95" s="6">
        <f>SUMIFS(df_bloqueios_judiciais!G:G,df_bloqueios_judiciais!D:D,Conciliacao!A95,df_bloqueios_judiciais!G:G,"&gt;0")</f>
        <v/>
      </c>
      <c r="H95" s="7">
        <f>SUMIFS(df_extratos!I:I,df_extratos!F:F,Conciliacao!BE95,df_extratos!G:G,"CREDITO")+SUMIFS(df_extratos!I:I,df_extratos!F:F,Conciliacao!A95,df_extratos!G:G,"CREDITO")+SUMIFS(df_extratos!I:I,df_extratos!F:F,Conciliacao!BF95,df_extratos!G:G,"CREDITO")+SUMIFS(df_extratos!I:I,df_extratos!F:F,Conciliacao!BG95,df_extratos!G:G,"CREDITO")+SUMIFS(df_extratos!I:I,df_extratos!F:F,Conciliacao!BH95,df_extratos!G:G,"CREDITO")</f>
        <v/>
      </c>
      <c r="I95" s="9">
        <f>H95-SUM(B95:G95)</f>
        <v/>
      </c>
      <c r="J95" s="4">
        <f>SUMIFS(df_blueme_sem_parcelamento!E:E,df_blueme_sem_parcelamento!H:H,Conciliacao!A95)*(-1)</f>
        <v/>
      </c>
      <c r="K95" s="4">
        <f>SUMIFS(df_blueme_com_parcelamento!J:J,df_blueme_com_parcelamento!M:M,Conciliacao!A95)*(-1)</f>
        <v/>
      </c>
      <c r="L95" s="4">
        <f>SUMIFS(df_mutuos!N:N,df_mutuos!B:B,Conciliacao!A95)*(-1)</f>
        <v/>
      </c>
      <c r="M95" s="8">
        <f>SUMIFS(df_bloqueios_judiciais!G:G,df_bloqueios_judiciais!D:D,Conciliacao!A95,df_bloqueios_judiciais!G:G,"&lt;0")</f>
        <v/>
      </c>
      <c r="N95" s="10">
        <f>SUMIFS(df_extratos!I:I,df_extratos!F:F,Conciliacao!BE95,df_extratos!G:G,"DEBITO")+SUMIFS(df_extratos!I:I,df_extratos!F:F,Conciliacao!A95,df_extratos!G:G,"DEBITO")+SUMIFS(df_extratos!I:I,df_extratos!F:F,Conciliacao!BF95,df_extratos!G:G,"DEBITO")+SUMIFS(df_extratos!I:I,df_extratos!F:F,Conciliacao!BG95,df_extratos!G:G,"DEBITO")+SUMIFS(df_extratos!I:I,df_extratos!F:F,Conciliacao!BH95,df_extratos!G:G,"DEBITO")</f>
        <v/>
      </c>
      <c r="O95" s="11">
        <f>N95-SUM(J95:M95)</f>
        <v/>
      </c>
      <c r="P95" s="25">
        <f>SUMIFS(df_ajustes_conciliaco!D:D,df_ajustes_conciliaco!C:C,Conciliacao!A95)</f>
        <v/>
      </c>
      <c r="Q95" s="22">
        <f>O95+I95-P95</f>
        <v/>
      </c>
      <c r="BE95" s="20" t="n">
        <v>45751.5</v>
      </c>
      <c r="BF95" s="20" t="n">
        <v>45751.125</v>
      </c>
      <c r="BG95" s="20" t="n">
        <v>45751.54166666666</v>
      </c>
      <c r="BH95" s="20" t="n">
        <v>45751.625</v>
      </c>
    </row>
    <row r="96">
      <c r="A96" s="5">
        <f>A95+1</f>
        <v/>
      </c>
      <c r="B96" s="3">
        <f>-SUMIFS(df_extrato_zig!G:G,df_extrato_zig!E:E,Conciliacao!A96,df_extrato_zig!D:D,"Saque")-SUMIFS(df_extrato_zig!G:G,df_extrato_zig!E:E,Conciliacao!A96,df_extrato_zig!D:D,"Antecipação")</f>
        <v/>
      </c>
      <c r="C96" s="3">
        <f>SUMIFS(df_extrato_zig!E:E,df_extrato_zig!L:L,Conciliacao!A96,df_extrato_zig!F:F,"DINHEIRO")</f>
        <v/>
      </c>
      <c r="D96" s="3">
        <f>SUMIFS(view_parc_agrup!H:H,view_parc_agrup!G:G,Conciliacao!A96)</f>
        <v/>
      </c>
      <c r="E96" s="3">
        <f>SUMIFS(df_eventos!F:F,df_eventos!H:H,Conciliacao!A96)</f>
        <v/>
      </c>
      <c r="F96" s="3">
        <f>SUMIFS(df_mutuos!M:M,df_mutuos!B:B,Conciliacao!A96)</f>
        <v/>
      </c>
      <c r="G96" s="6">
        <f>SUMIFS(df_bloqueios_judiciais!G:G,df_bloqueios_judiciais!D:D,Conciliacao!A96,df_bloqueios_judiciais!G:G,"&gt;0")</f>
        <v/>
      </c>
      <c r="H96" s="7">
        <f>SUMIFS(df_extratos!I:I,df_extratos!F:F,Conciliacao!BE96,df_extratos!G:G,"CREDITO")+SUMIFS(df_extratos!I:I,df_extratos!F:F,Conciliacao!A96,df_extratos!G:G,"CREDITO")+SUMIFS(df_extratos!I:I,df_extratos!F:F,Conciliacao!BF96,df_extratos!G:G,"CREDITO")+SUMIFS(df_extratos!I:I,df_extratos!F:F,Conciliacao!BG96,df_extratos!G:G,"CREDITO")+SUMIFS(df_extratos!I:I,df_extratos!F:F,Conciliacao!BH96,df_extratos!G:G,"CREDITO")</f>
        <v/>
      </c>
      <c r="I96" s="9">
        <f>H96-SUM(B96:G96)</f>
        <v/>
      </c>
      <c r="J96" s="4">
        <f>SUMIFS(df_blueme_sem_parcelamento!E:E,df_blueme_sem_parcelamento!H:H,Conciliacao!A96)*(-1)</f>
        <v/>
      </c>
      <c r="K96" s="4">
        <f>SUMIFS(df_blueme_com_parcelamento!J:J,df_blueme_com_parcelamento!M:M,Conciliacao!A96)*(-1)</f>
        <v/>
      </c>
      <c r="L96" s="4">
        <f>SUMIFS(df_mutuos!N:N,df_mutuos!B:B,Conciliacao!A96)*(-1)</f>
        <v/>
      </c>
      <c r="M96" s="8">
        <f>SUMIFS(df_bloqueios_judiciais!G:G,df_bloqueios_judiciais!D:D,Conciliacao!A96,df_bloqueios_judiciais!G:G,"&lt;0")</f>
        <v/>
      </c>
      <c r="N96" s="10">
        <f>SUMIFS(df_extratos!I:I,df_extratos!F:F,Conciliacao!BE96,df_extratos!G:G,"DEBITO")+SUMIFS(df_extratos!I:I,df_extratos!F:F,Conciliacao!A96,df_extratos!G:G,"DEBITO")+SUMIFS(df_extratos!I:I,df_extratos!F:F,Conciliacao!BF96,df_extratos!G:G,"DEBITO")+SUMIFS(df_extratos!I:I,df_extratos!F:F,Conciliacao!BG96,df_extratos!G:G,"DEBITO")+SUMIFS(df_extratos!I:I,df_extratos!F:F,Conciliacao!BH96,df_extratos!G:G,"DEBITO")</f>
        <v/>
      </c>
      <c r="O96" s="11">
        <f>N96-SUM(J96:M96)</f>
        <v/>
      </c>
      <c r="P96" s="25">
        <f>SUMIFS(df_ajustes_conciliaco!D:D,df_ajustes_conciliaco!C:C,Conciliacao!A96)</f>
        <v/>
      </c>
      <c r="Q96" s="22">
        <f>O96+I96-P96</f>
        <v/>
      </c>
      <c r="BE96" s="20" t="n">
        <v>45752.5</v>
      </c>
      <c r="BF96" s="20" t="n">
        <v>45752.125</v>
      </c>
      <c r="BG96" s="20" t="n">
        <v>45752.54166666666</v>
      </c>
      <c r="BH96" s="20" t="n">
        <v>45752.625</v>
      </c>
    </row>
    <row r="97">
      <c r="A97" s="5">
        <f>A96+1</f>
        <v/>
      </c>
      <c r="B97" s="3">
        <f>-SUMIFS(df_extrato_zig!G:G,df_extrato_zig!E:E,Conciliacao!A97,df_extrato_zig!D:D,"Saque")-SUMIFS(df_extrato_zig!G:G,df_extrato_zig!E:E,Conciliacao!A97,df_extrato_zig!D:D,"Antecipação")</f>
        <v/>
      </c>
      <c r="C97" s="3">
        <f>SUMIFS(df_extrato_zig!E:E,df_extrato_zig!L:L,Conciliacao!A97,df_extrato_zig!F:F,"DINHEIRO")</f>
        <v/>
      </c>
      <c r="D97" s="3">
        <f>SUMIFS(view_parc_agrup!H:H,view_parc_agrup!G:G,Conciliacao!A97)</f>
        <v/>
      </c>
      <c r="E97" s="3">
        <f>SUMIFS(df_eventos!F:F,df_eventos!H:H,Conciliacao!A97)</f>
        <v/>
      </c>
      <c r="F97" s="3">
        <f>SUMIFS(df_mutuos!M:M,df_mutuos!B:B,Conciliacao!A97)</f>
        <v/>
      </c>
      <c r="G97" s="6">
        <f>SUMIFS(df_bloqueios_judiciais!G:G,df_bloqueios_judiciais!D:D,Conciliacao!A97,df_bloqueios_judiciais!G:G,"&gt;0")</f>
        <v/>
      </c>
      <c r="H97" s="7">
        <f>SUMIFS(df_extratos!I:I,df_extratos!F:F,Conciliacao!BE97,df_extratos!G:G,"CREDITO")+SUMIFS(df_extratos!I:I,df_extratos!F:F,Conciliacao!A97,df_extratos!G:G,"CREDITO")+SUMIFS(df_extratos!I:I,df_extratos!F:F,Conciliacao!BF97,df_extratos!G:G,"CREDITO")+SUMIFS(df_extratos!I:I,df_extratos!F:F,Conciliacao!BG97,df_extratos!G:G,"CREDITO")+SUMIFS(df_extratos!I:I,df_extratos!F:F,Conciliacao!BH97,df_extratos!G:G,"CREDITO")</f>
        <v/>
      </c>
      <c r="I97" s="9">
        <f>H97-SUM(B97:G97)</f>
        <v/>
      </c>
      <c r="J97" s="4">
        <f>SUMIFS(df_blueme_sem_parcelamento!E:E,df_blueme_sem_parcelamento!H:H,Conciliacao!A97)*(-1)</f>
        <v/>
      </c>
      <c r="K97" s="4">
        <f>SUMIFS(df_blueme_com_parcelamento!J:J,df_blueme_com_parcelamento!M:M,Conciliacao!A97)*(-1)</f>
        <v/>
      </c>
      <c r="L97" s="4">
        <f>SUMIFS(df_mutuos!N:N,df_mutuos!B:B,Conciliacao!A97)*(-1)</f>
        <v/>
      </c>
      <c r="M97" s="8">
        <f>SUMIFS(df_bloqueios_judiciais!G:G,df_bloqueios_judiciais!D:D,Conciliacao!A97,df_bloqueios_judiciais!G:G,"&lt;0")</f>
        <v/>
      </c>
      <c r="N97" s="10">
        <f>SUMIFS(df_extratos!I:I,df_extratos!F:F,Conciliacao!BE97,df_extratos!G:G,"DEBITO")+SUMIFS(df_extratos!I:I,df_extratos!F:F,Conciliacao!A97,df_extratos!G:G,"DEBITO")+SUMIFS(df_extratos!I:I,df_extratos!F:F,Conciliacao!BF97,df_extratos!G:G,"DEBITO")+SUMIFS(df_extratos!I:I,df_extratos!F:F,Conciliacao!BG97,df_extratos!G:G,"DEBITO")+SUMIFS(df_extratos!I:I,df_extratos!F:F,Conciliacao!BH97,df_extratos!G:G,"DEBITO")</f>
        <v/>
      </c>
      <c r="O97" s="11">
        <f>N97-SUM(J97:M97)</f>
        <v/>
      </c>
      <c r="P97" s="25">
        <f>SUMIFS(df_ajustes_conciliaco!D:D,df_ajustes_conciliaco!C:C,Conciliacao!A97)</f>
        <v/>
      </c>
      <c r="Q97" s="22">
        <f>O97+I97-P97</f>
        <v/>
      </c>
      <c r="BE97" s="20" t="n">
        <v>45753.5</v>
      </c>
      <c r="BF97" s="20" t="n">
        <v>45753.125</v>
      </c>
      <c r="BG97" s="20" t="n">
        <v>45753.54166666666</v>
      </c>
      <c r="BH97" s="20" t="n">
        <v>45753.625</v>
      </c>
    </row>
    <row r="98">
      <c r="A98" s="5">
        <f>A97+1</f>
        <v/>
      </c>
      <c r="B98" s="3">
        <f>-SUMIFS(df_extrato_zig!G:G,df_extrato_zig!E:E,Conciliacao!A98,df_extrato_zig!D:D,"Saque")-SUMIFS(df_extrato_zig!G:G,df_extrato_zig!E:E,Conciliacao!A98,df_extrato_zig!D:D,"Antecipação")</f>
        <v/>
      </c>
      <c r="C98" s="3">
        <f>SUMIFS(df_extrato_zig!E:E,df_extrato_zig!L:L,Conciliacao!A98,df_extrato_zig!F:F,"DINHEIRO")</f>
        <v/>
      </c>
      <c r="D98" s="3">
        <f>SUMIFS(view_parc_agrup!H:H,view_parc_agrup!G:G,Conciliacao!A98)</f>
        <v/>
      </c>
      <c r="E98" s="3">
        <f>SUMIFS(df_eventos!F:F,df_eventos!H:H,Conciliacao!A98)</f>
        <v/>
      </c>
      <c r="F98" s="3">
        <f>SUMIFS(df_mutuos!M:M,df_mutuos!B:B,Conciliacao!A98)</f>
        <v/>
      </c>
      <c r="G98" s="6">
        <f>SUMIFS(df_bloqueios_judiciais!G:G,df_bloqueios_judiciais!D:D,Conciliacao!A98,df_bloqueios_judiciais!G:G,"&gt;0")</f>
        <v/>
      </c>
      <c r="H98" s="7">
        <f>SUMIFS(df_extratos!I:I,df_extratos!F:F,Conciliacao!BE98,df_extratos!G:G,"CREDITO")+SUMIFS(df_extratos!I:I,df_extratos!F:F,Conciliacao!A98,df_extratos!G:G,"CREDITO")+SUMIFS(df_extratos!I:I,df_extratos!F:F,Conciliacao!BF98,df_extratos!G:G,"CREDITO")+SUMIFS(df_extratos!I:I,df_extratos!F:F,Conciliacao!BG98,df_extratos!G:G,"CREDITO")+SUMIFS(df_extratos!I:I,df_extratos!F:F,Conciliacao!BH98,df_extratos!G:G,"CREDITO")</f>
        <v/>
      </c>
      <c r="I98" s="9">
        <f>H98-SUM(B98:G98)</f>
        <v/>
      </c>
      <c r="J98" s="4">
        <f>SUMIFS(df_blueme_sem_parcelamento!E:E,df_blueme_sem_parcelamento!H:H,Conciliacao!A98)*(-1)</f>
        <v/>
      </c>
      <c r="K98" s="4">
        <f>SUMIFS(df_blueme_com_parcelamento!J:J,df_blueme_com_parcelamento!M:M,Conciliacao!A98)*(-1)</f>
        <v/>
      </c>
      <c r="L98" s="4">
        <f>SUMIFS(df_mutuos!N:N,df_mutuos!B:B,Conciliacao!A98)*(-1)</f>
        <v/>
      </c>
      <c r="M98" s="8">
        <f>SUMIFS(df_bloqueios_judiciais!G:G,df_bloqueios_judiciais!D:D,Conciliacao!A98,df_bloqueios_judiciais!G:G,"&lt;0")</f>
        <v/>
      </c>
      <c r="N98" s="10">
        <f>SUMIFS(df_extratos!I:I,df_extratos!F:F,Conciliacao!BE98,df_extratos!G:G,"DEBITO")+SUMIFS(df_extratos!I:I,df_extratos!F:F,Conciliacao!A98,df_extratos!G:G,"DEBITO")+SUMIFS(df_extratos!I:I,df_extratos!F:F,Conciliacao!BF98,df_extratos!G:G,"DEBITO")+SUMIFS(df_extratos!I:I,df_extratos!F:F,Conciliacao!BG98,df_extratos!G:G,"DEBITO")+SUMIFS(df_extratos!I:I,df_extratos!F:F,Conciliacao!BH98,df_extratos!G:G,"DEBITO")</f>
        <v/>
      </c>
      <c r="O98" s="11">
        <f>N98-SUM(J98:M98)</f>
        <v/>
      </c>
      <c r="P98" s="25">
        <f>SUMIFS(df_ajustes_conciliaco!D:D,df_ajustes_conciliaco!C:C,Conciliacao!A98)</f>
        <v/>
      </c>
      <c r="Q98" s="22">
        <f>O98+I98-P98</f>
        <v/>
      </c>
      <c r="BE98" s="20" t="n">
        <v>45754.5</v>
      </c>
      <c r="BF98" s="20" t="n">
        <v>45754.125</v>
      </c>
      <c r="BG98" s="20" t="n">
        <v>45754.54166666666</v>
      </c>
      <c r="BH98" s="20" t="n">
        <v>45754.625</v>
      </c>
    </row>
    <row r="99">
      <c r="A99" s="5">
        <f>A98+1</f>
        <v/>
      </c>
      <c r="B99" s="3">
        <f>-SUMIFS(df_extrato_zig!G:G,df_extrato_zig!E:E,Conciliacao!A99,df_extrato_zig!D:D,"Saque")-SUMIFS(df_extrato_zig!G:G,df_extrato_zig!E:E,Conciliacao!A99,df_extrato_zig!D:D,"Antecipação")</f>
        <v/>
      </c>
      <c r="C99" s="3">
        <f>SUMIFS(df_extrato_zig!E:E,df_extrato_zig!L:L,Conciliacao!A99,df_extrato_zig!F:F,"DINHEIRO")</f>
        <v/>
      </c>
      <c r="D99" s="3">
        <f>SUMIFS(view_parc_agrup!H:H,view_parc_agrup!G:G,Conciliacao!A99)</f>
        <v/>
      </c>
      <c r="E99" s="3">
        <f>SUMIFS(df_eventos!F:F,df_eventos!H:H,Conciliacao!A99)</f>
        <v/>
      </c>
      <c r="F99" s="3">
        <f>SUMIFS(df_mutuos!M:M,df_mutuos!B:B,Conciliacao!A99)</f>
        <v/>
      </c>
      <c r="G99" s="6">
        <f>SUMIFS(df_bloqueios_judiciais!G:G,df_bloqueios_judiciais!D:D,Conciliacao!A99,df_bloqueios_judiciais!G:G,"&gt;0")</f>
        <v/>
      </c>
      <c r="H99" s="7">
        <f>SUMIFS(df_extratos!I:I,df_extratos!F:F,Conciliacao!BE99,df_extratos!G:G,"CREDITO")+SUMIFS(df_extratos!I:I,df_extratos!F:F,Conciliacao!A99,df_extratos!G:G,"CREDITO")+SUMIFS(df_extratos!I:I,df_extratos!F:F,Conciliacao!BF99,df_extratos!G:G,"CREDITO")+SUMIFS(df_extratos!I:I,df_extratos!F:F,Conciliacao!BG99,df_extratos!G:G,"CREDITO")+SUMIFS(df_extratos!I:I,df_extratos!F:F,Conciliacao!BH99,df_extratos!G:G,"CREDITO")</f>
        <v/>
      </c>
      <c r="I99" s="9">
        <f>H99-SUM(B99:G99)</f>
        <v/>
      </c>
      <c r="J99" s="4">
        <f>SUMIFS(df_blueme_sem_parcelamento!E:E,df_blueme_sem_parcelamento!H:H,Conciliacao!A99)*(-1)</f>
        <v/>
      </c>
      <c r="K99" s="4">
        <f>SUMIFS(df_blueme_com_parcelamento!J:J,df_blueme_com_parcelamento!M:M,Conciliacao!A99)*(-1)</f>
        <v/>
      </c>
      <c r="L99" s="4">
        <f>SUMIFS(df_mutuos!N:N,df_mutuos!B:B,Conciliacao!A99)*(-1)</f>
        <v/>
      </c>
      <c r="M99" s="8">
        <f>SUMIFS(df_bloqueios_judiciais!G:G,df_bloqueios_judiciais!D:D,Conciliacao!A99,df_bloqueios_judiciais!G:G,"&lt;0")</f>
        <v/>
      </c>
      <c r="N99" s="10">
        <f>SUMIFS(df_extratos!I:I,df_extratos!F:F,Conciliacao!BE99,df_extratos!G:G,"DEBITO")+SUMIFS(df_extratos!I:I,df_extratos!F:F,Conciliacao!A99,df_extratos!G:G,"DEBITO")+SUMIFS(df_extratos!I:I,df_extratos!F:F,Conciliacao!BF99,df_extratos!G:G,"DEBITO")+SUMIFS(df_extratos!I:I,df_extratos!F:F,Conciliacao!BG99,df_extratos!G:G,"DEBITO")+SUMIFS(df_extratos!I:I,df_extratos!F:F,Conciliacao!BH99,df_extratos!G:G,"DEBITO")</f>
        <v/>
      </c>
      <c r="O99" s="11">
        <f>N99-SUM(J99:M99)</f>
        <v/>
      </c>
      <c r="P99" s="25">
        <f>SUMIFS(df_ajustes_conciliaco!D:D,df_ajustes_conciliaco!C:C,Conciliacao!A99)</f>
        <v/>
      </c>
      <c r="Q99" s="22">
        <f>O99+I99-P99</f>
        <v/>
      </c>
      <c r="BE99" s="20" t="n">
        <v>45755.5</v>
      </c>
      <c r="BF99" s="20" t="n">
        <v>45755.125</v>
      </c>
      <c r="BG99" s="20" t="n">
        <v>45755.54166666666</v>
      </c>
      <c r="BH99" s="20" t="n">
        <v>45755.625</v>
      </c>
    </row>
    <row r="100">
      <c r="A100" s="5">
        <f>A99+1</f>
        <v/>
      </c>
      <c r="B100" s="3">
        <f>-SUMIFS(df_extrato_zig!G:G,df_extrato_zig!E:E,Conciliacao!A100,df_extrato_zig!D:D,"Saque")-SUMIFS(df_extrato_zig!G:G,df_extrato_zig!E:E,Conciliacao!A100,df_extrato_zig!D:D,"Antecipação")</f>
        <v/>
      </c>
      <c r="C100" s="3">
        <f>SUMIFS(df_extrato_zig!E:E,df_extrato_zig!L:L,Conciliacao!A100,df_extrato_zig!F:F,"DINHEIRO")</f>
        <v/>
      </c>
      <c r="D100" s="3">
        <f>SUMIFS(view_parc_agrup!H:H,view_parc_agrup!G:G,Conciliacao!A100)</f>
        <v/>
      </c>
      <c r="E100" s="3">
        <f>SUMIFS(df_eventos!F:F,df_eventos!H:H,Conciliacao!A100)</f>
        <v/>
      </c>
      <c r="F100" s="3">
        <f>SUMIFS(df_mutuos!M:M,df_mutuos!B:B,Conciliacao!A100)</f>
        <v/>
      </c>
      <c r="G100" s="6">
        <f>SUMIFS(df_bloqueios_judiciais!G:G,df_bloqueios_judiciais!D:D,Conciliacao!A100,df_bloqueios_judiciais!G:G,"&gt;0")</f>
        <v/>
      </c>
      <c r="H100" s="7">
        <f>SUMIFS(df_extratos!I:I,df_extratos!F:F,Conciliacao!BE100,df_extratos!G:G,"CREDITO")+SUMIFS(df_extratos!I:I,df_extratos!F:F,Conciliacao!A100,df_extratos!G:G,"CREDITO")+SUMIFS(df_extratos!I:I,df_extratos!F:F,Conciliacao!BF100,df_extratos!G:G,"CREDITO")+SUMIFS(df_extratos!I:I,df_extratos!F:F,Conciliacao!BG100,df_extratos!G:G,"CREDITO")+SUMIFS(df_extratos!I:I,df_extratos!F:F,Conciliacao!BH100,df_extratos!G:G,"CREDITO")</f>
        <v/>
      </c>
      <c r="I100" s="9">
        <f>H100-SUM(B100:G100)</f>
        <v/>
      </c>
      <c r="J100" s="4">
        <f>SUMIFS(df_blueme_sem_parcelamento!E:E,df_blueme_sem_parcelamento!H:H,Conciliacao!A100)*(-1)</f>
        <v/>
      </c>
      <c r="K100" s="4">
        <f>SUMIFS(df_blueme_com_parcelamento!J:J,df_blueme_com_parcelamento!M:M,Conciliacao!A100)*(-1)</f>
        <v/>
      </c>
      <c r="L100" s="4">
        <f>SUMIFS(df_mutuos!N:N,df_mutuos!B:B,Conciliacao!A100)*(-1)</f>
        <v/>
      </c>
      <c r="M100" s="8">
        <f>SUMIFS(df_bloqueios_judiciais!G:G,df_bloqueios_judiciais!D:D,Conciliacao!A100,df_bloqueios_judiciais!G:G,"&lt;0")</f>
        <v/>
      </c>
      <c r="N100" s="10">
        <f>SUMIFS(df_extratos!I:I,df_extratos!F:F,Conciliacao!BE100,df_extratos!G:G,"DEBITO")+SUMIFS(df_extratos!I:I,df_extratos!F:F,Conciliacao!A100,df_extratos!G:G,"DEBITO")+SUMIFS(df_extratos!I:I,df_extratos!F:F,Conciliacao!BF100,df_extratos!G:G,"DEBITO")+SUMIFS(df_extratos!I:I,df_extratos!F:F,Conciliacao!BG100,df_extratos!G:G,"DEBITO")+SUMIFS(df_extratos!I:I,df_extratos!F:F,Conciliacao!BH100,df_extratos!G:G,"DEBITO")</f>
        <v/>
      </c>
      <c r="O100" s="11">
        <f>N100-SUM(J100:M100)</f>
        <v/>
      </c>
      <c r="P100" s="25">
        <f>SUMIFS(df_ajustes_conciliaco!D:D,df_ajustes_conciliaco!C:C,Conciliacao!A100)</f>
        <v/>
      </c>
      <c r="Q100" s="22">
        <f>O100+I100-P100</f>
        <v/>
      </c>
      <c r="BE100" s="20" t="n">
        <v>45756.5</v>
      </c>
      <c r="BF100" s="20" t="n">
        <v>45756.125</v>
      </c>
      <c r="BG100" s="20" t="n">
        <v>45756.54166666666</v>
      </c>
      <c r="BH100" s="20" t="n">
        <v>45756.625</v>
      </c>
    </row>
    <row r="101">
      <c r="A101" s="5">
        <f>A100+1</f>
        <v/>
      </c>
      <c r="B101" s="3">
        <f>-SUMIFS(df_extrato_zig!G:G,df_extrato_zig!E:E,Conciliacao!A101,df_extrato_zig!D:D,"Saque")-SUMIFS(df_extrato_zig!G:G,df_extrato_zig!E:E,Conciliacao!A101,df_extrato_zig!D:D,"Antecipação")</f>
        <v/>
      </c>
      <c r="C101" s="3">
        <f>SUMIFS(df_extrato_zig!E:E,df_extrato_zig!L:L,Conciliacao!A101,df_extrato_zig!F:F,"DINHEIRO")</f>
        <v/>
      </c>
      <c r="D101" s="3">
        <f>SUMIFS(view_parc_agrup!H:H,view_parc_agrup!G:G,Conciliacao!A101)</f>
        <v/>
      </c>
      <c r="E101" s="3">
        <f>SUMIFS(df_eventos!F:F,df_eventos!H:H,Conciliacao!A101)</f>
        <v/>
      </c>
      <c r="F101" s="3">
        <f>SUMIFS(df_mutuos!M:M,df_mutuos!B:B,Conciliacao!A101)</f>
        <v/>
      </c>
      <c r="G101" s="6">
        <f>SUMIFS(df_bloqueios_judiciais!G:G,df_bloqueios_judiciais!D:D,Conciliacao!A101,df_bloqueios_judiciais!G:G,"&gt;0")</f>
        <v/>
      </c>
      <c r="H101" s="7">
        <f>SUMIFS(df_extratos!I:I,df_extratos!F:F,Conciliacao!BE101,df_extratos!G:G,"CREDITO")+SUMIFS(df_extratos!I:I,df_extratos!F:F,Conciliacao!A101,df_extratos!G:G,"CREDITO")+SUMIFS(df_extratos!I:I,df_extratos!F:F,Conciliacao!BF101,df_extratos!G:G,"CREDITO")+SUMIFS(df_extratos!I:I,df_extratos!F:F,Conciliacao!BG101,df_extratos!G:G,"CREDITO")+SUMIFS(df_extratos!I:I,df_extratos!F:F,Conciliacao!BH101,df_extratos!G:G,"CREDITO")</f>
        <v/>
      </c>
      <c r="I101" s="9">
        <f>H101-SUM(B101:G101)</f>
        <v/>
      </c>
      <c r="J101" s="4">
        <f>SUMIFS(df_blueme_sem_parcelamento!E:E,df_blueme_sem_parcelamento!H:H,Conciliacao!A101)*(-1)</f>
        <v/>
      </c>
      <c r="K101" s="4">
        <f>SUMIFS(df_blueme_com_parcelamento!J:J,df_blueme_com_parcelamento!M:M,Conciliacao!A101)*(-1)</f>
        <v/>
      </c>
      <c r="L101" s="4">
        <f>SUMIFS(df_mutuos!N:N,df_mutuos!B:B,Conciliacao!A101)*(-1)</f>
        <v/>
      </c>
      <c r="M101" s="8">
        <f>SUMIFS(df_bloqueios_judiciais!G:G,df_bloqueios_judiciais!D:D,Conciliacao!A101,df_bloqueios_judiciais!G:G,"&lt;0")</f>
        <v/>
      </c>
      <c r="N101" s="10">
        <f>SUMIFS(df_extratos!I:I,df_extratos!F:F,Conciliacao!BE101,df_extratos!G:G,"DEBITO")+SUMIFS(df_extratos!I:I,df_extratos!F:F,Conciliacao!A101,df_extratos!G:G,"DEBITO")+SUMIFS(df_extratos!I:I,df_extratos!F:F,Conciliacao!BF101,df_extratos!G:G,"DEBITO")+SUMIFS(df_extratos!I:I,df_extratos!F:F,Conciliacao!BG101,df_extratos!G:G,"DEBITO")+SUMIFS(df_extratos!I:I,df_extratos!F:F,Conciliacao!BH101,df_extratos!G:G,"DEBITO")</f>
        <v/>
      </c>
      <c r="O101" s="11">
        <f>N101-SUM(J101:M101)</f>
        <v/>
      </c>
      <c r="P101" s="25">
        <f>SUMIFS(df_ajustes_conciliaco!D:D,df_ajustes_conciliaco!C:C,Conciliacao!A101)</f>
        <v/>
      </c>
      <c r="Q101" s="22">
        <f>O101+I101-P101</f>
        <v/>
      </c>
      <c r="BE101" s="20" t="n">
        <v>45757.5</v>
      </c>
      <c r="BF101" s="20" t="n">
        <v>45757.125</v>
      </c>
      <c r="BG101" s="20" t="n">
        <v>45757.54166666666</v>
      </c>
      <c r="BH101" s="20" t="n">
        <v>45757.625</v>
      </c>
    </row>
    <row r="102">
      <c r="A102" s="5">
        <f>A101+1</f>
        <v/>
      </c>
      <c r="B102" s="3">
        <f>-SUMIFS(df_extrato_zig!G:G,df_extrato_zig!E:E,Conciliacao!A102,df_extrato_zig!D:D,"Saque")-SUMIFS(df_extrato_zig!G:G,df_extrato_zig!E:E,Conciliacao!A102,df_extrato_zig!D:D,"Antecipação")</f>
        <v/>
      </c>
      <c r="C102" s="3">
        <f>SUMIFS(df_extrato_zig!E:E,df_extrato_zig!L:L,Conciliacao!A102,df_extrato_zig!F:F,"DINHEIRO")</f>
        <v/>
      </c>
      <c r="D102" s="3">
        <f>SUMIFS(view_parc_agrup!H:H,view_parc_agrup!G:G,Conciliacao!A102)</f>
        <v/>
      </c>
      <c r="E102" s="3">
        <f>SUMIFS(df_eventos!F:F,df_eventos!H:H,Conciliacao!A102)</f>
        <v/>
      </c>
      <c r="F102" s="3">
        <f>SUMIFS(df_mutuos!M:M,df_mutuos!B:B,Conciliacao!A102)</f>
        <v/>
      </c>
      <c r="G102" s="6">
        <f>SUMIFS(df_bloqueios_judiciais!G:G,df_bloqueios_judiciais!D:D,Conciliacao!A102,df_bloqueios_judiciais!G:G,"&gt;0")</f>
        <v/>
      </c>
      <c r="H102" s="7">
        <f>SUMIFS(df_extratos!I:I,df_extratos!F:F,Conciliacao!BE102,df_extratos!G:G,"CREDITO")+SUMIFS(df_extratos!I:I,df_extratos!F:F,Conciliacao!A102,df_extratos!G:G,"CREDITO")+SUMIFS(df_extratos!I:I,df_extratos!F:F,Conciliacao!BF102,df_extratos!G:G,"CREDITO")+SUMIFS(df_extratos!I:I,df_extratos!F:F,Conciliacao!BG102,df_extratos!G:G,"CREDITO")+SUMIFS(df_extratos!I:I,df_extratos!F:F,Conciliacao!BH102,df_extratos!G:G,"CREDITO")</f>
        <v/>
      </c>
      <c r="I102" s="9">
        <f>H102-SUM(B102:G102)</f>
        <v/>
      </c>
      <c r="J102" s="4">
        <f>SUMIFS(df_blueme_sem_parcelamento!E:E,df_blueme_sem_parcelamento!H:H,Conciliacao!A102)*(-1)</f>
        <v/>
      </c>
      <c r="K102" s="4">
        <f>SUMIFS(df_blueme_com_parcelamento!J:J,df_blueme_com_parcelamento!M:M,Conciliacao!A102)*(-1)</f>
        <v/>
      </c>
      <c r="L102" s="4">
        <f>SUMIFS(df_mutuos!N:N,df_mutuos!B:B,Conciliacao!A102)*(-1)</f>
        <v/>
      </c>
      <c r="M102" s="8">
        <f>SUMIFS(df_bloqueios_judiciais!G:G,df_bloqueios_judiciais!D:D,Conciliacao!A102,df_bloqueios_judiciais!G:G,"&lt;0")</f>
        <v/>
      </c>
      <c r="N102" s="10">
        <f>SUMIFS(df_extratos!I:I,df_extratos!F:F,Conciliacao!BE102,df_extratos!G:G,"DEBITO")+SUMIFS(df_extratos!I:I,df_extratos!F:F,Conciliacao!A102,df_extratos!G:G,"DEBITO")+SUMIFS(df_extratos!I:I,df_extratos!F:F,Conciliacao!BF102,df_extratos!G:G,"DEBITO")+SUMIFS(df_extratos!I:I,df_extratos!F:F,Conciliacao!BG102,df_extratos!G:G,"DEBITO")+SUMIFS(df_extratos!I:I,df_extratos!F:F,Conciliacao!BH102,df_extratos!G:G,"DEBITO")</f>
        <v/>
      </c>
      <c r="O102" s="11">
        <f>N102-SUM(J102:M102)</f>
        <v/>
      </c>
      <c r="P102" s="25">
        <f>SUMIFS(df_ajustes_conciliaco!D:D,df_ajustes_conciliaco!C:C,Conciliacao!A102)</f>
        <v/>
      </c>
      <c r="Q102" s="22">
        <f>O102+I102-P102</f>
        <v/>
      </c>
      <c r="BE102" s="20" t="n">
        <v>45758.5</v>
      </c>
      <c r="BF102" s="20" t="n">
        <v>45758.125</v>
      </c>
      <c r="BG102" s="20" t="n">
        <v>45758.54166666666</v>
      </c>
      <c r="BH102" s="20" t="n">
        <v>45758.625</v>
      </c>
    </row>
    <row r="103">
      <c r="A103" s="5">
        <f>A102+1</f>
        <v/>
      </c>
      <c r="B103" s="3">
        <f>-SUMIFS(df_extrato_zig!G:G,df_extrato_zig!E:E,Conciliacao!A103,df_extrato_zig!D:D,"Saque")-SUMIFS(df_extrato_zig!G:G,df_extrato_zig!E:E,Conciliacao!A103,df_extrato_zig!D:D,"Antecipação")</f>
        <v/>
      </c>
      <c r="C103" s="3">
        <f>SUMIFS(df_extrato_zig!E:E,df_extrato_zig!L:L,Conciliacao!A103,df_extrato_zig!F:F,"DINHEIRO")</f>
        <v/>
      </c>
      <c r="D103" s="3">
        <f>SUMIFS(view_parc_agrup!H:H,view_parc_agrup!G:G,Conciliacao!A103)</f>
        <v/>
      </c>
      <c r="E103" s="3">
        <f>SUMIFS(df_eventos!F:F,df_eventos!H:H,Conciliacao!A103)</f>
        <v/>
      </c>
      <c r="F103" s="3">
        <f>SUMIFS(df_mutuos!M:M,df_mutuos!B:B,Conciliacao!A103)</f>
        <v/>
      </c>
      <c r="G103" s="6">
        <f>SUMIFS(df_bloqueios_judiciais!G:G,df_bloqueios_judiciais!D:D,Conciliacao!A103,df_bloqueios_judiciais!G:G,"&gt;0")</f>
        <v/>
      </c>
      <c r="H103" s="7">
        <f>SUMIFS(df_extratos!I:I,df_extratos!F:F,Conciliacao!BE103,df_extratos!G:G,"CREDITO")+SUMIFS(df_extratos!I:I,df_extratos!F:F,Conciliacao!A103,df_extratos!G:G,"CREDITO")+SUMIFS(df_extratos!I:I,df_extratos!F:F,Conciliacao!BF103,df_extratos!G:G,"CREDITO")+SUMIFS(df_extratos!I:I,df_extratos!F:F,Conciliacao!BG103,df_extratos!G:G,"CREDITO")+SUMIFS(df_extratos!I:I,df_extratos!F:F,Conciliacao!BH103,df_extratos!G:G,"CREDITO")</f>
        <v/>
      </c>
      <c r="I103" s="9">
        <f>H103-SUM(B103:G103)</f>
        <v/>
      </c>
      <c r="J103" s="4">
        <f>SUMIFS(df_blueme_sem_parcelamento!E:E,df_blueme_sem_parcelamento!H:H,Conciliacao!A103)*(-1)</f>
        <v/>
      </c>
      <c r="K103" s="4">
        <f>SUMIFS(df_blueme_com_parcelamento!J:J,df_blueme_com_parcelamento!M:M,Conciliacao!A103)*(-1)</f>
        <v/>
      </c>
      <c r="L103" s="4">
        <f>SUMIFS(df_mutuos!N:N,df_mutuos!B:B,Conciliacao!A103)*(-1)</f>
        <v/>
      </c>
      <c r="M103" s="8">
        <f>SUMIFS(df_bloqueios_judiciais!G:G,df_bloqueios_judiciais!D:D,Conciliacao!A103,df_bloqueios_judiciais!G:G,"&lt;0")</f>
        <v/>
      </c>
      <c r="N103" s="10">
        <f>SUMIFS(df_extratos!I:I,df_extratos!F:F,Conciliacao!BE103,df_extratos!G:G,"DEBITO")+SUMIFS(df_extratos!I:I,df_extratos!F:F,Conciliacao!A103,df_extratos!G:G,"DEBITO")+SUMIFS(df_extratos!I:I,df_extratos!F:F,Conciliacao!BF103,df_extratos!G:G,"DEBITO")+SUMIFS(df_extratos!I:I,df_extratos!F:F,Conciliacao!BG103,df_extratos!G:G,"DEBITO")+SUMIFS(df_extratos!I:I,df_extratos!F:F,Conciliacao!BH103,df_extratos!G:G,"DEBITO")</f>
        <v/>
      </c>
      <c r="O103" s="11">
        <f>N103-SUM(J103:M103)</f>
        <v/>
      </c>
      <c r="P103" s="25">
        <f>SUMIFS(df_ajustes_conciliaco!D:D,df_ajustes_conciliaco!C:C,Conciliacao!A103)</f>
        <v/>
      </c>
      <c r="Q103" s="22">
        <f>O103+I103-P103</f>
        <v/>
      </c>
      <c r="BE103" s="20" t="n">
        <v>45759.5</v>
      </c>
      <c r="BF103" s="20" t="n">
        <v>45759.125</v>
      </c>
      <c r="BG103" s="20" t="n">
        <v>45759.54166666666</v>
      </c>
      <c r="BH103" s="20" t="n">
        <v>45759.625</v>
      </c>
    </row>
    <row r="104">
      <c r="A104" s="5">
        <f>A103+1</f>
        <v/>
      </c>
      <c r="B104" s="3">
        <f>-SUMIFS(df_extrato_zig!G:G,df_extrato_zig!E:E,Conciliacao!A104,df_extrato_zig!D:D,"Saque")-SUMIFS(df_extrato_zig!G:G,df_extrato_zig!E:E,Conciliacao!A104,df_extrato_zig!D:D,"Antecipação")</f>
        <v/>
      </c>
      <c r="C104" s="3">
        <f>SUMIFS(df_extrato_zig!E:E,df_extrato_zig!L:L,Conciliacao!A104,df_extrato_zig!F:F,"DINHEIRO")</f>
        <v/>
      </c>
      <c r="D104" s="3">
        <f>SUMIFS(view_parc_agrup!H:H,view_parc_agrup!G:G,Conciliacao!A104)</f>
        <v/>
      </c>
      <c r="E104" s="3">
        <f>SUMIFS(df_eventos!F:F,df_eventos!H:H,Conciliacao!A104)</f>
        <v/>
      </c>
      <c r="F104" s="3">
        <f>SUMIFS(df_mutuos!M:M,df_mutuos!B:B,Conciliacao!A104)</f>
        <v/>
      </c>
      <c r="G104" s="6">
        <f>SUMIFS(df_bloqueios_judiciais!G:G,df_bloqueios_judiciais!D:D,Conciliacao!A104,df_bloqueios_judiciais!G:G,"&gt;0")</f>
        <v/>
      </c>
      <c r="H104" s="7">
        <f>SUMIFS(df_extratos!I:I,df_extratos!F:F,Conciliacao!BE104,df_extratos!G:G,"CREDITO")+SUMIFS(df_extratos!I:I,df_extratos!F:F,Conciliacao!A104,df_extratos!G:G,"CREDITO")+SUMIFS(df_extratos!I:I,df_extratos!F:F,Conciliacao!BF104,df_extratos!G:G,"CREDITO")+SUMIFS(df_extratos!I:I,df_extratos!F:F,Conciliacao!BG104,df_extratos!G:G,"CREDITO")+SUMIFS(df_extratos!I:I,df_extratos!F:F,Conciliacao!BH104,df_extratos!G:G,"CREDITO")</f>
        <v/>
      </c>
      <c r="I104" s="9">
        <f>H104-SUM(B104:G104)</f>
        <v/>
      </c>
      <c r="J104" s="4">
        <f>SUMIFS(df_blueme_sem_parcelamento!E:E,df_blueme_sem_parcelamento!H:H,Conciliacao!A104)*(-1)</f>
        <v/>
      </c>
      <c r="K104" s="4">
        <f>SUMIFS(df_blueme_com_parcelamento!J:J,df_blueme_com_parcelamento!M:M,Conciliacao!A104)*(-1)</f>
        <v/>
      </c>
      <c r="L104" s="4">
        <f>SUMIFS(df_mutuos!N:N,df_mutuos!B:B,Conciliacao!A104)*(-1)</f>
        <v/>
      </c>
      <c r="M104" s="8">
        <f>SUMIFS(df_bloqueios_judiciais!G:G,df_bloqueios_judiciais!D:D,Conciliacao!A104,df_bloqueios_judiciais!G:G,"&lt;0")</f>
        <v/>
      </c>
      <c r="N104" s="10">
        <f>SUMIFS(df_extratos!I:I,df_extratos!F:F,Conciliacao!BE104,df_extratos!G:G,"DEBITO")+SUMIFS(df_extratos!I:I,df_extratos!F:F,Conciliacao!A104,df_extratos!G:G,"DEBITO")+SUMIFS(df_extratos!I:I,df_extratos!F:F,Conciliacao!BF104,df_extratos!G:G,"DEBITO")+SUMIFS(df_extratos!I:I,df_extratos!F:F,Conciliacao!BG104,df_extratos!G:G,"DEBITO")+SUMIFS(df_extratos!I:I,df_extratos!F:F,Conciliacao!BH104,df_extratos!G:G,"DEBITO")</f>
        <v/>
      </c>
      <c r="O104" s="11">
        <f>N104-SUM(J104:M104)</f>
        <v/>
      </c>
      <c r="P104" s="25">
        <f>SUMIFS(df_ajustes_conciliaco!D:D,df_ajustes_conciliaco!C:C,Conciliacao!A104)</f>
        <v/>
      </c>
      <c r="Q104" s="22">
        <f>O104+I104-P104</f>
        <v/>
      </c>
      <c r="BE104" s="20" t="n">
        <v>45760.5</v>
      </c>
      <c r="BF104" s="20" t="n">
        <v>45760.125</v>
      </c>
      <c r="BG104" s="20" t="n">
        <v>45760.54166666666</v>
      </c>
      <c r="BH104" s="20" t="n">
        <v>45760.625</v>
      </c>
    </row>
    <row r="105">
      <c r="A105" s="5">
        <f>A104+1</f>
        <v/>
      </c>
      <c r="B105" s="3">
        <f>-SUMIFS(df_extrato_zig!G:G,df_extrato_zig!E:E,Conciliacao!A105,df_extrato_zig!D:D,"Saque")-SUMIFS(df_extrato_zig!G:G,df_extrato_zig!E:E,Conciliacao!A105,df_extrato_zig!D:D,"Antecipação")</f>
        <v/>
      </c>
      <c r="C105" s="3">
        <f>SUMIFS(df_extrato_zig!E:E,df_extrato_zig!L:L,Conciliacao!A105,df_extrato_zig!F:F,"DINHEIRO")</f>
        <v/>
      </c>
      <c r="D105" s="3">
        <f>SUMIFS(view_parc_agrup!H:H,view_parc_agrup!G:G,Conciliacao!A105)</f>
        <v/>
      </c>
      <c r="E105" s="3">
        <f>SUMIFS(df_eventos!F:F,df_eventos!H:H,Conciliacao!A105)</f>
        <v/>
      </c>
      <c r="F105" s="3">
        <f>SUMIFS(df_mutuos!M:M,df_mutuos!B:B,Conciliacao!A105)</f>
        <v/>
      </c>
      <c r="G105" s="6">
        <f>SUMIFS(df_bloqueios_judiciais!G:G,df_bloqueios_judiciais!D:D,Conciliacao!A105,df_bloqueios_judiciais!G:G,"&gt;0")</f>
        <v/>
      </c>
      <c r="H105" s="7">
        <f>SUMIFS(df_extratos!I:I,df_extratos!F:F,Conciliacao!BE105,df_extratos!G:G,"CREDITO")+SUMIFS(df_extratos!I:I,df_extratos!F:F,Conciliacao!A105,df_extratos!G:G,"CREDITO")+SUMIFS(df_extratos!I:I,df_extratos!F:F,Conciliacao!BF105,df_extratos!G:G,"CREDITO")+SUMIFS(df_extratos!I:I,df_extratos!F:F,Conciliacao!BG105,df_extratos!G:G,"CREDITO")+SUMIFS(df_extratos!I:I,df_extratos!F:F,Conciliacao!BH105,df_extratos!G:G,"CREDITO")</f>
        <v/>
      </c>
      <c r="I105" s="9">
        <f>H105-SUM(B105:G105)</f>
        <v/>
      </c>
      <c r="J105" s="4">
        <f>SUMIFS(df_blueme_sem_parcelamento!E:E,df_blueme_sem_parcelamento!H:H,Conciliacao!A105)*(-1)</f>
        <v/>
      </c>
      <c r="K105" s="4">
        <f>SUMIFS(df_blueme_com_parcelamento!J:J,df_blueme_com_parcelamento!M:M,Conciliacao!A105)*(-1)</f>
        <v/>
      </c>
      <c r="L105" s="4">
        <f>SUMIFS(df_mutuos!N:N,df_mutuos!B:B,Conciliacao!A105)*(-1)</f>
        <v/>
      </c>
      <c r="M105" s="8">
        <f>SUMIFS(df_bloqueios_judiciais!G:G,df_bloqueios_judiciais!D:D,Conciliacao!A105,df_bloqueios_judiciais!G:G,"&lt;0")</f>
        <v/>
      </c>
      <c r="N105" s="10">
        <f>SUMIFS(df_extratos!I:I,df_extratos!F:F,Conciliacao!BE105,df_extratos!G:G,"DEBITO")+SUMIFS(df_extratos!I:I,df_extratos!F:F,Conciliacao!A105,df_extratos!G:G,"DEBITO")+SUMIFS(df_extratos!I:I,df_extratos!F:F,Conciliacao!BF105,df_extratos!G:G,"DEBITO")+SUMIFS(df_extratos!I:I,df_extratos!F:F,Conciliacao!BG105,df_extratos!G:G,"DEBITO")+SUMIFS(df_extratos!I:I,df_extratos!F:F,Conciliacao!BH105,df_extratos!G:G,"DEBITO")</f>
        <v/>
      </c>
      <c r="O105" s="11">
        <f>N105-SUM(J105:M105)</f>
        <v/>
      </c>
      <c r="P105" s="25">
        <f>SUMIFS(df_ajustes_conciliaco!D:D,df_ajustes_conciliaco!C:C,Conciliacao!A105)</f>
        <v/>
      </c>
      <c r="Q105" s="22">
        <f>O105+I105-P105</f>
        <v/>
      </c>
      <c r="BE105" s="20" t="n">
        <v>45761.5</v>
      </c>
      <c r="BF105" s="20" t="n">
        <v>45761.125</v>
      </c>
      <c r="BG105" s="20" t="n">
        <v>45761.54166666666</v>
      </c>
      <c r="BH105" s="20" t="n">
        <v>45761.625</v>
      </c>
    </row>
    <row r="106">
      <c r="A106" s="5">
        <f>A105+1</f>
        <v/>
      </c>
      <c r="B106" s="3">
        <f>-SUMIFS(df_extrato_zig!G:G,df_extrato_zig!E:E,Conciliacao!A106,df_extrato_zig!D:D,"Saque")-SUMIFS(df_extrato_zig!G:G,df_extrato_zig!E:E,Conciliacao!A106,df_extrato_zig!D:D,"Antecipação")</f>
        <v/>
      </c>
      <c r="C106" s="3">
        <f>SUMIFS(df_extrato_zig!E:E,df_extrato_zig!L:L,Conciliacao!A106,df_extrato_zig!F:F,"DINHEIRO")</f>
        <v/>
      </c>
      <c r="D106" s="3">
        <f>SUMIFS(view_parc_agrup!H:H,view_parc_agrup!G:G,Conciliacao!A106)</f>
        <v/>
      </c>
      <c r="E106" s="3">
        <f>SUMIFS(df_eventos!F:F,df_eventos!H:H,Conciliacao!A106)</f>
        <v/>
      </c>
      <c r="F106" s="3">
        <f>SUMIFS(df_mutuos!M:M,df_mutuos!B:B,Conciliacao!A106)</f>
        <v/>
      </c>
      <c r="G106" s="6">
        <f>SUMIFS(df_bloqueios_judiciais!G:G,df_bloqueios_judiciais!D:D,Conciliacao!A106,df_bloqueios_judiciais!G:G,"&gt;0")</f>
        <v/>
      </c>
      <c r="H106" s="7">
        <f>SUMIFS(df_extratos!I:I,df_extratos!F:F,Conciliacao!BE106,df_extratos!G:G,"CREDITO")+SUMIFS(df_extratos!I:I,df_extratos!F:F,Conciliacao!A106,df_extratos!G:G,"CREDITO")+SUMIFS(df_extratos!I:I,df_extratos!F:F,Conciliacao!BF106,df_extratos!G:G,"CREDITO")+SUMIFS(df_extratos!I:I,df_extratos!F:F,Conciliacao!BG106,df_extratos!G:G,"CREDITO")+SUMIFS(df_extratos!I:I,df_extratos!F:F,Conciliacao!BH106,df_extratos!G:G,"CREDITO")</f>
        <v/>
      </c>
      <c r="I106" s="9">
        <f>H106-SUM(B106:G106)</f>
        <v/>
      </c>
      <c r="J106" s="4">
        <f>SUMIFS(df_blueme_sem_parcelamento!E:E,df_blueme_sem_parcelamento!H:H,Conciliacao!A106)*(-1)</f>
        <v/>
      </c>
      <c r="K106" s="4">
        <f>SUMIFS(df_blueme_com_parcelamento!J:J,df_blueme_com_parcelamento!M:M,Conciliacao!A106)*(-1)</f>
        <v/>
      </c>
      <c r="L106" s="4">
        <f>SUMIFS(df_mutuos!N:N,df_mutuos!B:B,Conciliacao!A106)*(-1)</f>
        <v/>
      </c>
      <c r="M106" s="8">
        <f>SUMIFS(df_bloqueios_judiciais!G:G,df_bloqueios_judiciais!D:D,Conciliacao!A106,df_bloqueios_judiciais!G:G,"&lt;0")</f>
        <v/>
      </c>
      <c r="N106" s="10">
        <f>SUMIFS(df_extratos!I:I,df_extratos!F:F,Conciliacao!BE106,df_extratos!G:G,"DEBITO")+SUMIFS(df_extratos!I:I,df_extratos!F:F,Conciliacao!A106,df_extratos!G:G,"DEBITO")+SUMIFS(df_extratos!I:I,df_extratos!F:F,Conciliacao!BF106,df_extratos!G:G,"DEBITO")+SUMIFS(df_extratos!I:I,df_extratos!F:F,Conciliacao!BG106,df_extratos!G:G,"DEBITO")+SUMIFS(df_extratos!I:I,df_extratos!F:F,Conciliacao!BH106,df_extratos!G:G,"DEBITO")</f>
        <v/>
      </c>
      <c r="O106" s="11">
        <f>N106-SUM(J106:M106)</f>
        <v/>
      </c>
      <c r="P106" s="25">
        <f>SUMIFS(df_ajustes_conciliaco!D:D,df_ajustes_conciliaco!C:C,Conciliacao!A106)</f>
        <v/>
      </c>
      <c r="Q106" s="22">
        <f>O106+I106-P106</f>
        <v/>
      </c>
      <c r="BE106" s="20" t="n">
        <v>45762.5</v>
      </c>
      <c r="BF106" s="20" t="n">
        <v>45762.125</v>
      </c>
      <c r="BG106" s="20" t="n">
        <v>45762.54166666666</v>
      </c>
      <c r="BH106" s="20" t="n">
        <v>45762.625</v>
      </c>
    </row>
    <row r="107">
      <c r="A107" s="5">
        <f>A106+1</f>
        <v/>
      </c>
      <c r="B107" s="3">
        <f>-SUMIFS(df_extrato_zig!G:G,df_extrato_zig!E:E,Conciliacao!A107,df_extrato_zig!D:D,"Saque")-SUMIFS(df_extrato_zig!G:G,df_extrato_zig!E:E,Conciliacao!A107,df_extrato_zig!D:D,"Antecipação")</f>
        <v/>
      </c>
      <c r="C107" s="3">
        <f>SUMIFS(df_extrato_zig!E:E,df_extrato_zig!L:L,Conciliacao!A107,df_extrato_zig!F:F,"DINHEIRO")</f>
        <v/>
      </c>
      <c r="D107" s="3">
        <f>SUMIFS(view_parc_agrup!H:H,view_parc_agrup!G:G,Conciliacao!A107)</f>
        <v/>
      </c>
      <c r="E107" s="3">
        <f>SUMIFS(df_eventos!F:F,df_eventos!H:H,Conciliacao!A107)</f>
        <v/>
      </c>
      <c r="F107" s="3">
        <f>SUMIFS(df_mutuos!M:M,df_mutuos!B:B,Conciliacao!A107)</f>
        <v/>
      </c>
      <c r="G107" s="6">
        <f>SUMIFS(df_bloqueios_judiciais!G:G,df_bloqueios_judiciais!D:D,Conciliacao!A107,df_bloqueios_judiciais!G:G,"&gt;0")</f>
        <v/>
      </c>
      <c r="H107" s="7">
        <f>SUMIFS(df_extratos!I:I,df_extratos!F:F,Conciliacao!BE107,df_extratos!G:G,"CREDITO")+SUMIFS(df_extratos!I:I,df_extratos!F:F,Conciliacao!A107,df_extratos!G:G,"CREDITO")+SUMIFS(df_extratos!I:I,df_extratos!F:F,Conciliacao!BF107,df_extratos!G:G,"CREDITO")+SUMIFS(df_extratos!I:I,df_extratos!F:F,Conciliacao!BG107,df_extratos!G:G,"CREDITO")+SUMIFS(df_extratos!I:I,df_extratos!F:F,Conciliacao!BH107,df_extratos!G:G,"CREDITO")</f>
        <v/>
      </c>
      <c r="I107" s="9">
        <f>H107-SUM(B107:G107)</f>
        <v/>
      </c>
      <c r="J107" s="4">
        <f>SUMIFS(df_blueme_sem_parcelamento!E:E,df_blueme_sem_parcelamento!H:H,Conciliacao!A107)*(-1)</f>
        <v/>
      </c>
      <c r="K107" s="4">
        <f>SUMIFS(df_blueme_com_parcelamento!J:J,df_blueme_com_parcelamento!M:M,Conciliacao!A107)*(-1)</f>
        <v/>
      </c>
      <c r="L107" s="4">
        <f>SUMIFS(df_mutuos!N:N,df_mutuos!B:B,Conciliacao!A107)*(-1)</f>
        <v/>
      </c>
      <c r="M107" s="8">
        <f>SUMIFS(df_bloqueios_judiciais!G:G,df_bloqueios_judiciais!D:D,Conciliacao!A107,df_bloqueios_judiciais!G:G,"&lt;0")</f>
        <v/>
      </c>
      <c r="N107" s="10">
        <f>SUMIFS(df_extratos!I:I,df_extratos!F:F,Conciliacao!BE107,df_extratos!G:G,"DEBITO")+SUMIFS(df_extratos!I:I,df_extratos!F:F,Conciliacao!A107,df_extratos!G:G,"DEBITO")+SUMIFS(df_extratos!I:I,df_extratos!F:F,Conciliacao!BF107,df_extratos!G:G,"DEBITO")+SUMIFS(df_extratos!I:I,df_extratos!F:F,Conciliacao!BG107,df_extratos!G:G,"DEBITO")+SUMIFS(df_extratos!I:I,df_extratos!F:F,Conciliacao!BH107,df_extratos!G:G,"DEBITO")</f>
        <v/>
      </c>
      <c r="O107" s="11">
        <f>N107-SUM(J107:M107)</f>
        <v/>
      </c>
      <c r="P107" s="25">
        <f>SUMIFS(df_ajustes_conciliaco!D:D,df_ajustes_conciliaco!C:C,Conciliacao!A107)</f>
        <v/>
      </c>
      <c r="Q107" s="22">
        <f>O107+I107-P107</f>
        <v/>
      </c>
      <c r="BE107" s="20" t="n">
        <v>45763.5</v>
      </c>
      <c r="BF107" s="20" t="n">
        <v>45763.125</v>
      </c>
      <c r="BG107" s="20" t="n">
        <v>45763.54166666666</v>
      </c>
      <c r="BH107" s="20" t="n">
        <v>45763.625</v>
      </c>
    </row>
    <row r="108">
      <c r="A108" s="5">
        <f>A107+1</f>
        <v/>
      </c>
      <c r="B108" s="3">
        <f>-SUMIFS(df_extrato_zig!G:G,df_extrato_zig!E:E,Conciliacao!A108,df_extrato_zig!D:D,"Saque")-SUMIFS(df_extrato_zig!G:G,df_extrato_zig!E:E,Conciliacao!A108,df_extrato_zig!D:D,"Antecipação")</f>
        <v/>
      </c>
      <c r="C108" s="3">
        <f>SUMIFS(df_extrato_zig!E:E,df_extrato_zig!L:L,Conciliacao!A108,df_extrato_zig!F:F,"DINHEIRO")</f>
        <v/>
      </c>
      <c r="D108" s="3">
        <f>SUMIFS(view_parc_agrup!H:H,view_parc_agrup!G:G,Conciliacao!A108)</f>
        <v/>
      </c>
      <c r="E108" s="3">
        <f>SUMIFS(df_eventos!F:F,df_eventos!H:H,Conciliacao!A108)</f>
        <v/>
      </c>
      <c r="F108" s="3">
        <f>SUMIFS(df_mutuos!M:M,df_mutuos!B:B,Conciliacao!A108)</f>
        <v/>
      </c>
      <c r="G108" s="6">
        <f>SUMIFS(df_bloqueios_judiciais!G:G,df_bloqueios_judiciais!D:D,Conciliacao!A108,df_bloqueios_judiciais!G:G,"&gt;0")</f>
        <v/>
      </c>
      <c r="H108" s="7">
        <f>SUMIFS(df_extratos!I:I,df_extratos!F:F,Conciliacao!BE108,df_extratos!G:G,"CREDITO")+SUMIFS(df_extratos!I:I,df_extratos!F:F,Conciliacao!A108,df_extratos!G:G,"CREDITO")+SUMIFS(df_extratos!I:I,df_extratos!F:F,Conciliacao!BF108,df_extratos!G:G,"CREDITO")+SUMIFS(df_extratos!I:I,df_extratos!F:F,Conciliacao!BG108,df_extratos!G:G,"CREDITO")+SUMIFS(df_extratos!I:I,df_extratos!F:F,Conciliacao!BH108,df_extratos!G:G,"CREDITO")</f>
        <v/>
      </c>
      <c r="I108" s="9">
        <f>H108-SUM(B108:G108)</f>
        <v/>
      </c>
      <c r="J108" s="4">
        <f>SUMIFS(df_blueme_sem_parcelamento!E:E,df_blueme_sem_parcelamento!H:H,Conciliacao!A108)*(-1)</f>
        <v/>
      </c>
      <c r="K108" s="4">
        <f>SUMIFS(df_blueme_com_parcelamento!J:J,df_blueme_com_parcelamento!M:M,Conciliacao!A108)*(-1)</f>
        <v/>
      </c>
      <c r="L108" s="4">
        <f>SUMIFS(df_mutuos!N:N,df_mutuos!B:B,Conciliacao!A108)*(-1)</f>
        <v/>
      </c>
      <c r="M108" s="8">
        <f>SUMIFS(df_bloqueios_judiciais!G:G,df_bloqueios_judiciais!D:D,Conciliacao!A108,df_bloqueios_judiciais!G:G,"&lt;0")</f>
        <v/>
      </c>
      <c r="N108" s="10">
        <f>SUMIFS(df_extratos!I:I,df_extratos!F:F,Conciliacao!BE108,df_extratos!G:G,"DEBITO")+SUMIFS(df_extratos!I:I,df_extratos!F:F,Conciliacao!A108,df_extratos!G:G,"DEBITO")+SUMIFS(df_extratos!I:I,df_extratos!F:F,Conciliacao!BF108,df_extratos!G:G,"DEBITO")+SUMIFS(df_extratos!I:I,df_extratos!F:F,Conciliacao!BG108,df_extratos!G:G,"DEBITO")+SUMIFS(df_extratos!I:I,df_extratos!F:F,Conciliacao!BH108,df_extratos!G:G,"DEBITO")</f>
        <v/>
      </c>
      <c r="O108" s="11">
        <f>N108-SUM(J108:M108)</f>
        <v/>
      </c>
      <c r="P108" s="25">
        <f>SUMIFS(df_ajustes_conciliaco!D:D,df_ajustes_conciliaco!C:C,Conciliacao!A108)</f>
        <v/>
      </c>
      <c r="Q108" s="22">
        <f>O108+I108-P108</f>
        <v/>
      </c>
      <c r="BE108" s="20" t="n">
        <v>45764.5</v>
      </c>
      <c r="BF108" s="20" t="n">
        <v>45764.125</v>
      </c>
      <c r="BG108" s="20" t="n">
        <v>45764.54166666666</v>
      </c>
      <c r="BH108" s="20" t="n">
        <v>45764.625</v>
      </c>
    </row>
    <row r="109">
      <c r="A109" s="5">
        <f>A108+1</f>
        <v/>
      </c>
      <c r="B109" s="3">
        <f>-SUMIFS(df_extrato_zig!G:G,df_extrato_zig!E:E,Conciliacao!A109,df_extrato_zig!D:D,"Saque")-SUMIFS(df_extrato_zig!G:G,df_extrato_zig!E:E,Conciliacao!A109,df_extrato_zig!D:D,"Antecipação")</f>
        <v/>
      </c>
      <c r="C109" s="3">
        <f>SUMIFS(df_extrato_zig!E:E,df_extrato_zig!L:L,Conciliacao!A109,df_extrato_zig!F:F,"DINHEIRO")</f>
        <v/>
      </c>
      <c r="D109" s="3">
        <f>SUMIFS(view_parc_agrup!H:H,view_parc_agrup!G:G,Conciliacao!A109)</f>
        <v/>
      </c>
      <c r="E109" s="3">
        <f>SUMIFS(df_eventos!F:F,df_eventos!H:H,Conciliacao!A109)</f>
        <v/>
      </c>
      <c r="F109" s="3">
        <f>SUMIFS(df_mutuos!M:M,df_mutuos!B:B,Conciliacao!A109)</f>
        <v/>
      </c>
      <c r="G109" s="6">
        <f>SUMIFS(df_bloqueios_judiciais!G:G,df_bloqueios_judiciais!D:D,Conciliacao!A109,df_bloqueios_judiciais!G:G,"&gt;0")</f>
        <v/>
      </c>
      <c r="H109" s="7">
        <f>SUMIFS(df_extratos!I:I,df_extratos!F:F,Conciliacao!BE109,df_extratos!G:G,"CREDITO")+SUMIFS(df_extratos!I:I,df_extratos!F:F,Conciliacao!A109,df_extratos!G:G,"CREDITO")+SUMIFS(df_extratos!I:I,df_extratos!F:F,Conciliacao!BF109,df_extratos!G:G,"CREDITO")+SUMIFS(df_extratos!I:I,df_extratos!F:F,Conciliacao!BG109,df_extratos!G:G,"CREDITO")+SUMIFS(df_extratos!I:I,df_extratos!F:F,Conciliacao!BH109,df_extratos!G:G,"CREDITO")</f>
        <v/>
      </c>
      <c r="I109" s="9">
        <f>H109-SUM(B109:G109)</f>
        <v/>
      </c>
      <c r="J109" s="4">
        <f>SUMIFS(df_blueme_sem_parcelamento!E:E,df_blueme_sem_parcelamento!H:H,Conciliacao!A109)*(-1)</f>
        <v/>
      </c>
      <c r="K109" s="4">
        <f>SUMIFS(df_blueme_com_parcelamento!J:J,df_blueme_com_parcelamento!M:M,Conciliacao!A109)*(-1)</f>
        <v/>
      </c>
      <c r="L109" s="4">
        <f>SUMIFS(df_mutuos!N:N,df_mutuos!B:B,Conciliacao!A109)*(-1)</f>
        <v/>
      </c>
      <c r="M109" s="8">
        <f>SUMIFS(df_bloqueios_judiciais!G:G,df_bloqueios_judiciais!D:D,Conciliacao!A109,df_bloqueios_judiciais!G:G,"&lt;0")</f>
        <v/>
      </c>
      <c r="N109" s="10">
        <f>SUMIFS(df_extratos!I:I,df_extratos!F:F,Conciliacao!BE109,df_extratos!G:G,"DEBITO")+SUMIFS(df_extratos!I:I,df_extratos!F:F,Conciliacao!A109,df_extratos!G:G,"DEBITO")+SUMIFS(df_extratos!I:I,df_extratos!F:F,Conciliacao!BF109,df_extratos!G:G,"DEBITO")+SUMIFS(df_extratos!I:I,df_extratos!F:F,Conciliacao!BG109,df_extratos!G:G,"DEBITO")+SUMIFS(df_extratos!I:I,df_extratos!F:F,Conciliacao!BH109,df_extratos!G:G,"DEBITO")</f>
        <v/>
      </c>
      <c r="O109" s="11">
        <f>N109-SUM(J109:M109)</f>
        <v/>
      </c>
      <c r="P109" s="25">
        <f>SUMIFS(df_ajustes_conciliaco!D:D,df_ajustes_conciliaco!C:C,Conciliacao!A109)</f>
        <v/>
      </c>
      <c r="Q109" s="22">
        <f>O109+I109-P109</f>
        <v/>
      </c>
      <c r="BE109" s="20" t="n">
        <v>45765.5</v>
      </c>
      <c r="BF109" s="20" t="n">
        <v>45765.125</v>
      </c>
      <c r="BG109" s="20" t="n">
        <v>45765.54166666666</v>
      </c>
      <c r="BH109" s="20" t="n">
        <v>45765.625</v>
      </c>
    </row>
    <row r="110">
      <c r="A110" s="5">
        <f>A109+1</f>
        <v/>
      </c>
      <c r="B110" s="3">
        <f>-SUMIFS(df_extrato_zig!G:G,df_extrato_zig!E:E,Conciliacao!A110,df_extrato_zig!D:D,"Saque")-SUMIFS(df_extrato_zig!G:G,df_extrato_zig!E:E,Conciliacao!A110,df_extrato_zig!D:D,"Antecipação")</f>
        <v/>
      </c>
      <c r="C110" s="3">
        <f>SUMIFS(df_extrato_zig!E:E,df_extrato_zig!L:L,Conciliacao!A110,df_extrato_zig!F:F,"DINHEIRO")</f>
        <v/>
      </c>
      <c r="D110" s="3">
        <f>SUMIFS(view_parc_agrup!H:H,view_parc_agrup!G:G,Conciliacao!A110)</f>
        <v/>
      </c>
      <c r="E110" s="3">
        <f>SUMIFS(df_eventos!F:F,df_eventos!H:H,Conciliacao!A110)</f>
        <v/>
      </c>
      <c r="F110" s="3">
        <f>SUMIFS(df_mutuos!M:M,df_mutuos!B:B,Conciliacao!A110)</f>
        <v/>
      </c>
      <c r="G110" s="6">
        <f>SUMIFS(df_bloqueios_judiciais!G:G,df_bloqueios_judiciais!D:D,Conciliacao!A110,df_bloqueios_judiciais!G:G,"&gt;0")</f>
        <v/>
      </c>
      <c r="H110" s="7">
        <f>SUMIFS(df_extratos!I:I,df_extratos!F:F,Conciliacao!BE110,df_extratos!G:G,"CREDITO")+SUMIFS(df_extratos!I:I,df_extratos!F:F,Conciliacao!A110,df_extratos!G:G,"CREDITO")+SUMIFS(df_extratos!I:I,df_extratos!F:F,Conciliacao!BF110,df_extratos!G:G,"CREDITO")+SUMIFS(df_extratos!I:I,df_extratos!F:F,Conciliacao!BG110,df_extratos!G:G,"CREDITO")+SUMIFS(df_extratos!I:I,df_extratos!F:F,Conciliacao!BH110,df_extratos!G:G,"CREDITO")</f>
        <v/>
      </c>
      <c r="I110" s="9">
        <f>H110-SUM(B110:G110)</f>
        <v/>
      </c>
      <c r="J110" s="4">
        <f>SUMIFS(df_blueme_sem_parcelamento!E:E,df_blueme_sem_parcelamento!H:H,Conciliacao!A110)*(-1)</f>
        <v/>
      </c>
      <c r="K110" s="4">
        <f>SUMIFS(df_blueme_com_parcelamento!J:J,df_blueme_com_parcelamento!M:M,Conciliacao!A110)*(-1)</f>
        <v/>
      </c>
      <c r="L110" s="4">
        <f>SUMIFS(df_mutuos!N:N,df_mutuos!B:B,Conciliacao!A110)*(-1)</f>
        <v/>
      </c>
      <c r="M110" s="8">
        <f>SUMIFS(df_bloqueios_judiciais!G:G,df_bloqueios_judiciais!D:D,Conciliacao!A110,df_bloqueios_judiciais!G:G,"&lt;0")</f>
        <v/>
      </c>
      <c r="N110" s="10">
        <f>SUMIFS(df_extratos!I:I,df_extratos!F:F,Conciliacao!BE110,df_extratos!G:G,"DEBITO")+SUMIFS(df_extratos!I:I,df_extratos!F:F,Conciliacao!A110,df_extratos!G:G,"DEBITO")+SUMIFS(df_extratos!I:I,df_extratos!F:F,Conciliacao!BF110,df_extratos!G:G,"DEBITO")+SUMIFS(df_extratos!I:I,df_extratos!F:F,Conciliacao!BG110,df_extratos!G:G,"DEBITO")+SUMIFS(df_extratos!I:I,df_extratos!F:F,Conciliacao!BH110,df_extratos!G:G,"DEBITO")</f>
        <v/>
      </c>
      <c r="O110" s="11">
        <f>N110-SUM(J110:M110)</f>
        <v/>
      </c>
      <c r="P110" s="25">
        <f>SUMIFS(df_ajustes_conciliaco!D:D,df_ajustes_conciliaco!C:C,Conciliacao!A110)</f>
        <v/>
      </c>
      <c r="Q110" s="22">
        <f>O110+I110-P110</f>
        <v/>
      </c>
      <c r="BE110" s="20" t="n">
        <v>45766.5</v>
      </c>
      <c r="BF110" s="20" t="n">
        <v>45766.125</v>
      </c>
      <c r="BG110" s="20" t="n">
        <v>45766.54166666666</v>
      </c>
      <c r="BH110" s="20" t="n">
        <v>45766.625</v>
      </c>
    </row>
    <row r="111">
      <c r="A111" s="5">
        <f>A110+1</f>
        <v/>
      </c>
      <c r="B111" s="3">
        <f>-SUMIFS(df_extrato_zig!G:G,df_extrato_zig!E:E,Conciliacao!A111,df_extrato_zig!D:D,"Saque")-SUMIFS(df_extrato_zig!G:G,df_extrato_zig!E:E,Conciliacao!A111,df_extrato_zig!D:D,"Antecipação")</f>
        <v/>
      </c>
      <c r="C111" s="3">
        <f>SUMIFS(df_extrato_zig!E:E,df_extrato_zig!L:L,Conciliacao!A111,df_extrato_zig!F:F,"DINHEIRO")</f>
        <v/>
      </c>
      <c r="D111" s="3">
        <f>SUMIFS(view_parc_agrup!H:H,view_parc_agrup!G:G,Conciliacao!A111)</f>
        <v/>
      </c>
      <c r="E111" s="3">
        <f>SUMIFS(df_eventos!F:F,df_eventos!H:H,Conciliacao!A111)</f>
        <v/>
      </c>
      <c r="F111" s="3">
        <f>SUMIFS(df_mutuos!M:M,df_mutuos!B:B,Conciliacao!A111)</f>
        <v/>
      </c>
      <c r="G111" s="6">
        <f>SUMIFS(df_bloqueios_judiciais!G:G,df_bloqueios_judiciais!D:D,Conciliacao!A111,df_bloqueios_judiciais!G:G,"&gt;0")</f>
        <v/>
      </c>
      <c r="H111" s="7">
        <f>SUMIFS(df_extratos!I:I,df_extratos!F:F,Conciliacao!BE111,df_extratos!G:G,"CREDITO")+SUMIFS(df_extratos!I:I,df_extratos!F:F,Conciliacao!A111,df_extratos!G:G,"CREDITO")+SUMIFS(df_extratos!I:I,df_extratos!F:F,Conciliacao!BF111,df_extratos!G:G,"CREDITO")+SUMIFS(df_extratos!I:I,df_extratos!F:F,Conciliacao!BG111,df_extratos!G:G,"CREDITO")+SUMIFS(df_extratos!I:I,df_extratos!F:F,Conciliacao!BH111,df_extratos!G:G,"CREDITO")</f>
        <v/>
      </c>
      <c r="I111" s="9">
        <f>H111-SUM(B111:G111)</f>
        <v/>
      </c>
      <c r="J111" s="4">
        <f>SUMIFS(df_blueme_sem_parcelamento!E:E,df_blueme_sem_parcelamento!H:H,Conciliacao!A111)*(-1)</f>
        <v/>
      </c>
      <c r="K111" s="4">
        <f>SUMIFS(df_blueme_com_parcelamento!J:J,df_blueme_com_parcelamento!M:M,Conciliacao!A111)*(-1)</f>
        <v/>
      </c>
      <c r="L111" s="4">
        <f>SUMIFS(df_mutuos!N:N,df_mutuos!B:B,Conciliacao!A111)*(-1)</f>
        <v/>
      </c>
      <c r="M111" s="8">
        <f>SUMIFS(df_bloqueios_judiciais!G:G,df_bloqueios_judiciais!D:D,Conciliacao!A111,df_bloqueios_judiciais!G:G,"&lt;0")</f>
        <v/>
      </c>
      <c r="N111" s="10">
        <f>SUMIFS(df_extratos!I:I,df_extratos!F:F,Conciliacao!BE111,df_extratos!G:G,"DEBITO")+SUMIFS(df_extratos!I:I,df_extratos!F:F,Conciliacao!A111,df_extratos!G:G,"DEBITO")+SUMIFS(df_extratos!I:I,df_extratos!F:F,Conciliacao!BF111,df_extratos!G:G,"DEBITO")+SUMIFS(df_extratos!I:I,df_extratos!F:F,Conciliacao!BG111,df_extratos!G:G,"DEBITO")+SUMIFS(df_extratos!I:I,df_extratos!F:F,Conciliacao!BH111,df_extratos!G:G,"DEBITO")</f>
        <v/>
      </c>
      <c r="O111" s="11">
        <f>N111-SUM(J111:M111)</f>
        <v/>
      </c>
      <c r="P111" s="25">
        <f>SUMIFS(df_ajustes_conciliaco!D:D,df_ajustes_conciliaco!C:C,Conciliacao!A111)</f>
        <v/>
      </c>
      <c r="Q111" s="22">
        <f>O111+I111-P111</f>
        <v/>
      </c>
      <c r="BE111" s="20" t="n">
        <v>45767.5</v>
      </c>
      <c r="BF111" s="20" t="n">
        <v>45767.125</v>
      </c>
      <c r="BG111" s="20" t="n">
        <v>45767.54166666666</v>
      </c>
      <c r="BH111" s="20" t="n">
        <v>45767.625</v>
      </c>
    </row>
    <row r="112">
      <c r="A112" s="5">
        <f>A111+1</f>
        <v/>
      </c>
      <c r="B112" s="3">
        <f>-SUMIFS(df_extrato_zig!G:G,df_extrato_zig!E:E,Conciliacao!A112,df_extrato_zig!D:D,"Saque")-SUMIFS(df_extrato_zig!G:G,df_extrato_zig!E:E,Conciliacao!A112,df_extrato_zig!D:D,"Antecipação")</f>
        <v/>
      </c>
      <c r="C112" s="3">
        <f>SUMIFS(df_extrato_zig!E:E,df_extrato_zig!L:L,Conciliacao!A112,df_extrato_zig!F:F,"DINHEIRO")</f>
        <v/>
      </c>
      <c r="D112" s="3">
        <f>SUMIFS(view_parc_agrup!H:H,view_parc_agrup!G:G,Conciliacao!A112)</f>
        <v/>
      </c>
      <c r="E112" s="3">
        <f>SUMIFS(df_eventos!F:F,df_eventos!H:H,Conciliacao!A112)</f>
        <v/>
      </c>
      <c r="F112" s="3">
        <f>SUMIFS(df_mutuos!M:M,df_mutuos!B:B,Conciliacao!A112)</f>
        <v/>
      </c>
      <c r="G112" s="6">
        <f>SUMIFS(df_bloqueios_judiciais!G:G,df_bloqueios_judiciais!D:D,Conciliacao!A112,df_bloqueios_judiciais!G:G,"&gt;0")</f>
        <v/>
      </c>
      <c r="H112" s="7">
        <f>SUMIFS(df_extratos!I:I,df_extratos!F:F,Conciliacao!BE112,df_extratos!G:G,"CREDITO")+SUMIFS(df_extratos!I:I,df_extratos!F:F,Conciliacao!A112,df_extratos!G:G,"CREDITO")+SUMIFS(df_extratos!I:I,df_extratos!F:F,Conciliacao!BF112,df_extratos!G:G,"CREDITO")+SUMIFS(df_extratos!I:I,df_extratos!F:F,Conciliacao!BG112,df_extratos!G:G,"CREDITO")+SUMIFS(df_extratos!I:I,df_extratos!F:F,Conciliacao!BH112,df_extratos!G:G,"CREDITO")</f>
        <v/>
      </c>
      <c r="I112" s="9">
        <f>H112-SUM(B112:G112)</f>
        <v/>
      </c>
      <c r="J112" s="4">
        <f>SUMIFS(df_blueme_sem_parcelamento!E:E,df_blueme_sem_parcelamento!H:H,Conciliacao!A112)*(-1)</f>
        <v/>
      </c>
      <c r="K112" s="4">
        <f>SUMIFS(df_blueme_com_parcelamento!J:J,df_blueme_com_parcelamento!M:M,Conciliacao!A112)*(-1)</f>
        <v/>
      </c>
      <c r="L112" s="4">
        <f>SUMIFS(df_mutuos!N:N,df_mutuos!B:B,Conciliacao!A112)*(-1)</f>
        <v/>
      </c>
      <c r="M112" s="8">
        <f>SUMIFS(df_bloqueios_judiciais!G:G,df_bloqueios_judiciais!D:D,Conciliacao!A112,df_bloqueios_judiciais!G:G,"&lt;0")</f>
        <v/>
      </c>
      <c r="N112" s="10">
        <f>SUMIFS(df_extratos!I:I,df_extratos!F:F,Conciliacao!BE112,df_extratos!G:G,"DEBITO")+SUMIFS(df_extratos!I:I,df_extratos!F:F,Conciliacao!A112,df_extratos!G:G,"DEBITO")+SUMIFS(df_extratos!I:I,df_extratos!F:F,Conciliacao!BF112,df_extratos!G:G,"DEBITO")+SUMIFS(df_extratos!I:I,df_extratos!F:F,Conciliacao!BG112,df_extratos!G:G,"DEBITO")+SUMIFS(df_extratos!I:I,df_extratos!F:F,Conciliacao!BH112,df_extratos!G:G,"DEBITO")</f>
        <v/>
      </c>
      <c r="O112" s="11">
        <f>N112-SUM(J112:M112)</f>
        <v/>
      </c>
      <c r="P112" s="25">
        <f>SUMIFS(df_ajustes_conciliaco!D:D,df_ajustes_conciliaco!C:C,Conciliacao!A112)</f>
        <v/>
      </c>
      <c r="Q112" s="22">
        <f>O112+I112-P112</f>
        <v/>
      </c>
      <c r="BE112" s="20" t="n">
        <v>45768.5</v>
      </c>
      <c r="BF112" s="20" t="n">
        <v>45768.125</v>
      </c>
      <c r="BG112" s="20" t="n">
        <v>45768.54166666666</v>
      </c>
      <c r="BH112" s="20" t="n">
        <v>45768.625</v>
      </c>
    </row>
    <row r="113">
      <c r="A113" s="5">
        <f>A112+1</f>
        <v/>
      </c>
      <c r="B113" s="3">
        <f>-SUMIFS(df_extrato_zig!G:G,df_extrato_zig!E:E,Conciliacao!A113,df_extrato_zig!D:D,"Saque")-SUMIFS(df_extrato_zig!G:G,df_extrato_zig!E:E,Conciliacao!A113,df_extrato_zig!D:D,"Antecipação")</f>
        <v/>
      </c>
      <c r="C113" s="3">
        <f>SUMIFS(df_extrato_zig!E:E,df_extrato_zig!L:L,Conciliacao!A113,df_extrato_zig!F:F,"DINHEIRO")</f>
        <v/>
      </c>
      <c r="D113" s="3">
        <f>SUMIFS(view_parc_agrup!H:H,view_parc_agrup!G:G,Conciliacao!A113)</f>
        <v/>
      </c>
      <c r="E113" s="3">
        <f>SUMIFS(df_eventos!F:F,df_eventos!H:H,Conciliacao!A113)</f>
        <v/>
      </c>
      <c r="F113" s="3">
        <f>SUMIFS(df_mutuos!M:M,df_mutuos!B:B,Conciliacao!A113)</f>
        <v/>
      </c>
      <c r="G113" s="6">
        <f>SUMIFS(df_bloqueios_judiciais!G:G,df_bloqueios_judiciais!D:D,Conciliacao!A113,df_bloqueios_judiciais!G:G,"&gt;0")</f>
        <v/>
      </c>
      <c r="H113" s="7">
        <f>SUMIFS(df_extratos!I:I,df_extratos!F:F,Conciliacao!BE113,df_extratos!G:G,"CREDITO")+SUMIFS(df_extratos!I:I,df_extratos!F:F,Conciliacao!A113,df_extratos!G:G,"CREDITO")+SUMIFS(df_extratos!I:I,df_extratos!F:F,Conciliacao!BF113,df_extratos!G:G,"CREDITO")+SUMIFS(df_extratos!I:I,df_extratos!F:F,Conciliacao!BG113,df_extratos!G:G,"CREDITO")+SUMIFS(df_extratos!I:I,df_extratos!F:F,Conciliacao!BH113,df_extratos!G:G,"CREDITO")</f>
        <v/>
      </c>
      <c r="I113" s="9">
        <f>H113-SUM(B113:G113)</f>
        <v/>
      </c>
      <c r="J113" s="4">
        <f>SUMIFS(df_blueme_sem_parcelamento!E:E,df_blueme_sem_parcelamento!H:H,Conciliacao!A113)*(-1)</f>
        <v/>
      </c>
      <c r="K113" s="4">
        <f>SUMIFS(df_blueme_com_parcelamento!J:J,df_blueme_com_parcelamento!M:M,Conciliacao!A113)*(-1)</f>
        <v/>
      </c>
      <c r="L113" s="4">
        <f>SUMIFS(df_mutuos!N:N,df_mutuos!B:B,Conciliacao!A113)*(-1)</f>
        <v/>
      </c>
      <c r="M113" s="8">
        <f>SUMIFS(df_bloqueios_judiciais!G:G,df_bloqueios_judiciais!D:D,Conciliacao!A113,df_bloqueios_judiciais!G:G,"&lt;0")</f>
        <v/>
      </c>
      <c r="N113" s="10">
        <f>SUMIFS(df_extratos!I:I,df_extratos!F:F,Conciliacao!BE113,df_extratos!G:G,"DEBITO")+SUMIFS(df_extratos!I:I,df_extratos!F:F,Conciliacao!A113,df_extratos!G:G,"DEBITO")+SUMIFS(df_extratos!I:I,df_extratos!F:F,Conciliacao!BF113,df_extratos!G:G,"DEBITO")+SUMIFS(df_extratos!I:I,df_extratos!F:F,Conciliacao!BG113,df_extratos!G:G,"DEBITO")+SUMIFS(df_extratos!I:I,df_extratos!F:F,Conciliacao!BH113,df_extratos!G:G,"DEBITO")</f>
        <v/>
      </c>
      <c r="O113" s="11">
        <f>N113-SUM(J113:M113)</f>
        <v/>
      </c>
      <c r="P113" s="25">
        <f>SUMIFS(df_ajustes_conciliaco!D:D,df_ajustes_conciliaco!C:C,Conciliacao!A113)</f>
        <v/>
      </c>
      <c r="Q113" s="22">
        <f>O113+I113-P113</f>
        <v/>
      </c>
      <c r="BE113" s="20" t="n">
        <v>45769.5</v>
      </c>
      <c r="BF113" s="20" t="n">
        <v>45769.125</v>
      </c>
      <c r="BG113" s="20" t="n">
        <v>45769.54166666666</v>
      </c>
      <c r="BH113" s="20" t="n">
        <v>45769.625</v>
      </c>
    </row>
    <row r="114">
      <c r="A114" s="5">
        <f>A113+1</f>
        <v/>
      </c>
      <c r="B114" s="3">
        <f>-SUMIFS(df_extrato_zig!G:G,df_extrato_zig!E:E,Conciliacao!A114,df_extrato_zig!D:D,"Saque")-SUMIFS(df_extrato_zig!G:G,df_extrato_zig!E:E,Conciliacao!A114,df_extrato_zig!D:D,"Antecipação")</f>
        <v/>
      </c>
      <c r="C114" s="3">
        <f>SUMIFS(df_extrato_zig!E:E,df_extrato_zig!L:L,Conciliacao!A114,df_extrato_zig!F:F,"DINHEIRO")</f>
        <v/>
      </c>
      <c r="D114" s="3">
        <f>SUMIFS(view_parc_agrup!H:H,view_parc_agrup!G:G,Conciliacao!A114)</f>
        <v/>
      </c>
      <c r="E114" s="3">
        <f>SUMIFS(df_eventos!F:F,df_eventos!H:H,Conciliacao!A114)</f>
        <v/>
      </c>
      <c r="F114" s="3">
        <f>SUMIFS(df_mutuos!M:M,df_mutuos!B:B,Conciliacao!A114)</f>
        <v/>
      </c>
      <c r="G114" s="6">
        <f>SUMIFS(df_bloqueios_judiciais!G:G,df_bloqueios_judiciais!D:D,Conciliacao!A114,df_bloqueios_judiciais!G:G,"&gt;0")</f>
        <v/>
      </c>
      <c r="H114" s="7">
        <f>SUMIFS(df_extratos!I:I,df_extratos!F:F,Conciliacao!BE114,df_extratos!G:G,"CREDITO")+SUMIFS(df_extratos!I:I,df_extratos!F:F,Conciliacao!A114,df_extratos!G:G,"CREDITO")+SUMIFS(df_extratos!I:I,df_extratos!F:F,Conciliacao!BF114,df_extratos!G:G,"CREDITO")+SUMIFS(df_extratos!I:I,df_extratos!F:F,Conciliacao!BG114,df_extratos!G:G,"CREDITO")+SUMIFS(df_extratos!I:I,df_extratos!F:F,Conciliacao!BH114,df_extratos!G:G,"CREDITO")</f>
        <v/>
      </c>
      <c r="I114" s="9">
        <f>H114-SUM(B114:G114)</f>
        <v/>
      </c>
      <c r="J114" s="4">
        <f>SUMIFS(df_blueme_sem_parcelamento!E:E,df_blueme_sem_parcelamento!H:H,Conciliacao!A114)*(-1)</f>
        <v/>
      </c>
      <c r="K114" s="4">
        <f>SUMIFS(df_blueme_com_parcelamento!J:J,df_blueme_com_parcelamento!M:M,Conciliacao!A114)*(-1)</f>
        <v/>
      </c>
      <c r="L114" s="4">
        <f>SUMIFS(df_mutuos!N:N,df_mutuos!B:B,Conciliacao!A114)*(-1)</f>
        <v/>
      </c>
      <c r="M114" s="8">
        <f>SUMIFS(df_bloqueios_judiciais!G:G,df_bloqueios_judiciais!D:D,Conciliacao!A114,df_bloqueios_judiciais!G:G,"&lt;0")</f>
        <v/>
      </c>
      <c r="N114" s="10">
        <f>SUMIFS(df_extratos!I:I,df_extratos!F:F,Conciliacao!BE114,df_extratos!G:G,"DEBITO")+SUMIFS(df_extratos!I:I,df_extratos!F:F,Conciliacao!A114,df_extratos!G:G,"DEBITO")+SUMIFS(df_extratos!I:I,df_extratos!F:F,Conciliacao!BF114,df_extratos!G:G,"DEBITO")+SUMIFS(df_extratos!I:I,df_extratos!F:F,Conciliacao!BG114,df_extratos!G:G,"DEBITO")+SUMIFS(df_extratos!I:I,df_extratos!F:F,Conciliacao!BH114,df_extratos!G:G,"DEBITO")</f>
        <v/>
      </c>
      <c r="O114" s="11">
        <f>N114-SUM(J114:M114)</f>
        <v/>
      </c>
      <c r="P114" s="25">
        <f>SUMIFS(df_ajustes_conciliaco!D:D,df_ajustes_conciliaco!C:C,Conciliacao!A114)</f>
        <v/>
      </c>
      <c r="Q114" s="22">
        <f>O114+I114-P114</f>
        <v/>
      </c>
      <c r="BE114" s="20" t="n">
        <v>45770.5</v>
      </c>
      <c r="BF114" s="20" t="n">
        <v>45770.125</v>
      </c>
      <c r="BG114" s="20" t="n">
        <v>45770.54166666666</v>
      </c>
      <c r="BH114" s="20" t="n">
        <v>45770.625</v>
      </c>
    </row>
    <row r="115">
      <c r="A115" s="5">
        <f>A114+1</f>
        <v/>
      </c>
      <c r="B115" s="3">
        <f>-SUMIFS(df_extrato_zig!G:G,df_extrato_zig!E:E,Conciliacao!A115,df_extrato_zig!D:D,"Saque")-SUMIFS(df_extrato_zig!G:G,df_extrato_zig!E:E,Conciliacao!A115,df_extrato_zig!D:D,"Antecipação")</f>
        <v/>
      </c>
      <c r="C115" s="3">
        <f>SUMIFS(df_extrato_zig!E:E,df_extrato_zig!L:L,Conciliacao!A115,df_extrato_zig!F:F,"DINHEIRO")</f>
        <v/>
      </c>
      <c r="D115" s="3">
        <f>SUMIFS(view_parc_agrup!H:H,view_parc_agrup!G:G,Conciliacao!A115)</f>
        <v/>
      </c>
      <c r="E115" s="3">
        <f>SUMIFS(df_eventos!F:F,df_eventos!H:H,Conciliacao!A115)</f>
        <v/>
      </c>
      <c r="F115" s="3">
        <f>SUMIFS(df_mutuos!M:M,df_mutuos!B:B,Conciliacao!A115)</f>
        <v/>
      </c>
      <c r="G115" s="6">
        <f>SUMIFS(df_bloqueios_judiciais!G:G,df_bloqueios_judiciais!D:D,Conciliacao!A115,df_bloqueios_judiciais!G:G,"&gt;0")</f>
        <v/>
      </c>
      <c r="H115" s="7">
        <f>SUMIFS(df_extratos!I:I,df_extratos!F:F,Conciliacao!BE115,df_extratos!G:G,"CREDITO")+SUMIFS(df_extratos!I:I,df_extratos!F:F,Conciliacao!A115,df_extratos!G:G,"CREDITO")+SUMIFS(df_extratos!I:I,df_extratos!F:F,Conciliacao!BF115,df_extratos!G:G,"CREDITO")+SUMIFS(df_extratos!I:I,df_extratos!F:F,Conciliacao!BG115,df_extratos!G:G,"CREDITO")+SUMIFS(df_extratos!I:I,df_extratos!F:F,Conciliacao!BH115,df_extratos!G:G,"CREDITO")</f>
        <v/>
      </c>
      <c r="I115" s="9">
        <f>H115-SUM(B115:G115)</f>
        <v/>
      </c>
      <c r="J115" s="4">
        <f>SUMIFS(df_blueme_sem_parcelamento!E:E,df_blueme_sem_parcelamento!H:H,Conciliacao!A115)*(-1)</f>
        <v/>
      </c>
      <c r="K115" s="4">
        <f>SUMIFS(df_blueme_com_parcelamento!J:J,df_blueme_com_parcelamento!M:M,Conciliacao!A115)*(-1)</f>
        <v/>
      </c>
      <c r="L115" s="4">
        <f>SUMIFS(df_mutuos!N:N,df_mutuos!B:B,Conciliacao!A115)*(-1)</f>
        <v/>
      </c>
      <c r="M115" s="8">
        <f>SUMIFS(df_bloqueios_judiciais!G:G,df_bloqueios_judiciais!D:D,Conciliacao!A115,df_bloqueios_judiciais!G:G,"&lt;0")</f>
        <v/>
      </c>
      <c r="N115" s="10">
        <f>SUMIFS(df_extratos!I:I,df_extratos!F:F,Conciliacao!BE115,df_extratos!G:G,"DEBITO")+SUMIFS(df_extratos!I:I,df_extratos!F:F,Conciliacao!A115,df_extratos!G:G,"DEBITO")+SUMIFS(df_extratos!I:I,df_extratos!F:F,Conciliacao!BF115,df_extratos!G:G,"DEBITO")+SUMIFS(df_extratos!I:I,df_extratos!F:F,Conciliacao!BG115,df_extratos!G:G,"DEBITO")+SUMIFS(df_extratos!I:I,df_extratos!F:F,Conciliacao!BH115,df_extratos!G:G,"DEBITO")</f>
        <v/>
      </c>
      <c r="O115" s="11">
        <f>N115-SUM(J115:M115)</f>
        <v/>
      </c>
      <c r="P115" s="25">
        <f>SUMIFS(df_ajustes_conciliaco!D:D,df_ajustes_conciliaco!C:C,Conciliacao!A115)</f>
        <v/>
      </c>
      <c r="Q115" s="22">
        <f>O115+I115-P115</f>
        <v/>
      </c>
      <c r="BE115" s="20" t="n">
        <v>45771.5</v>
      </c>
      <c r="BF115" s="20" t="n">
        <v>45771.125</v>
      </c>
      <c r="BG115" s="20" t="n">
        <v>45771.54166666666</v>
      </c>
      <c r="BH115" s="20" t="n">
        <v>45771.625</v>
      </c>
    </row>
    <row r="116">
      <c r="A116" s="5">
        <f>A115+1</f>
        <v/>
      </c>
      <c r="B116" s="3">
        <f>-SUMIFS(df_extrato_zig!G:G,df_extrato_zig!E:E,Conciliacao!A116,df_extrato_zig!D:D,"Saque")-SUMIFS(df_extrato_zig!G:G,df_extrato_zig!E:E,Conciliacao!A116,df_extrato_zig!D:D,"Antecipação")</f>
        <v/>
      </c>
      <c r="C116" s="3">
        <f>SUMIFS(df_extrato_zig!E:E,df_extrato_zig!L:L,Conciliacao!A116,df_extrato_zig!F:F,"DINHEIRO")</f>
        <v/>
      </c>
      <c r="D116" s="3">
        <f>SUMIFS(view_parc_agrup!H:H,view_parc_agrup!G:G,Conciliacao!A116)</f>
        <v/>
      </c>
      <c r="E116" s="3">
        <f>SUMIFS(df_eventos!F:F,df_eventos!H:H,Conciliacao!A116)</f>
        <v/>
      </c>
      <c r="F116" s="3">
        <f>SUMIFS(df_mutuos!M:M,df_mutuos!B:B,Conciliacao!A116)</f>
        <v/>
      </c>
      <c r="G116" s="6">
        <f>SUMIFS(df_bloqueios_judiciais!G:G,df_bloqueios_judiciais!D:D,Conciliacao!A116,df_bloqueios_judiciais!G:G,"&gt;0")</f>
        <v/>
      </c>
      <c r="H116" s="7">
        <f>SUMIFS(df_extratos!I:I,df_extratos!F:F,Conciliacao!BE116,df_extratos!G:G,"CREDITO")+SUMIFS(df_extratos!I:I,df_extratos!F:F,Conciliacao!A116,df_extratos!G:G,"CREDITO")+SUMIFS(df_extratos!I:I,df_extratos!F:F,Conciliacao!BF116,df_extratos!G:G,"CREDITO")+SUMIFS(df_extratos!I:I,df_extratos!F:F,Conciliacao!BG116,df_extratos!G:G,"CREDITO")+SUMIFS(df_extratos!I:I,df_extratos!F:F,Conciliacao!BH116,df_extratos!G:G,"CREDITO")</f>
        <v/>
      </c>
      <c r="I116" s="9">
        <f>H116-SUM(B116:G116)</f>
        <v/>
      </c>
      <c r="J116" s="4">
        <f>SUMIFS(df_blueme_sem_parcelamento!E:E,df_blueme_sem_parcelamento!H:H,Conciliacao!A116)*(-1)</f>
        <v/>
      </c>
      <c r="K116" s="4">
        <f>SUMIFS(df_blueme_com_parcelamento!J:J,df_blueme_com_parcelamento!M:M,Conciliacao!A116)*(-1)</f>
        <v/>
      </c>
      <c r="L116" s="4">
        <f>SUMIFS(df_mutuos!N:N,df_mutuos!B:B,Conciliacao!A116)*(-1)</f>
        <v/>
      </c>
      <c r="M116" s="8">
        <f>SUMIFS(df_bloqueios_judiciais!G:G,df_bloqueios_judiciais!D:D,Conciliacao!A116,df_bloqueios_judiciais!G:G,"&lt;0")</f>
        <v/>
      </c>
      <c r="N116" s="10">
        <f>SUMIFS(df_extratos!I:I,df_extratos!F:F,Conciliacao!BE116,df_extratos!G:G,"DEBITO")+SUMIFS(df_extratos!I:I,df_extratos!F:F,Conciliacao!A116,df_extratos!G:G,"DEBITO")+SUMIFS(df_extratos!I:I,df_extratos!F:F,Conciliacao!BF116,df_extratos!G:G,"DEBITO")+SUMIFS(df_extratos!I:I,df_extratos!F:F,Conciliacao!BG116,df_extratos!G:G,"DEBITO")+SUMIFS(df_extratos!I:I,df_extratos!F:F,Conciliacao!BH116,df_extratos!G:G,"DEBITO")</f>
        <v/>
      </c>
      <c r="O116" s="11">
        <f>N116-SUM(J116:M116)</f>
        <v/>
      </c>
      <c r="P116" s="25">
        <f>SUMIFS(df_ajustes_conciliaco!D:D,df_ajustes_conciliaco!C:C,Conciliacao!A116)</f>
        <v/>
      </c>
      <c r="Q116" s="22">
        <f>O116+I116-P116</f>
        <v/>
      </c>
      <c r="BE116" s="20" t="n">
        <v>45772.5</v>
      </c>
      <c r="BF116" s="20" t="n">
        <v>45772.125</v>
      </c>
      <c r="BG116" s="20" t="n">
        <v>45772.54166666666</v>
      </c>
      <c r="BH116" s="20" t="n">
        <v>45772.625</v>
      </c>
    </row>
    <row r="117">
      <c r="A117" s="5">
        <f>A116+1</f>
        <v/>
      </c>
      <c r="B117" s="3">
        <f>-SUMIFS(df_extrato_zig!G:G,df_extrato_zig!E:E,Conciliacao!A117,df_extrato_zig!D:D,"Saque")-SUMIFS(df_extrato_zig!G:G,df_extrato_zig!E:E,Conciliacao!A117,df_extrato_zig!D:D,"Antecipação")</f>
        <v/>
      </c>
      <c r="C117" s="3">
        <f>SUMIFS(df_extrato_zig!E:E,df_extrato_zig!L:L,Conciliacao!A117,df_extrato_zig!F:F,"DINHEIRO")</f>
        <v/>
      </c>
      <c r="D117" s="3">
        <f>SUMIFS(view_parc_agrup!H:H,view_parc_agrup!G:G,Conciliacao!A117)</f>
        <v/>
      </c>
      <c r="E117" s="3">
        <f>SUMIFS(df_eventos!F:F,df_eventos!H:H,Conciliacao!A117)</f>
        <v/>
      </c>
      <c r="F117" s="3">
        <f>SUMIFS(df_mutuos!M:M,df_mutuos!B:B,Conciliacao!A117)</f>
        <v/>
      </c>
      <c r="G117" s="6">
        <f>SUMIFS(df_bloqueios_judiciais!G:G,df_bloqueios_judiciais!D:D,Conciliacao!A117,df_bloqueios_judiciais!G:G,"&gt;0")</f>
        <v/>
      </c>
      <c r="H117" s="7">
        <f>SUMIFS(df_extratos!I:I,df_extratos!F:F,Conciliacao!BE117,df_extratos!G:G,"CREDITO")+SUMIFS(df_extratos!I:I,df_extratos!F:F,Conciliacao!A117,df_extratos!G:G,"CREDITO")+SUMIFS(df_extratos!I:I,df_extratos!F:F,Conciliacao!BF117,df_extratos!G:G,"CREDITO")+SUMIFS(df_extratos!I:I,df_extratos!F:F,Conciliacao!BG117,df_extratos!G:G,"CREDITO")+SUMIFS(df_extratos!I:I,df_extratos!F:F,Conciliacao!BH117,df_extratos!G:G,"CREDITO")</f>
        <v/>
      </c>
      <c r="I117" s="9">
        <f>H117-SUM(B117:G117)</f>
        <v/>
      </c>
      <c r="J117" s="4">
        <f>SUMIFS(df_blueme_sem_parcelamento!E:E,df_blueme_sem_parcelamento!H:H,Conciliacao!A117)*(-1)</f>
        <v/>
      </c>
      <c r="K117" s="4">
        <f>SUMIFS(df_blueme_com_parcelamento!J:J,df_blueme_com_parcelamento!M:M,Conciliacao!A117)*(-1)</f>
        <v/>
      </c>
      <c r="L117" s="4">
        <f>SUMIFS(df_mutuos!N:N,df_mutuos!B:B,Conciliacao!A117)*(-1)</f>
        <v/>
      </c>
      <c r="M117" s="8">
        <f>SUMIFS(df_bloqueios_judiciais!G:G,df_bloqueios_judiciais!D:D,Conciliacao!A117,df_bloqueios_judiciais!G:G,"&lt;0")</f>
        <v/>
      </c>
      <c r="N117" s="10">
        <f>SUMIFS(df_extratos!I:I,df_extratos!F:F,Conciliacao!BE117,df_extratos!G:G,"DEBITO")+SUMIFS(df_extratos!I:I,df_extratos!F:F,Conciliacao!A117,df_extratos!G:G,"DEBITO")+SUMIFS(df_extratos!I:I,df_extratos!F:F,Conciliacao!BF117,df_extratos!G:G,"DEBITO")+SUMIFS(df_extratos!I:I,df_extratos!F:F,Conciliacao!BG117,df_extratos!G:G,"DEBITO")+SUMIFS(df_extratos!I:I,df_extratos!F:F,Conciliacao!BH117,df_extratos!G:G,"DEBITO")</f>
        <v/>
      </c>
      <c r="O117" s="11">
        <f>N117-SUM(J117:M117)</f>
        <v/>
      </c>
      <c r="P117" s="25">
        <f>SUMIFS(df_ajustes_conciliaco!D:D,df_ajustes_conciliaco!C:C,Conciliacao!A117)</f>
        <v/>
      </c>
      <c r="Q117" s="22">
        <f>O117+I117-P117</f>
        <v/>
      </c>
      <c r="BE117" s="20" t="n">
        <v>45773.5</v>
      </c>
      <c r="BF117" s="20" t="n">
        <v>45773.125</v>
      </c>
      <c r="BG117" s="20" t="n">
        <v>45773.54166666666</v>
      </c>
      <c r="BH117" s="20" t="n">
        <v>45773.625</v>
      </c>
    </row>
    <row r="118">
      <c r="A118" s="5">
        <f>A117+1</f>
        <v/>
      </c>
      <c r="B118" s="3">
        <f>-SUMIFS(df_extrato_zig!G:G,df_extrato_zig!E:E,Conciliacao!A118,df_extrato_zig!D:D,"Saque")-SUMIFS(df_extrato_zig!G:G,df_extrato_zig!E:E,Conciliacao!A118,df_extrato_zig!D:D,"Antecipação")</f>
        <v/>
      </c>
      <c r="C118" s="3">
        <f>SUMIFS(df_extrato_zig!E:E,df_extrato_zig!L:L,Conciliacao!A118,df_extrato_zig!F:F,"DINHEIRO")</f>
        <v/>
      </c>
      <c r="D118" s="3">
        <f>SUMIFS(view_parc_agrup!H:H,view_parc_agrup!G:G,Conciliacao!A118)</f>
        <v/>
      </c>
      <c r="E118" s="3">
        <f>SUMIFS(df_eventos!F:F,df_eventos!H:H,Conciliacao!A118)</f>
        <v/>
      </c>
      <c r="F118" s="3">
        <f>SUMIFS(df_mutuos!M:M,df_mutuos!B:B,Conciliacao!A118)</f>
        <v/>
      </c>
      <c r="G118" s="6">
        <f>SUMIFS(df_bloqueios_judiciais!G:G,df_bloqueios_judiciais!D:D,Conciliacao!A118,df_bloqueios_judiciais!G:G,"&gt;0")</f>
        <v/>
      </c>
      <c r="H118" s="7">
        <f>SUMIFS(df_extratos!I:I,df_extratos!F:F,Conciliacao!BE118,df_extratos!G:G,"CREDITO")+SUMIFS(df_extratos!I:I,df_extratos!F:F,Conciliacao!A118,df_extratos!G:G,"CREDITO")+SUMIFS(df_extratos!I:I,df_extratos!F:F,Conciliacao!BF118,df_extratos!G:G,"CREDITO")+SUMIFS(df_extratos!I:I,df_extratos!F:F,Conciliacao!BG118,df_extratos!G:G,"CREDITO")+SUMIFS(df_extratos!I:I,df_extratos!F:F,Conciliacao!BH118,df_extratos!G:G,"CREDITO")</f>
        <v/>
      </c>
      <c r="I118" s="9">
        <f>H118-SUM(B118:G118)</f>
        <v/>
      </c>
      <c r="J118" s="4">
        <f>SUMIFS(df_blueme_sem_parcelamento!E:E,df_blueme_sem_parcelamento!H:H,Conciliacao!A118)*(-1)</f>
        <v/>
      </c>
      <c r="K118" s="4">
        <f>SUMIFS(df_blueme_com_parcelamento!J:J,df_blueme_com_parcelamento!M:M,Conciliacao!A118)*(-1)</f>
        <v/>
      </c>
      <c r="L118" s="4">
        <f>SUMIFS(df_mutuos!N:N,df_mutuos!B:B,Conciliacao!A118)*(-1)</f>
        <v/>
      </c>
      <c r="M118" s="8">
        <f>SUMIFS(df_bloqueios_judiciais!G:G,df_bloqueios_judiciais!D:D,Conciliacao!A118,df_bloqueios_judiciais!G:G,"&lt;0")</f>
        <v/>
      </c>
      <c r="N118" s="10">
        <f>SUMIFS(df_extratos!I:I,df_extratos!F:F,Conciliacao!BE118,df_extratos!G:G,"DEBITO")+SUMIFS(df_extratos!I:I,df_extratos!F:F,Conciliacao!A118,df_extratos!G:G,"DEBITO")+SUMIFS(df_extratos!I:I,df_extratos!F:F,Conciliacao!BF118,df_extratos!G:G,"DEBITO")+SUMIFS(df_extratos!I:I,df_extratos!F:F,Conciliacao!BG118,df_extratos!G:G,"DEBITO")+SUMIFS(df_extratos!I:I,df_extratos!F:F,Conciliacao!BH118,df_extratos!G:G,"DEBITO")</f>
        <v/>
      </c>
      <c r="O118" s="11">
        <f>N118-SUM(J118:M118)</f>
        <v/>
      </c>
      <c r="P118" s="25">
        <f>SUMIFS(df_ajustes_conciliaco!D:D,df_ajustes_conciliaco!C:C,Conciliacao!A118)</f>
        <v/>
      </c>
      <c r="Q118" s="22">
        <f>O118+I118-P118</f>
        <v/>
      </c>
      <c r="BE118" s="20" t="n">
        <v>45774.5</v>
      </c>
      <c r="BF118" s="20" t="n">
        <v>45774.125</v>
      </c>
      <c r="BG118" s="20" t="n">
        <v>45774.54166666666</v>
      </c>
      <c r="BH118" s="20" t="n">
        <v>45774.625</v>
      </c>
    </row>
    <row r="119">
      <c r="A119" s="5">
        <f>A118+1</f>
        <v/>
      </c>
      <c r="B119" s="3">
        <f>-SUMIFS(df_extrato_zig!G:G,df_extrato_zig!E:E,Conciliacao!A119,df_extrato_zig!D:D,"Saque")-SUMIFS(df_extrato_zig!G:G,df_extrato_zig!E:E,Conciliacao!A119,df_extrato_zig!D:D,"Antecipação")</f>
        <v/>
      </c>
      <c r="C119" s="3">
        <f>SUMIFS(df_extrato_zig!E:E,df_extrato_zig!L:L,Conciliacao!A119,df_extrato_zig!F:F,"DINHEIRO")</f>
        <v/>
      </c>
      <c r="D119" s="3">
        <f>SUMIFS(view_parc_agrup!H:H,view_parc_agrup!G:G,Conciliacao!A119)</f>
        <v/>
      </c>
      <c r="E119" s="3">
        <f>SUMIFS(df_eventos!F:F,df_eventos!H:H,Conciliacao!A119)</f>
        <v/>
      </c>
      <c r="F119" s="3">
        <f>SUMIFS(df_mutuos!M:M,df_mutuos!B:B,Conciliacao!A119)</f>
        <v/>
      </c>
      <c r="G119" s="6">
        <f>SUMIFS(df_bloqueios_judiciais!G:G,df_bloqueios_judiciais!D:D,Conciliacao!A119,df_bloqueios_judiciais!G:G,"&gt;0")</f>
        <v/>
      </c>
      <c r="H119" s="7">
        <f>SUMIFS(df_extratos!I:I,df_extratos!F:F,Conciliacao!BE119,df_extratos!G:G,"CREDITO")+SUMIFS(df_extratos!I:I,df_extratos!F:F,Conciliacao!A119,df_extratos!G:G,"CREDITO")+SUMIFS(df_extratos!I:I,df_extratos!F:F,Conciliacao!BF119,df_extratos!G:G,"CREDITO")+SUMIFS(df_extratos!I:I,df_extratos!F:F,Conciliacao!BG119,df_extratos!G:G,"CREDITO")+SUMIFS(df_extratos!I:I,df_extratos!F:F,Conciliacao!BH119,df_extratos!G:G,"CREDITO")</f>
        <v/>
      </c>
      <c r="I119" s="9">
        <f>H119-SUM(B119:G119)</f>
        <v/>
      </c>
      <c r="J119" s="4">
        <f>SUMIFS(df_blueme_sem_parcelamento!E:E,df_blueme_sem_parcelamento!H:H,Conciliacao!A119)*(-1)</f>
        <v/>
      </c>
      <c r="K119" s="4">
        <f>SUMIFS(df_blueme_com_parcelamento!J:J,df_blueme_com_parcelamento!M:M,Conciliacao!A119)*(-1)</f>
        <v/>
      </c>
      <c r="L119" s="4">
        <f>SUMIFS(df_mutuos!N:N,df_mutuos!B:B,Conciliacao!A119)*(-1)</f>
        <v/>
      </c>
      <c r="M119" s="8">
        <f>SUMIFS(df_bloqueios_judiciais!G:G,df_bloqueios_judiciais!D:D,Conciliacao!A119,df_bloqueios_judiciais!G:G,"&lt;0")</f>
        <v/>
      </c>
      <c r="N119" s="10">
        <f>SUMIFS(df_extratos!I:I,df_extratos!F:F,Conciliacao!BE119,df_extratos!G:G,"DEBITO")+SUMIFS(df_extratos!I:I,df_extratos!F:F,Conciliacao!A119,df_extratos!G:G,"DEBITO")+SUMIFS(df_extratos!I:I,df_extratos!F:F,Conciliacao!BF119,df_extratos!G:G,"DEBITO")+SUMIFS(df_extratos!I:I,df_extratos!F:F,Conciliacao!BG119,df_extratos!G:G,"DEBITO")+SUMIFS(df_extratos!I:I,df_extratos!F:F,Conciliacao!BH119,df_extratos!G:G,"DEBITO")</f>
        <v/>
      </c>
      <c r="O119" s="11">
        <f>N119-SUM(J119:M119)</f>
        <v/>
      </c>
      <c r="P119" s="25">
        <f>SUMIFS(df_ajustes_conciliaco!D:D,df_ajustes_conciliaco!C:C,Conciliacao!A119)</f>
        <v/>
      </c>
      <c r="Q119" s="22">
        <f>O119+I119-P119</f>
        <v/>
      </c>
      <c r="BE119" s="20" t="n">
        <v>45775.5</v>
      </c>
      <c r="BF119" s="20" t="n">
        <v>45775.125</v>
      </c>
      <c r="BG119" s="20" t="n">
        <v>45775.54166666666</v>
      </c>
      <c r="BH119" s="20" t="n">
        <v>45775.625</v>
      </c>
    </row>
    <row r="120">
      <c r="A120" s="5">
        <f>A119+1</f>
        <v/>
      </c>
      <c r="B120" s="3">
        <f>-SUMIFS(df_extrato_zig!G:G,df_extrato_zig!E:E,Conciliacao!A120,df_extrato_zig!D:D,"Saque")-SUMIFS(df_extrato_zig!G:G,df_extrato_zig!E:E,Conciliacao!A120,df_extrato_zig!D:D,"Antecipação")</f>
        <v/>
      </c>
      <c r="C120" s="3">
        <f>SUMIFS(df_extrato_zig!E:E,df_extrato_zig!L:L,Conciliacao!A120,df_extrato_zig!F:F,"DINHEIRO")</f>
        <v/>
      </c>
      <c r="D120" s="3">
        <f>SUMIFS(view_parc_agrup!H:H,view_parc_agrup!G:G,Conciliacao!A120)</f>
        <v/>
      </c>
      <c r="E120" s="3">
        <f>SUMIFS(df_eventos!F:F,df_eventos!H:H,Conciliacao!A120)</f>
        <v/>
      </c>
      <c r="F120" s="3">
        <f>SUMIFS(df_mutuos!M:M,df_mutuos!B:B,Conciliacao!A120)</f>
        <v/>
      </c>
      <c r="G120" s="6">
        <f>SUMIFS(df_bloqueios_judiciais!G:G,df_bloqueios_judiciais!D:D,Conciliacao!A120,df_bloqueios_judiciais!G:G,"&gt;0")</f>
        <v/>
      </c>
      <c r="H120" s="7">
        <f>SUMIFS(df_extratos!I:I,df_extratos!F:F,Conciliacao!BE120,df_extratos!G:G,"CREDITO")+SUMIFS(df_extratos!I:I,df_extratos!F:F,Conciliacao!A120,df_extratos!G:G,"CREDITO")+SUMIFS(df_extratos!I:I,df_extratos!F:F,Conciliacao!BF120,df_extratos!G:G,"CREDITO")+SUMIFS(df_extratos!I:I,df_extratos!F:F,Conciliacao!BG120,df_extratos!G:G,"CREDITO")+SUMIFS(df_extratos!I:I,df_extratos!F:F,Conciliacao!BH120,df_extratos!G:G,"CREDITO")</f>
        <v/>
      </c>
      <c r="I120" s="9">
        <f>H120-SUM(B120:G120)</f>
        <v/>
      </c>
      <c r="J120" s="4">
        <f>SUMIFS(df_blueme_sem_parcelamento!E:E,df_blueme_sem_parcelamento!H:H,Conciliacao!A120)*(-1)</f>
        <v/>
      </c>
      <c r="K120" s="4">
        <f>SUMIFS(df_blueme_com_parcelamento!J:J,df_blueme_com_parcelamento!M:M,Conciliacao!A120)*(-1)</f>
        <v/>
      </c>
      <c r="L120" s="4">
        <f>SUMIFS(df_mutuos!N:N,df_mutuos!B:B,Conciliacao!A120)*(-1)</f>
        <v/>
      </c>
      <c r="M120" s="8">
        <f>SUMIFS(df_bloqueios_judiciais!G:G,df_bloqueios_judiciais!D:D,Conciliacao!A120,df_bloqueios_judiciais!G:G,"&lt;0")</f>
        <v/>
      </c>
      <c r="N120" s="10">
        <f>SUMIFS(df_extratos!I:I,df_extratos!F:F,Conciliacao!BE120,df_extratos!G:G,"DEBITO")+SUMIFS(df_extratos!I:I,df_extratos!F:F,Conciliacao!A120,df_extratos!G:G,"DEBITO")+SUMIFS(df_extratos!I:I,df_extratos!F:F,Conciliacao!BF120,df_extratos!G:G,"DEBITO")+SUMIFS(df_extratos!I:I,df_extratos!F:F,Conciliacao!BG120,df_extratos!G:G,"DEBITO")+SUMIFS(df_extratos!I:I,df_extratos!F:F,Conciliacao!BH120,df_extratos!G:G,"DEBITO")</f>
        <v/>
      </c>
      <c r="O120" s="11">
        <f>N120-SUM(J120:M120)</f>
        <v/>
      </c>
      <c r="P120" s="25">
        <f>SUMIFS(df_ajustes_conciliaco!D:D,df_ajustes_conciliaco!C:C,Conciliacao!A120)</f>
        <v/>
      </c>
      <c r="Q120" s="22">
        <f>O120+I120-P120</f>
        <v/>
      </c>
      <c r="BE120" s="20" t="n">
        <v>45776.5</v>
      </c>
      <c r="BF120" s="20" t="n">
        <v>45776.125</v>
      </c>
      <c r="BG120" s="20" t="n">
        <v>45776.54166666666</v>
      </c>
      <c r="BH120" s="20" t="n">
        <v>45776.625</v>
      </c>
    </row>
    <row r="121">
      <c r="A121" s="5">
        <f>A120+1</f>
        <v/>
      </c>
      <c r="B121" s="3">
        <f>-SUMIFS(df_extrato_zig!G:G,df_extrato_zig!E:E,Conciliacao!A121,df_extrato_zig!D:D,"Saque")-SUMIFS(df_extrato_zig!G:G,df_extrato_zig!E:E,Conciliacao!A121,df_extrato_zig!D:D,"Antecipação")</f>
        <v/>
      </c>
      <c r="C121" s="3">
        <f>SUMIFS(df_extrato_zig!E:E,df_extrato_zig!L:L,Conciliacao!A121,df_extrato_zig!F:F,"DINHEIRO")</f>
        <v/>
      </c>
      <c r="D121" s="3">
        <f>SUMIFS(view_parc_agrup!H:H,view_parc_agrup!G:G,Conciliacao!A121)</f>
        <v/>
      </c>
      <c r="E121" s="3">
        <f>SUMIFS(df_eventos!F:F,df_eventos!H:H,Conciliacao!A121)</f>
        <v/>
      </c>
      <c r="F121" s="3">
        <f>SUMIFS(df_mutuos!M:M,df_mutuos!B:B,Conciliacao!A121)</f>
        <v/>
      </c>
      <c r="G121" s="6">
        <f>SUMIFS(df_bloqueios_judiciais!G:G,df_bloqueios_judiciais!D:D,Conciliacao!A121,df_bloqueios_judiciais!G:G,"&gt;0")</f>
        <v/>
      </c>
      <c r="H121" s="7">
        <f>SUMIFS(df_extratos!I:I,df_extratos!F:F,Conciliacao!BE121,df_extratos!G:G,"CREDITO")+SUMIFS(df_extratos!I:I,df_extratos!F:F,Conciliacao!A121,df_extratos!G:G,"CREDITO")+SUMIFS(df_extratos!I:I,df_extratos!F:F,Conciliacao!BF121,df_extratos!G:G,"CREDITO")+SUMIFS(df_extratos!I:I,df_extratos!F:F,Conciliacao!BG121,df_extratos!G:G,"CREDITO")+SUMIFS(df_extratos!I:I,df_extratos!F:F,Conciliacao!BH121,df_extratos!G:G,"CREDITO")</f>
        <v/>
      </c>
      <c r="I121" s="9">
        <f>H121-SUM(B121:G121)</f>
        <v/>
      </c>
      <c r="J121" s="4">
        <f>SUMIFS(df_blueme_sem_parcelamento!E:E,df_blueme_sem_parcelamento!H:H,Conciliacao!A121)*(-1)</f>
        <v/>
      </c>
      <c r="K121" s="4">
        <f>SUMIFS(df_blueme_com_parcelamento!J:J,df_blueme_com_parcelamento!M:M,Conciliacao!A121)*(-1)</f>
        <v/>
      </c>
      <c r="L121" s="4">
        <f>SUMIFS(df_mutuos!N:N,df_mutuos!B:B,Conciliacao!A121)*(-1)</f>
        <v/>
      </c>
      <c r="M121" s="8">
        <f>SUMIFS(df_bloqueios_judiciais!G:G,df_bloqueios_judiciais!D:D,Conciliacao!A121,df_bloqueios_judiciais!G:G,"&lt;0")</f>
        <v/>
      </c>
      <c r="N121" s="10">
        <f>SUMIFS(df_extratos!I:I,df_extratos!F:F,Conciliacao!BE121,df_extratos!G:G,"DEBITO")+SUMIFS(df_extratos!I:I,df_extratos!F:F,Conciliacao!A121,df_extratos!G:G,"DEBITO")+SUMIFS(df_extratos!I:I,df_extratos!F:F,Conciliacao!BF121,df_extratos!G:G,"DEBITO")+SUMIFS(df_extratos!I:I,df_extratos!F:F,Conciliacao!BG121,df_extratos!G:G,"DEBITO")+SUMIFS(df_extratos!I:I,df_extratos!F:F,Conciliacao!BH121,df_extratos!G:G,"DEBITO")</f>
        <v/>
      </c>
      <c r="O121" s="11">
        <f>N121-SUM(J121:M121)</f>
        <v/>
      </c>
      <c r="P121" s="25">
        <f>SUMIFS(df_ajustes_conciliaco!D:D,df_ajustes_conciliaco!C:C,Conciliacao!A121)</f>
        <v/>
      </c>
      <c r="Q121" s="22">
        <f>O121+I121-P121</f>
        <v/>
      </c>
      <c r="BE121" s="20" t="n">
        <v>45777.5</v>
      </c>
      <c r="BF121" s="20" t="n">
        <v>45777.125</v>
      </c>
      <c r="BG121" s="20" t="n">
        <v>45777.54166666666</v>
      </c>
      <c r="BH121" s="20" t="n">
        <v>45777.625</v>
      </c>
    </row>
    <row r="122">
      <c r="A122" s="5">
        <f>A121+1</f>
        <v/>
      </c>
      <c r="B122" s="3">
        <f>-SUMIFS(df_extrato_zig!G:G,df_extrato_zig!E:E,Conciliacao!A122,df_extrato_zig!D:D,"Saque")-SUMIFS(df_extrato_zig!G:G,df_extrato_zig!E:E,Conciliacao!A122,df_extrato_zig!D:D,"Antecipação")</f>
        <v/>
      </c>
      <c r="C122" s="3">
        <f>SUMIFS(df_extrato_zig!E:E,df_extrato_zig!L:L,Conciliacao!A122,df_extrato_zig!F:F,"DINHEIRO")</f>
        <v/>
      </c>
      <c r="D122" s="3">
        <f>SUMIFS(view_parc_agrup!H:H,view_parc_agrup!G:G,Conciliacao!A122)</f>
        <v/>
      </c>
      <c r="E122" s="3">
        <f>SUMIFS(df_eventos!F:F,df_eventos!H:H,Conciliacao!A122)</f>
        <v/>
      </c>
      <c r="F122" s="3">
        <f>SUMIFS(df_mutuos!M:M,df_mutuos!B:B,Conciliacao!A122)</f>
        <v/>
      </c>
      <c r="G122" s="6">
        <f>SUMIFS(df_bloqueios_judiciais!G:G,df_bloqueios_judiciais!D:D,Conciliacao!A122,df_bloqueios_judiciais!G:G,"&gt;0")</f>
        <v/>
      </c>
      <c r="H122" s="7">
        <f>SUMIFS(df_extratos!I:I,df_extratos!F:F,Conciliacao!BE122,df_extratos!G:G,"CREDITO")+SUMIFS(df_extratos!I:I,df_extratos!F:F,Conciliacao!A122,df_extratos!G:G,"CREDITO")+SUMIFS(df_extratos!I:I,df_extratos!F:F,Conciliacao!BF122,df_extratos!G:G,"CREDITO")+SUMIFS(df_extratos!I:I,df_extratos!F:F,Conciliacao!BG122,df_extratos!G:G,"CREDITO")+SUMIFS(df_extratos!I:I,df_extratos!F:F,Conciliacao!BH122,df_extratos!G:G,"CREDITO")</f>
        <v/>
      </c>
      <c r="I122" s="9">
        <f>H122-SUM(B122:G122)</f>
        <v/>
      </c>
      <c r="J122" s="4">
        <f>SUMIFS(df_blueme_sem_parcelamento!E:E,df_blueme_sem_parcelamento!H:H,Conciliacao!A122)*(-1)</f>
        <v/>
      </c>
      <c r="K122" s="4">
        <f>SUMIFS(df_blueme_com_parcelamento!J:J,df_blueme_com_parcelamento!M:M,Conciliacao!A122)*(-1)</f>
        <v/>
      </c>
      <c r="L122" s="4">
        <f>SUMIFS(df_mutuos!N:N,df_mutuos!B:B,Conciliacao!A122)*(-1)</f>
        <v/>
      </c>
      <c r="M122" s="8">
        <f>SUMIFS(df_bloqueios_judiciais!G:G,df_bloqueios_judiciais!D:D,Conciliacao!A122,df_bloqueios_judiciais!G:G,"&lt;0")</f>
        <v/>
      </c>
      <c r="N122" s="10">
        <f>SUMIFS(df_extratos!I:I,df_extratos!F:F,Conciliacao!BE122,df_extratos!G:G,"DEBITO")+SUMIFS(df_extratos!I:I,df_extratos!F:F,Conciliacao!A122,df_extratos!G:G,"DEBITO")+SUMIFS(df_extratos!I:I,df_extratos!F:F,Conciliacao!BF122,df_extratos!G:G,"DEBITO")+SUMIFS(df_extratos!I:I,df_extratos!F:F,Conciliacao!BG122,df_extratos!G:G,"DEBITO")+SUMIFS(df_extratos!I:I,df_extratos!F:F,Conciliacao!BH122,df_extratos!G:G,"DEBITO")</f>
        <v/>
      </c>
      <c r="O122" s="11">
        <f>N122-SUM(J122:M122)</f>
        <v/>
      </c>
      <c r="P122" s="25">
        <f>SUMIFS(df_ajustes_conciliaco!D:D,df_ajustes_conciliaco!C:C,Conciliacao!A122)</f>
        <v/>
      </c>
      <c r="Q122" s="22">
        <f>O122+I122-P122</f>
        <v/>
      </c>
      <c r="BE122" s="20" t="n">
        <v>45778.5</v>
      </c>
      <c r="BF122" s="20" t="n">
        <v>45778.125</v>
      </c>
      <c r="BG122" s="20" t="n">
        <v>45778.54166666666</v>
      </c>
      <c r="BH122" s="20" t="n">
        <v>45778.625</v>
      </c>
    </row>
    <row r="123">
      <c r="A123" s="5">
        <f>A122+1</f>
        <v/>
      </c>
      <c r="B123" s="3">
        <f>-SUMIFS(df_extrato_zig!G:G,df_extrato_zig!E:E,Conciliacao!A123,df_extrato_zig!D:D,"Saque")-SUMIFS(df_extrato_zig!G:G,df_extrato_zig!E:E,Conciliacao!A123,df_extrato_zig!D:D,"Antecipação")</f>
        <v/>
      </c>
      <c r="C123" s="3">
        <f>SUMIFS(df_extrato_zig!E:E,df_extrato_zig!L:L,Conciliacao!A123,df_extrato_zig!F:F,"DINHEIRO")</f>
        <v/>
      </c>
      <c r="D123" s="3">
        <f>SUMIFS(view_parc_agrup!H:H,view_parc_agrup!G:G,Conciliacao!A123)</f>
        <v/>
      </c>
      <c r="E123" s="3">
        <f>SUMIFS(df_eventos!F:F,df_eventos!H:H,Conciliacao!A123)</f>
        <v/>
      </c>
      <c r="F123" s="3">
        <f>SUMIFS(df_mutuos!M:M,df_mutuos!B:B,Conciliacao!A123)</f>
        <v/>
      </c>
      <c r="G123" s="6">
        <f>SUMIFS(df_bloqueios_judiciais!G:G,df_bloqueios_judiciais!D:D,Conciliacao!A123,df_bloqueios_judiciais!G:G,"&gt;0")</f>
        <v/>
      </c>
      <c r="H123" s="7">
        <f>SUMIFS(df_extratos!I:I,df_extratos!F:F,Conciliacao!BE123,df_extratos!G:G,"CREDITO")+SUMIFS(df_extratos!I:I,df_extratos!F:F,Conciliacao!A123,df_extratos!G:G,"CREDITO")+SUMIFS(df_extratos!I:I,df_extratos!F:F,Conciliacao!BF123,df_extratos!G:G,"CREDITO")+SUMIFS(df_extratos!I:I,df_extratos!F:F,Conciliacao!BG123,df_extratos!G:G,"CREDITO")+SUMIFS(df_extratos!I:I,df_extratos!F:F,Conciliacao!BH123,df_extratos!G:G,"CREDITO")</f>
        <v/>
      </c>
      <c r="I123" s="9">
        <f>H123-SUM(B123:G123)</f>
        <v/>
      </c>
      <c r="J123" s="4">
        <f>SUMIFS(df_blueme_sem_parcelamento!E:E,df_blueme_sem_parcelamento!H:H,Conciliacao!A123)*(-1)</f>
        <v/>
      </c>
      <c r="K123" s="4">
        <f>SUMIFS(df_blueme_com_parcelamento!J:J,df_blueme_com_parcelamento!M:M,Conciliacao!A123)*(-1)</f>
        <v/>
      </c>
      <c r="L123" s="4">
        <f>SUMIFS(df_mutuos!N:N,df_mutuos!B:B,Conciliacao!A123)*(-1)</f>
        <v/>
      </c>
      <c r="M123" s="8">
        <f>SUMIFS(df_bloqueios_judiciais!G:G,df_bloqueios_judiciais!D:D,Conciliacao!A123,df_bloqueios_judiciais!G:G,"&lt;0")</f>
        <v/>
      </c>
      <c r="N123" s="10">
        <f>SUMIFS(df_extratos!I:I,df_extratos!F:F,Conciliacao!BE123,df_extratos!G:G,"DEBITO")+SUMIFS(df_extratos!I:I,df_extratos!F:F,Conciliacao!A123,df_extratos!G:G,"DEBITO")+SUMIFS(df_extratos!I:I,df_extratos!F:F,Conciliacao!BF123,df_extratos!G:G,"DEBITO")+SUMIFS(df_extratos!I:I,df_extratos!F:F,Conciliacao!BG123,df_extratos!G:G,"DEBITO")+SUMIFS(df_extratos!I:I,df_extratos!F:F,Conciliacao!BH123,df_extratos!G:G,"DEBITO")</f>
        <v/>
      </c>
      <c r="O123" s="11">
        <f>N123-SUM(J123:M123)</f>
        <v/>
      </c>
      <c r="P123" s="25">
        <f>SUMIFS(df_ajustes_conciliaco!D:D,df_ajustes_conciliaco!C:C,Conciliacao!A123)</f>
        <v/>
      </c>
      <c r="Q123" s="22">
        <f>O123+I123-P123</f>
        <v/>
      </c>
      <c r="BE123" s="20" t="n">
        <v>45779.5</v>
      </c>
      <c r="BF123" s="20" t="n">
        <v>45779.125</v>
      </c>
      <c r="BG123" s="20" t="n">
        <v>45779.54166666666</v>
      </c>
      <c r="BH123" s="20" t="n">
        <v>45779.625</v>
      </c>
    </row>
    <row r="124">
      <c r="A124" s="5">
        <f>A123+1</f>
        <v/>
      </c>
      <c r="B124" s="3">
        <f>-SUMIFS(df_extrato_zig!G:G,df_extrato_zig!E:E,Conciliacao!A124,df_extrato_zig!D:D,"Saque")-SUMIFS(df_extrato_zig!G:G,df_extrato_zig!E:E,Conciliacao!A124,df_extrato_zig!D:D,"Antecipação")</f>
        <v/>
      </c>
      <c r="C124" s="3">
        <f>SUMIFS(df_extrato_zig!E:E,df_extrato_zig!L:L,Conciliacao!A124,df_extrato_zig!F:F,"DINHEIRO")</f>
        <v/>
      </c>
      <c r="D124" s="3">
        <f>SUMIFS(view_parc_agrup!H:H,view_parc_agrup!G:G,Conciliacao!A124)</f>
        <v/>
      </c>
      <c r="E124" s="3">
        <f>SUMIFS(df_eventos!F:F,df_eventos!H:H,Conciliacao!A124)</f>
        <v/>
      </c>
      <c r="F124" s="3">
        <f>SUMIFS(df_mutuos!M:M,df_mutuos!B:B,Conciliacao!A124)</f>
        <v/>
      </c>
      <c r="G124" s="6">
        <f>SUMIFS(df_bloqueios_judiciais!G:G,df_bloqueios_judiciais!D:D,Conciliacao!A124,df_bloqueios_judiciais!G:G,"&gt;0")</f>
        <v/>
      </c>
      <c r="H124" s="7">
        <f>SUMIFS(df_extratos!I:I,df_extratos!F:F,Conciliacao!BE124,df_extratos!G:G,"CREDITO")+SUMIFS(df_extratos!I:I,df_extratos!F:F,Conciliacao!A124,df_extratos!G:G,"CREDITO")+SUMIFS(df_extratos!I:I,df_extratos!F:F,Conciliacao!BF124,df_extratos!G:G,"CREDITO")+SUMIFS(df_extratos!I:I,df_extratos!F:F,Conciliacao!BG124,df_extratos!G:G,"CREDITO")+SUMIFS(df_extratos!I:I,df_extratos!F:F,Conciliacao!BH124,df_extratos!G:G,"CREDITO")</f>
        <v/>
      </c>
      <c r="I124" s="9">
        <f>H124-SUM(B124:G124)</f>
        <v/>
      </c>
      <c r="J124" s="4">
        <f>SUMIFS(df_blueme_sem_parcelamento!E:E,df_blueme_sem_parcelamento!H:H,Conciliacao!A124)*(-1)</f>
        <v/>
      </c>
      <c r="K124" s="4">
        <f>SUMIFS(df_blueme_com_parcelamento!J:J,df_blueme_com_parcelamento!M:M,Conciliacao!A124)*(-1)</f>
        <v/>
      </c>
      <c r="L124" s="4">
        <f>SUMIFS(df_mutuos!N:N,df_mutuos!B:B,Conciliacao!A124)*(-1)</f>
        <v/>
      </c>
      <c r="M124" s="8">
        <f>SUMIFS(df_bloqueios_judiciais!G:G,df_bloqueios_judiciais!D:D,Conciliacao!A124,df_bloqueios_judiciais!G:G,"&lt;0")</f>
        <v/>
      </c>
      <c r="N124" s="10">
        <f>SUMIFS(df_extratos!I:I,df_extratos!F:F,Conciliacao!BE124,df_extratos!G:G,"DEBITO")+SUMIFS(df_extratos!I:I,df_extratos!F:F,Conciliacao!A124,df_extratos!G:G,"DEBITO")+SUMIFS(df_extratos!I:I,df_extratos!F:F,Conciliacao!BF124,df_extratos!G:G,"DEBITO")+SUMIFS(df_extratos!I:I,df_extratos!F:F,Conciliacao!BG124,df_extratos!G:G,"DEBITO")+SUMIFS(df_extratos!I:I,df_extratos!F:F,Conciliacao!BH124,df_extratos!G:G,"DEBITO")</f>
        <v/>
      </c>
      <c r="O124" s="11">
        <f>N124-SUM(J124:M124)</f>
        <v/>
      </c>
      <c r="P124" s="25">
        <f>SUMIFS(df_ajustes_conciliaco!D:D,df_ajustes_conciliaco!C:C,Conciliacao!A124)</f>
        <v/>
      </c>
      <c r="Q124" s="22">
        <f>O124+I124-P124</f>
        <v/>
      </c>
      <c r="BE124" s="20" t="n">
        <v>45780.5</v>
      </c>
      <c r="BF124" s="20" t="n">
        <v>45780.125</v>
      </c>
      <c r="BG124" s="20" t="n">
        <v>45780.54166666666</v>
      </c>
      <c r="BH124" s="20" t="n">
        <v>45780.625</v>
      </c>
    </row>
    <row r="125">
      <c r="A125" s="5">
        <f>A124+1</f>
        <v/>
      </c>
      <c r="B125" s="3">
        <f>-SUMIFS(df_extrato_zig!G:G,df_extrato_zig!E:E,Conciliacao!A125,df_extrato_zig!D:D,"Saque")-SUMIFS(df_extrato_zig!G:G,df_extrato_zig!E:E,Conciliacao!A125,df_extrato_zig!D:D,"Antecipação")</f>
        <v/>
      </c>
      <c r="C125" s="3">
        <f>SUMIFS(df_extrato_zig!E:E,df_extrato_zig!L:L,Conciliacao!A125,df_extrato_zig!F:F,"DINHEIRO")</f>
        <v/>
      </c>
      <c r="D125" s="3">
        <f>SUMIFS(view_parc_agrup!H:H,view_parc_agrup!G:G,Conciliacao!A125)</f>
        <v/>
      </c>
      <c r="E125" s="3">
        <f>SUMIFS(df_eventos!F:F,df_eventos!H:H,Conciliacao!A125)</f>
        <v/>
      </c>
      <c r="F125" s="3">
        <f>SUMIFS(df_mutuos!M:M,df_mutuos!B:B,Conciliacao!A125)</f>
        <v/>
      </c>
      <c r="G125" s="6">
        <f>SUMIFS(df_bloqueios_judiciais!G:G,df_bloqueios_judiciais!D:D,Conciliacao!A125,df_bloqueios_judiciais!G:G,"&gt;0")</f>
        <v/>
      </c>
      <c r="H125" s="7">
        <f>SUMIFS(df_extratos!I:I,df_extratos!F:F,Conciliacao!BE125,df_extratos!G:G,"CREDITO")+SUMIFS(df_extratos!I:I,df_extratos!F:F,Conciliacao!A125,df_extratos!G:G,"CREDITO")+SUMIFS(df_extratos!I:I,df_extratos!F:F,Conciliacao!BF125,df_extratos!G:G,"CREDITO")+SUMIFS(df_extratos!I:I,df_extratos!F:F,Conciliacao!BG125,df_extratos!G:G,"CREDITO")+SUMIFS(df_extratos!I:I,df_extratos!F:F,Conciliacao!BH125,df_extratos!G:G,"CREDITO")</f>
        <v/>
      </c>
      <c r="I125" s="9">
        <f>H125-SUM(B125:G125)</f>
        <v/>
      </c>
      <c r="J125" s="4">
        <f>SUMIFS(df_blueme_sem_parcelamento!E:E,df_blueme_sem_parcelamento!H:H,Conciliacao!A125)*(-1)</f>
        <v/>
      </c>
      <c r="K125" s="4">
        <f>SUMIFS(df_blueme_com_parcelamento!J:J,df_blueme_com_parcelamento!M:M,Conciliacao!A125)*(-1)</f>
        <v/>
      </c>
      <c r="L125" s="4">
        <f>SUMIFS(df_mutuos!N:N,df_mutuos!B:B,Conciliacao!A125)*(-1)</f>
        <v/>
      </c>
      <c r="M125" s="8">
        <f>SUMIFS(df_bloqueios_judiciais!G:G,df_bloqueios_judiciais!D:D,Conciliacao!A125,df_bloqueios_judiciais!G:G,"&lt;0")</f>
        <v/>
      </c>
      <c r="N125" s="10">
        <f>SUMIFS(df_extratos!I:I,df_extratos!F:F,Conciliacao!BE125,df_extratos!G:G,"DEBITO")+SUMIFS(df_extratos!I:I,df_extratos!F:F,Conciliacao!A125,df_extratos!G:G,"DEBITO")+SUMIFS(df_extratos!I:I,df_extratos!F:F,Conciliacao!BF125,df_extratos!G:G,"DEBITO")+SUMIFS(df_extratos!I:I,df_extratos!F:F,Conciliacao!BG125,df_extratos!G:G,"DEBITO")+SUMIFS(df_extratos!I:I,df_extratos!F:F,Conciliacao!BH125,df_extratos!G:G,"DEBITO")</f>
        <v/>
      </c>
      <c r="O125" s="11">
        <f>N125-SUM(J125:M125)</f>
        <v/>
      </c>
      <c r="P125" s="25">
        <f>SUMIFS(df_ajustes_conciliaco!D:D,df_ajustes_conciliaco!C:C,Conciliacao!A125)</f>
        <v/>
      </c>
      <c r="Q125" s="22">
        <f>O125+I125-P125</f>
        <v/>
      </c>
      <c r="BE125" s="20" t="n">
        <v>45781.5</v>
      </c>
      <c r="BF125" s="20" t="n">
        <v>45781.125</v>
      </c>
      <c r="BG125" s="20" t="n">
        <v>45781.54166666666</v>
      </c>
      <c r="BH125" s="20" t="n">
        <v>45781.625</v>
      </c>
    </row>
    <row r="126">
      <c r="A126" s="5">
        <f>A125+1</f>
        <v/>
      </c>
      <c r="B126" s="3">
        <f>-SUMIFS(df_extrato_zig!G:G,df_extrato_zig!E:E,Conciliacao!A126,df_extrato_zig!D:D,"Saque")-SUMIFS(df_extrato_zig!G:G,df_extrato_zig!E:E,Conciliacao!A126,df_extrato_zig!D:D,"Antecipação")</f>
        <v/>
      </c>
      <c r="C126" s="3">
        <f>SUMIFS(df_extrato_zig!E:E,df_extrato_zig!L:L,Conciliacao!A126,df_extrato_zig!F:F,"DINHEIRO")</f>
        <v/>
      </c>
      <c r="D126" s="3">
        <f>SUMIFS(view_parc_agrup!H:H,view_parc_agrup!G:G,Conciliacao!A126)</f>
        <v/>
      </c>
      <c r="E126" s="3">
        <f>SUMIFS(df_eventos!F:F,df_eventos!H:H,Conciliacao!A126)</f>
        <v/>
      </c>
      <c r="F126" s="3">
        <f>SUMIFS(df_mutuos!M:M,df_mutuos!B:B,Conciliacao!A126)</f>
        <v/>
      </c>
      <c r="G126" s="6">
        <f>SUMIFS(df_bloqueios_judiciais!G:G,df_bloqueios_judiciais!D:D,Conciliacao!A126,df_bloqueios_judiciais!G:G,"&gt;0")</f>
        <v/>
      </c>
      <c r="H126" s="7">
        <f>SUMIFS(df_extratos!I:I,df_extratos!F:F,Conciliacao!BE126,df_extratos!G:G,"CREDITO")+SUMIFS(df_extratos!I:I,df_extratos!F:F,Conciliacao!A126,df_extratos!G:G,"CREDITO")+SUMIFS(df_extratos!I:I,df_extratos!F:F,Conciliacao!BF126,df_extratos!G:G,"CREDITO")+SUMIFS(df_extratos!I:I,df_extratos!F:F,Conciliacao!BG126,df_extratos!G:G,"CREDITO")+SUMIFS(df_extratos!I:I,df_extratos!F:F,Conciliacao!BH126,df_extratos!G:G,"CREDITO")</f>
        <v/>
      </c>
      <c r="I126" s="9">
        <f>H126-SUM(B126:G126)</f>
        <v/>
      </c>
      <c r="J126" s="4">
        <f>SUMIFS(df_blueme_sem_parcelamento!E:E,df_blueme_sem_parcelamento!H:H,Conciliacao!A126)*(-1)</f>
        <v/>
      </c>
      <c r="K126" s="4">
        <f>SUMIFS(df_blueme_com_parcelamento!J:J,df_blueme_com_parcelamento!M:M,Conciliacao!A126)*(-1)</f>
        <v/>
      </c>
      <c r="L126" s="4">
        <f>SUMIFS(df_mutuos!N:N,df_mutuos!B:B,Conciliacao!A126)*(-1)</f>
        <v/>
      </c>
      <c r="M126" s="8">
        <f>SUMIFS(df_bloqueios_judiciais!G:G,df_bloqueios_judiciais!D:D,Conciliacao!A126,df_bloqueios_judiciais!G:G,"&lt;0")</f>
        <v/>
      </c>
      <c r="N126" s="10">
        <f>SUMIFS(df_extratos!I:I,df_extratos!F:F,Conciliacao!BE126,df_extratos!G:G,"DEBITO")+SUMIFS(df_extratos!I:I,df_extratos!F:F,Conciliacao!A126,df_extratos!G:G,"DEBITO")+SUMIFS(df_extratos!I:I,df_extratos!F:F,Conciliacao!BF126,df_extratos!G:G,"DEBITO")+SUMIFS(df_extratos!I:I,df_extratos!F:F,Conciliacao!BG126,df_extratos!G:G,"DEBITO")+SUMIFS(df_extratos!I:I,df_extratos!F:F,Conciliacao!BH126,df_extratos!G:G,"DEBITO")</f>
        <v/>
      </c>
      <c r="O126" s="11">
        <f>N126-SUM(J126:M126)</f>
        <v/>
      </c>
      <c r="P126" s="25">
        <f>SUMIFS(df_ajustes_conciliaco!D:D,df_ajustes_conciliaco!C:C,Conciliacao!A126)</f>
        <v/>
      </c>
      <c r="Q126" s="22">
        <f>O126+I126-P126</f>
        <v/>
      </c>
      <c r="BE126" s="20" t="n">
        <v>45782.5</v>
      </c>
      <c r="BF126" s="20" t="n">
        <v>45782.125</v>
      </c>
      <c r="BG126" s="20" t="n">
        <v>45782.54166666666</v>
      </c>
      <c r="BH126" s="20" t="n">
        <v>45782.625</v>
      </c>
    </row>
    <row r="127">
      <c r="A127" s="5">
        <f>A126+1</f>
        <v/>
      </c>
      <c r="B127" s="3">
        <f>-SUMIFS(df_extrato_zig!G:G,df_extrato_zig!E:E,Conciliacao!A127,df_extrato_zig!D:D,"Saque")-SUMIFS(df_extrato_zig!G:G,df_extrato_zig!E:E,Conciliacao!A127,df_extrato_zig!D:D,"Antecipação")</f>
        <v/>
      </c>
      <c r="C127" s="3">
        <f>SUMIFS(df_extrato_zig!E:E,df_extrato_zig!L:L,Conciliacao!A127,df_extrato_zig!F:F,"DINHEIRO")</f>
        <v/>
      </c>
      <c r="D127" s="3">
        <f>SUMIFS(view_parc_agrup!H:H,view_parc_agrup!G:G,Conciliacao!A127)</f>
        <v/>
      </c>
      <c r="E127" s="3">
        <f>SUMIFS(df_eventos!F:F,df_eventos!H:H,Conciliacao!A127)</f>
        <v/>
      </c>
      <c r="F127" s="3">
        <f>SUMIFS(df_mutuos!M:M,df_mutuos!B:B,Conciliacao!A127)</f>
        <v/>
      </c>
      <c r="G127" s="6">
        <f>SUMIFS(df_bloqueios_judiciais!G:G,df_bloqueios_judiciais!D:D,Conciliacao!A127,df_bloqueios_judiciais!G:G,"&gt;0")</f>
        <v/>
      </c>
      <c r="H127" s="7">
        <f>SUMIFS(df_extratos!I:I,df_extratos!F:F,Conciliacao!BE127,df_extratos!G:G,"CREDITO")+SUMIFS(df_extratos!I:I,df_extratos!F:F,Conciliacao!A127,df_extratos!G:G,"CREDITO")+SUMIFS(df_extratos!I:I,df_extratos!F:F,Conciliacao!BF127,df_extratos!G:G,"CREDITO")+SUMIFS(df_extratos!I:I,df_extratos!F:F,Conciliacao!BG127,df_extratos!G:G,"CREDITO")+SUMIFS(df_extratos!I:I,df_extratos!F:F,Conciliacao!BH127,df_extratos!G:G,"CREDITO")</f>
        <v/>
      </c>
      <c r="I127" s="9">
        <f>H127-SUM(B127:G127)</f>
        <v/>
      </c>
      <c r="J127" s="4">
        <f>SUMIFS(df_blueme_sem_parcelamento!E:E,df_blueme_sem_parcelamento!H:H,Conciliacao!A127)*(-1)</f>
        <v/>
      </c>
      <c r="K127" s="4">
        <f>SUMIFS(df_blueme_com_parcelamento!J:J,df_blueme_com_parcelamento!M:M,Conciliacao!A127)*(-1)</f>
        <v/>
      </c>
      <c r="L127" s="4">
        <f>SUMIFS(df_mutuos!N:N,df_mutuos!B:B,Conciliacao!A127)*(-1)</f>
        <v/>
      </c>
      <c r="M127" s="8">
        <f>SUMIFS(df_bloqueios_judiciais!G:G,df_bloqueios_judiciais!D:D,Conciliacao!A127,df_bloqueios_judiciais!G:G,"&lt;0")</f>
        <v/>
      </c>
      <c r="N127" s="10">
        <f>SUMIFS(df_extratos!I:I,df_extratos!F:F,Conciliacao!BE127,df_extratos!G:G,"DEBITO")+SUMIFS(df_extratos!I:I,df_extratos!F:F,Conciliacao!A127,df_extratos!G:G,"DEBITO")+SUMIFS(df_extratos!I:I,df_extratos!F:F,Conciliacao!BF127,df_extratos!G:G,"DEBITO")+SUMIFS(df_extratos!I:I,df_extratos!F:F,Conciliacao!BG127,df_extratos!G:G,"DEBITO")+SUMIFS(df_extratos!I:I,df_extratos!F:F,Conciliacao!BH127,df_extratos!G:G,"DEBITO")</f>
        <v/>
      </c>
      <c r="O127" s="11">
        <f>N127-SUM(J127:M127)</f>
        <v/>
      </c>
      <c r="P127" s="25">
        <f>SUMIFS(df_ajustes_conciliaco!D:D,df_ajustes_conciliaco!C:C,Conciliacao!A127)</f>
        <v/>
      </c>
      <c r="Q127" s="22">
        <f>O127+I127-P127</f>
        <v/>
      </c>
      <c r="BE127" s="20" t="n">
        <v>45783.5</v>
      </c>
      <c r="BF127" s="20" t="n">
        <v>45783.125</v>
      </c>
      <c r="BG127" s="20" t="n">
        <v>45783.54166666666</v>
      </c>
      <c r="BH127" s="20" t="n">
        <v>45783.625</v>
      </c>
    </row>
    <row r="128">
      <c r="A128" s="5">
        <f>A127+1</f>
        <v/>
      </c>
      <c r="B128" s="3">
        <f>-SUMIFS(df_extrato_zig!G:G,df_extrato_zig!E:E,Conciliacao!A128,df_extrato_zig!D:D,"Saque")-SUMIFS(df_extrato_zig!G:G,df_extrato_zig!E:E,Conciliacao!A128,df_extrato_zig!D:D,"Antecipação")</f>
        <v/>
      </c>
      <c r="C128" s="3">
        <f>SUMIFS(df_extrato_zig!E:E,df_extrato_zig!L:L,Conciliacao!A128,df_extrato_zig!F:F,"DINHEIRO")</f>
        <v/>
      </c>
      <c r="D128" s="3">
        <f>SUMIFS(view_parc_agrup!H:H,view_parc_agrup!G:G,Conciliacao!A128)</f>
        <v/>
      </c>
      <c r="E128" s="3">
        <f>SUMIFS(df_eventos!F:F,df_eventos!H:H,Conciliacao!A128)</f>
        <v/>
      </c>
      <c r="F128" s="3">
        <f>SUMIFS(df_mutuos!M:M,df_mutuos!B:B,Conciliacao!A128)</f>
        <v/>
      </c>
      <c r="G128" s="6">
        <f>SUMIFS(df_bloqueios_judiciais!G:G,df_bloqueios_judiciais!D:D,Conciliacao!A128,df_bloqueios_judiciais!G:G,"&gt;0")</f>
        <v/>
      </c>
      <c r="H128" s="7">
        <f>SUMIFS(df_extratos!I:I,df_extratos!F:F,Conciliacao!BE128,df_extratos!G:G,"CREDITO")+SUMIFS(df_extratos!I:I,df_extratos!F:F,Conciliacao!A128,df_extratos!G:G,"CREDITO")+SUMIFS(df_extratos!I:I,df_extratos!F:F,Conciliacao!BF128,df_extratos!G:G,"CREDITO")+SUMIFS(df_extratos!I:I,df_extratos!F:F,Conciliacao!BG128,df_extratos!G:G,"CREDITO")+SUMIFS(df_extratos!I:I,df_extratos!F:F,Conciliacao!BH128,df_extratos!G:G,"CREDITO")</f>
        <v/>
      </c>
      <c r="I128" s="9">
        <f>H128-SUM(B128:G128)</f>
        <v/>
      </c>
      <c r="J128" s="4">
        <f>SUMIFS(df_blueme_sem_parcelamento!E:E,df_blueme_sem_parcelamento!H:H,Conciliacao!A128)*(-1)</f>
        <v/>
      </c>
      <c r="K128" s="4">
        <f>SUMIFS(df_blueme_com_parcelamento!J:J,df_blueme_com_parcelamento!M:M,Conciliacao!A128)*(-1)</f>
        <v/>
      </c>
      <c r="L128" s="4">
        <f>SUMIFS(df_mutuos!N:N,df_mutuos!B:B,Conciliacao!A128)*(-1)</f>
        <v/>
      </c>
      <c r="M128" s="8">
        <f>SUMIFS(df_bloqueios_judiciais!G:G,df_bloqueios_judiciais!D:D,Conciliacao!A128,df_bloqueios_judiciais!G:G,"&lt;0")</f>
        <v/>
      </c>
      <c r="N128" s="10">
        <f>SUMIFS(df_extratos!I:I,df_extratos!F:F,Conciliacao!BE128,df_extratos!G:G,"DEBITO")+SUMIFS(df_extratos!I:I,df_extratos!F:F,Conciliacao!A128,df_extratos!G:G,"DEBITO")+SUMIFS(df_extratos!I:I,df_extratos!F:F,Conciliacao!BF128,df_extratos!G:G,"DEBITO")+SUMIFS(df_extratos!I:I,df_extratos!F:F,Conciliacao!BG128,df_extratos!G:G,"DEBITO")+SUMIFS(df_extratos!I:I,df_extratos!F:F,Conciliacao!BH128,df_extratos!G:G,"DEBITO")</f>
        <v/>
      </c>
      <c r="O128" s="11">
        <f>N128-SUM(J128:M128)</f>
        <v/>
      </c>
      <c r="P128" s="25">
        <f>SUMIFS(df_ajustes_conciliaco!D:D,df_ajustes_conciliaco!C:C,Conciliacao!A128)</f>
        <v/>
      </c>
      <c r="Q128" s="22">
        <f>O128+I128-P128</f>
        <v/>
      </c>
      <c r="BE128" s="20" t="n">
        <v>45784.5</v>
      </c>
      <c r="BF128" s="20" t="n">
        <v>45784.125</v>
      </c>
      <c r="BG128" s="20" t="n">
        <v>45784.54166666666</v>
      </c>
      <c r="BH128" s="20" t="n">
        <v>45784.625</v>
      </c>
    </row>
    <row r="129">
      <c r="A129" s="5">
        <f>A128+1</f>
        <v/>
      </c>
      <c r="B129" s="3">
        <f>-SUMIFS(df_extrato_zig!G:G,df_extrato_zig!E:E,Conciliacao!A129,df_extrato_zig!D:D,"Saque")-SUMIFS(df_extrato_zig!G:G,df_extrato_zig!E:E,Conciliacao!A129,df_extrato_zig!D:D,"Antecipação")</f>
        <v/>
      </c>
      <c r="C129" s="3">
        <f>SUMIFS(df_extrato_zig!E:E,df_extrato_zig!L:L,Conciliacao!A129,df_extrato_zig!F:F,"DINHEIRO")</f>
        <v/>
      </c>
      <c r="D129" s="3">
        <f>SUMIFS(view_parc_agrup!H:H,view_parc_agrup!G:G,Conciliacao!A129)</f>
        <v/>
      </c>
      <c r="E129" s="3">
        <f>SUMIFS(df_eventos!F:F,df_eventos!H:H,Conciliacao!A129)</f>
        <v/>
      </c>
      <c r="F129" s="3">
        <f>SUMIFS(df_mutuos!M:M,df_mutuos!B:B,Conciliacao!A129)</f>
        <v/>
      </c>
      <c r="G129" s="6">
        <f>SUMIFS(df_bloqueios_judiciais!G:G,df_bloqueios_judiciais!D:D,Conciliacao!A129,df_bloqueios_judiciais!G:G,"&gt;0")</f>
        <v/>
      </c>
      <c r="H129" s="7">
        <f>SUMIFS(df_extratos!I:I,df_extratos!F:F,Conciliacao!BE129,df_extratos!G:G,"CREDITO")+SUMIFS(df_extratos!I:I,df_extratos!F:F,Conciliacao!A129,df_extratos!G:G,"CREDITO")+SUMIFS(df_extratos!I:I,df_extratos!F:F,Conciliacao!BF129,df_extratos!G:G,"CREDITO")+SUMIFS(df_extratos!I:I,df_extratos!F:F,Conciliacao!BG129,df_extratos!G:G,"CREDITO")+SUMIFS(df_extratos!I:I,df_extratos!F:F,Conciliacao!BH129,df_extratos!G:G,"CREDITO")</f>
        <v/>
      </c>
      <c r="I129" s="9">
        <f>H129-SUM(B129:G129)</f>
        <v/>
      </c>
      <c r="J129" s="4">
        <f>SUMIFS(df_blueme_sem_parcelamento!E:E,df_blueme_sem_parcelamento!H:H,Conciliacao!A129)*(-1)</f>
        <v/>
      </c>
      <c r="K129" s="4">
        <f>SUMIFS(df_blueme_com_parcelamento!J:J,df_blueme_com_parcelamento!M:M,Conciliacao!A129)*(-1)</f>
        <v/>
      </c>
      <c r="L129" s="4">
        <f>SUMIFS(df_mutuos!N:N,df_mutuos!B:B,Conciliacao!A129)*(-1)</f>
        <v/>
      </c>
      <c r="M129" s="8">
        <f>SUMIFS(df_bloqueios_judiciais!G:G,df_bloqueios_judiciais!D:D,Conciliacao!A129,df_bloqueios_judiciais!G:G,"&lt;0")</f>
        <v/>
      </c>
      <c r="N129" s="10">
        <f>SUMIFS(df_extratos!I:I,df_extratos!F:F,Conciliacao!BE129,df_extratos!G:G,"DEBITO")+SUMIFS(df_extratos!I:I,df_extratos!F:F,Conciliacao!A129,df_extratos!G:G,"DEBITO")+SUMIFS(df_extratos!I:I,df_extratos!F:F,Conciliacao!BF129,df_extratos!G:G,"DEBITO")+SUMIFS(df_extratos!I:I,df_extratos!F:F,Conciliacao!BG129,df_extratos!G:G,"DEBITO")+SUMIFS(df_extratos!I:I,df_extratos!F:F,Conciliacao!BH129,df_extratos!G:G,"DEBITO")</f>
        <v/>
      </c>
      <c r="O129" s="11">
        <f>N129-SUM(J129:M129)</f>
        <v/>
      </c>
      <c r="P129" s="25">
        <f>SUMIFS(df_ajustes_conciliaco!D:D,df_ajustes_conciliaco!C:C,Conciliacao!A129)</f>
        <v/>
      </c>
      <c r="Q129" s="22">
        <f>O129+I129-P129</f>
        <v/>
      </c>
      <c r="BE129" s="20" t="n">
        <v>45785.5</v>
      </c>
      <c r="BF129" s="20" t="n">
        <v>45785.125</v>
      </c>
      <c r="BG129" s="20" t="n">
        <v>45785.54166666666</v>
      </c>
      <c r="BH129" s="20" t="n">
        <v>45785.625</v>
      </c>
    </row>
    <row r="130">
      <c r="A130" s="5">
        <f>A129+1</f>
        <v/>
      </c>
      <c r="B130" s="3">
        <f>-SUMIFS(df_extrato_zig!G:G,df_extrato_zig!E:E,Conciliacao!A130,df_extrato_zig!D:D,"Saque")-SUMIFS(df_extrato_zig!G:G,df_extrato_zig!E:E,Conciliacao!A130,df_extrato_zig!D:D,"Antecipação")</f>
        <v/>
      </c>
      <c r="C130" s="3">
        <f>SUMIFS(df_extrato_zig!E:E,df_extrato_zig!L:L,Conciliacao!A130,df_extrato_zig!F:F,"DINHEIRO")</f>
        <v/>
      </c>
      <c r="D130" s="3">
        <f>SUMIFS(view_parc_agrup!H:H,view_parc_agrup!G:G,Conciliacao!A130)</f>
        <v/>
      </c>
      <c r="E130" s="3">
        <f>SUMIFS(df_eventos!F:F,df_eventos!H:H,Conciliacao!A130)</f>
        <v/>
      </c>
      <c r="F130" s="3">
        <f>SUMIFS(df_mutuos!M:M,df_mutuos!B:B,Conciliacao!A130)</f>
        <v/>
      </c>
      <c r="G130" s="6">
        <f>SUMIFS(df_bloqueios_judiciais!G:G,df_bloqueios_judiciais!D:D,Conciliacao!A130,df_bloqueios_judiciais!G:G,"&gt;0")</f>
        <v/>
      </c>
      <c r="H130" s="7">
        <f>SUMIFS(df_extratos!I:I,df_extratos!F:F,Conciliacao!BE130,df_extratos!G:G,"CREDITO")+SUMIFS(df_extratos!I:I,df_extratos!F:F,Conciliacao!A130,df_extratos!G:G,"CREDITO")+SUMIFS(df_extratos!I:I,df_extratos!F:F,Conciliacao!BF130,df_extratos!G:G,"CREDITO")+SUMIFS(df_extratos!I:I,df_extratos!F:F,Conciliacao!BG130,df_extratos!G:G,"CREDITO")+SUMIFS(df_extratos!I:I,df_extratos!F:F,Conciliacao!BH130,df_extratos!G:G,"CREDITO")</f>
        <v/>
      </c>
      <c r="I130" s="9">
        <f>H130-SUM(B130:G130)</f>
        <v/>
      </c>
      <c r="J130" s="4">
        <f>SUMIFS(df_blueme_sem_parcelamento!E:E,df_blueme_sem_parcelamento!H:H,Conciliacao!A130)*(-1)</f>
        <v/>
      </c>
      <c r="K130" s="4">
        <f>SUMIFS(df_blueme_com_parcelamento!J:J,df_blueme_com_parcelamento!M:M,Conciliacao!A130)*(-1)</f>
        <v/>
      </c>
      <c r="L130" s="4">
        <f>SUMIFS(df_mutuos!N:N,df_mutuos!B:B,Conciliacao!A130)*(-1)</f>
        <v/>
      </c>
      <c r="M130" s="8">
        <f>SUMIFS(df_bloqueios_judiciais!G:G,df_bloqueios_judiciais!D:D,Conciliacao!A130,df_bloqueios_judiciais!G:G,"&lt;0")</f>
        <v/>
      </c>
      <c r="N130" s="10">
        <f>SUMIFS(df_extratos!I:I,df_extratos!F:F,Conciliacao!BE130,df_extratos!G:G,"DEBITO")+SUMIFS(df_extratos!I:I,df_extratos!F:F,Conciliacao!A130,df_extratos!G:G,"DEBITO")+SUMIFS(df_extratos!I:I,df_extratos!F:F,Conciliacao!BF130,df_extratos!G:G,"DEBITO")+SUMIFS(df_extratos!I:I,df_extratos!F:F,Conciliacao!BG130,df_extratos!G:G,"DEBITO")+SUMIFS(df_extratos!I:I,df_extratos!F:F,Conciliacao!BH130,df_extratos!G:G,"DEBITO")</f>
        <v/>
      </c>
      <c r="O130" s="11">
        <f>N130-SUM(J130:M130)</f>
        <v/>
      </c>
      <c r="P130" s="25">
        <f>SUMIFS(df_ajustes_conciliaco!D:D,df_ajustes_conciliaco!C:C,Conciliacao!A130)</f>
        <v/>
      </c>
      <c r="Q130" s="22">
        <f>O130+I130-P130</f>
        <v/>
      </c>
      <c r="BE130" s="20" t="n">
        <v>45786.5</v>
      </c>
      <c r="BF130" s="20" t="n">
        <v>45786.125</v>
      </c>
      <c r="BG130" s="20" t="n">
        <v>45786.54166666666</v>
      </c>
      <c r="BH130" s="20" t="n">
        <v>45786.625</v>
      </c>
    </row>
    <row r="131">
      <c r="A131" s="5">
        <f>A130+1</f>
        <v/>
      </c>
      <c r="B131" s="3">
        <f>-SUMIFS(df_extrato_zig!G:G,df_extrato_zig!E:E,Conciliacao!A131,df_extrato_zig!D:D,"Saque")-SUMIFS(df_extrato_zig!G:G,df_extrato_zig!E:E,Conciliacao!A131,df_extrato_zig!D:D,"Antecipação")</f>
        <v/>
      </c>
      <c r="C131" s="3">
        <f>SUMIFS(df_extrato_zig!E:E,df_extrato_zig!L:L,Conciliacao!A131,df_extrato_zig!F:F,"DINHEIRO")</f>
        <v/>
      </c>
      <c r="D131" s="3">
        <f>SUMIFS(view_parc_agrup!H:H,view_parc_agrup!G:G,Conciliacao!A131)</f>
        <v/>
      </c>
      <c r="E131" s="3">
        <f>SUMIFS(df_eventos!F:F,df_eventos!H:H,Conciliacao!A131)</f>
        <v/>
      </c>
      <c r="F131" s="3">
        <f>SUMIFS(df_mutuos!M:M,df_mutuos!B:B,Conciliacao!A131)</f>
        <v/>
      </c>
      <c r="G131" s="6">
        <f>SUMIFS(df_bloqueios_judiciais!G:G,df_bloqueios_judiciais!D:D,Conciliacao!A131,df_bloqueios_judiciais!G:G,"&gt;0")</f>
        <v/>
      </c>
      <c r="H131" s="7">
        <f>SUMIFS(df_extratos!I:I,df_extratos!F:F,Conciliacao!BE131,df_extratos!G:G,"CREDITO")+SUMIFS(df_extratos!I:I,df_extratos!F:F,Conciliacao!A131,df_extratos!G:G,"CREDITO")+SUMIFS(df_extratos!I:I,df_extratos!F:F,Conciliacao!BF131,df_extratos!G:G,"CREDITO")+SUMIFS(df_extratos!I:I,df_extratos!F:F,Conciliacao!BG131,df_extratos!G:G,"CREDITO")+SUMIFS(df_extratos!I:I,df_extratos!F:F,Conciliacao!BH131,df_extratos!G:G,"CREDITO")</f>
        <v/>
      </c>
      <c r="I131" s="9">
        <f>H131-SUM(B131:G131)</f>
        <v/>
      </c>
      <c r="J131" s="4">
        <f>SUMIFS(df_blueme_sem_parcelamento!E:E,df_blueme_sem_parcelamento!H:H,Conciliacao!A131)*(-1)</f>
        <v/>
      </c>
      <c r="K131" s="4">
        <f>SUMIFS(df_blueme_com_parcelamento!J:J,df_blueme_com_parcelamento!M:M,Conciliacao!A131)*(-1)</f>
        <v/>
      </c>
      <c r="L131" s="4">
        <f>SUMIFS(df_mutuos!N:N,df_mutuos!B:B,Conciliacao!A131)*(-1)</f>
        <v/>
      </c>
      <c r="M131" s="8">
        <f>SUMIFS(df_bloqueios_judiciais!G:G,df_bloqueios_judiciais!D:D,Conciliacao!A131,df_bloqueios_judiciais!G:G,"&lt;0")</f>
        <v/>
      </c>
      <c r="N131" s="10">
        <f>SUMIFS(df_extratos!I:I,df_extratos!F:F,Conciliacao!BE131,df_extratos!G:G,"DEBITO")+SUMIFS(df_extratos!I:I,df_extratos!F:F,Conciliacao!A131,df_extratos!G:G,"DEBITO")+SUMIFS(df_extratos!I:I,df_extratos!F:F,Conciliacao!BF131,df_extratos!G:G,"DEBITO")+SUMIFS(df_extratos!I:I,df_extratos!F:F,Conciliacao!BG131,df_extratos!G:G,"DEBITO")+SUMIFS(df_extratos!I:I,df_extratos!F:F,Conciliacao!BH131,df_extratos!G:G,"DEBITO")</f>
        <v/>
      </c>
      <c r="O131" s="11">
        <f>N131-SUM(J131:M131)</f>
        <v/>
      </c>
      <c r="P131" s="25">
        <f>SUMIFS(df_ajustes_conciliaco!D:D,df_ajustes_conciliaco!C:C,Conciliacao!A131)</f>
        <v/>
      </c>
      <c r="Q131" s="22">
        <f>O131+I131-P131</f>
        <v/>
      </c>
      <c r="BE131" s="20" t="n">
        <v>45787.5</v>
      </c>
      <c r="BF131" s="20" t="n">
        <v>45787.125</v>
      </c>
      <c r="BG131" s="20" t="n">
        <v>45787.54166666666</v>
      </c>
      <c r="BH131" s="20" t="n">
        <v>45787.625</v>
      </c>
    </row>
    <row r="132">
      <c r="A132" s="5">
        <f>A131+1</f>
        <v/>
      </c>
      <c r="B132" s="3">
        <f>-SUMIFS(df_extrato_zig!G:G,df_extrato_zig!E:E,Conciliacao!A132,df_extrato_zig!D:D,"Saque")-SUMIFS(df_extrato_zig!G:G,df_extrato_zig!E:E,Conciliacao!A132,df_extrato_zig!D:D,"Antecipação")</f>
        <v/>
      </c>
      <c r="C132" s="3">
        <f>SUMIFS(df_extrato_zig!E:E,df_extrato_zig!L:L,Conciliacao!A132,df_extrato_zig!F:F,"DINHEIRO")</f>
        <v/>
      </c>
      <c r="D132" s="3">
        <f>SUMIFS(view_parc_agrup!H:H,view_parc_agrup!G:G,Conciliacao!A132)</f>
        <v/>
      </c>
      <c r="E132" s="3">
        <f>SUMIFS(df_eventos!F:F,df_eventos!H:H,Conciliacao!A132)</f>
        <v/>
      </c>
      <c r="F132" s="3">
        <f>SUMIFS(df_mutuos!M:M,df_mutuos!B:B,Conciliacao!A132)</f>
        <v/>
      </c>
      <c r="G132" s="6">
        <f>SUMIFS(df_bloqueios_judiciais!G:G,df_bloqueios_judiciais!D:D,Conciliacao!A132,df_bloqueios_judiciais!G:G,"&gt;0")</f>
        <v/>
      </c>
      <c r="H132" s="7">
        <f>SUMIFS(df_extratos!I:I,df_extratos!F:F,Conciliacao!BE132,df_extratos!G:G,"CREDITO")+SUMIFS(df_extratos!I:I,df_extratos!F:F,Conciliacao!A132,df_extratos!G:G,"CREDITO")+SUMIFS(df_extratos!I:I,df_extratos!F:F,Conciliacao!BF132,df_extratos!G:G,"CREDITO")+SUMIFS(df_extratos!I:I,df_extratos!F:F,Conciliacao!BG132,df_extratos!G:G,"CREDITO")+SUMIFS(df_extratos!I:I,df_extratos!F:F,Conciliacao!BH132,df_extratos!G:G,"CREDITO")</f>
        <v/>
      </c>
      <c r="I132" s="9">
        <f>H132-SUM(B132:G132)</f>
        <v/>
      </c>
      <c r="J132" s="4">
        <f>SUMIFS(df_blueme_sem_parcelamento!E:E,df_blueme_sem_parcelamento!H:H,Conciliacao!A132)*(-1)</f>
        <v/>
      </c>
      <c r="K132" s="4">
        <f>SUMIFS(df_blueme_com_parcelamento!J:J,df_blueme_com_parcelamento!M:M,Conciliacao!A132)*(-1)</f>
        <v/>
      </c>
      <c r="L132" s="4">
        <f>SUMIFS(df_mutuos!N:N,df_mutuos!B:B,Conciliacao!A132)*(-1)</f>
        <v/>
      </c>
      <c r="M132" s="8">
        <f>SUMIFS(df_bloqueios_judiciais!G:G,df_bloqueios_judiciais!D:D,Conciliacao!A132,df_bloqueios_judiciais!G:G,"&lt;0")</f>
        <v/>
      </c>
      <c r="N132" s="10">
        <f>SUMIFS(df_extratos!I:I,df_extratos!F:F,Conciliacao!BE132,df_extratos!G:G,"DEBITO")+SUMIFS(df_extratos!I:I,df_extratos!F:F,Conciliacao!A132,df_extratos!G:G,"DEBITO")+SUMIFS(df_extratos!I:I,df_extratos!F:F,Conciliacao!BF132,df_extratos!G:G,"DEBITO")+SUMIFS(df_extratos!I:I,df_extratos!F:F,Conciliacao!BG132,df_extratos!G:G,"DEBITO")+SUMIFS(df_extratos!I:I,df_extratos!F:F,Conciliacao!BH132,df_extratos!G:G,"DEBITO")</f>
        <v/>
      </c>
      <c r="O132" s="11">
        <f>N132-SUM(J132:M132)</f>
        <v/>
      </c>
      <c r="P132" s="25">
        <f>SUMIFS(df_ajustes_conciliaco!D:D,df_ajustes_conciliaco!C:C,Conciliacao!A132)</f>
        <v/>
      </c>
      <c r="Q132" s="22">
        <f>O132+I132-P132</f>
        <v/>
      </c>
      <c r="BE132" s="20" t="n">
        <v>45788.5</v>
      </c>
      <c r="BF132" s="20" t="n">
        <v>45788.125</v>
      </c>
      <c r="BG132" s="20" t="n">
        <v>45788.54166666666</v>
      </c>
      <c r="BH132" s="20" t="n">
        <v>45788.625</v>
      </c>
    </row>
    <row r="133">
      <c r="A133" s="5">
        <f>A132+1</f>
        <v/>
      </c>
      <c r="B133" s="3">
        <f>-SUMIFS(df_extrato_zig!G:G,df_extrato_zig!E:E,Conciliacao!A133,df_extrato_zig!D:D,"Saque")-SUMIFS(df_extrato_zig!G:G,df_extrato_zig!E:E,Conciliacao!A133,df_extrato_zig!D:D,"Antecipação")</f>
        <v/>
      </c>
      <c r="C133" s="3">
        <f>SUMIFS(df_extrato_zig!E:E,df_extrato_zig!L:L,Conciliacao!A133,df_extrato_zig!F:F,"DINHEIRO")</f>
        <v/>
      </c>
      <c r="D133" s="3">
        <f>SUMIFS(view_parc_agrup!H:H,view_parc_agrup!G:G,Conciliacao!A133)</f>
        <v/>
      </c>
      <c r="E133" s="3">
        <f>SUMIFS(df_eventos!F:F,df_eventos!H:H,Conciliacao!A133)</f>
        <v/>
      </c>
      <c r="F133" s="3">
        <f>SUMIFS(df_mutuos!M:M,df_mutuos!B:B,Conciliacao!A133)</f>
        <v/>
      </c>
      <c r="G133" s="6">
        <f>SUMIFS(df_bloqueios_judiciais!G:G,df_bloqueios_judiciais!D:D,Conciliacao!A133,df_bloqueios_judiciais!G:G,"&gt;0")</f>
        <v/>
      </c>
      <c r="H133" s="7">
        <f>SUMIFS(df_extratos!I:I,df_extratos!F:F,Conciliacao!BE133,df_extratos!G:G,"CREDITO")+SUMIFS(df_extratos!I:I,df_extratos!F:F,Conciliacao!A133,df_extratos!G:G,"CREDITO")+SUMIFS(df_extratos!I:I,df_extratos!F:F,Conciliacao!BF133,df_extratos!G:G,"CREDITO")+SUMIFS(df_extratos!I:I,df_extratos!F:F,Conciliacao!BG133,df_extratos!G:G,"CREDITO")+SUMIFS(df_extratos!I:I,df_extratos!F:F,Conciliacao!BH133,df_extratos!G:G,"CREDITO")</f>
        <v/>
      </c>
      <c r="I133" s="9">
        <f>H133-SUM(B133:G133)</f>
        <v/>
      </c>
      <c r="J133" s="4">
        <f>SUMIFS(df_blueme_sem_parcelamento!E:E,df_blueme_sem_parcelamento!H:H,Conciliacao!A133)*(-1)</f>
        <v/>
      </c>
      <c r="K133" s="4">
        <f>SUMIFS(df_blueme_com_parcelamento!J:J,df_blueme_com_parcelamento!M:M,Conciliacao!A133)*(-1)</f>
        <v/>
      </c>
      <c r="L133" s="4">
        <f>SUMIFS(df_mutuos!N:N,df_mutuos!B:B,Conciliacao!A133)*(-1)</f>
        <v/>
      </c>
      <c r="M133" s="8">
        <f>SUMIFS(df_bloqueios_judiciais!G:G,df_bloqueios_judiciais!D:D,Conciliacao!A133,df_bloqueios_judiciais!G:G,"&lt;0")</f>
        <v/>
      </c>
      <c r="N133" s="10">
        <f>SUMIFS(df_extratos!I:I,df_extratos!F:F,Conciliacao!BE133,df_extratos!G:G,"DEBITO")+SUMIFS(df_extratos!I:I,df_extratos!F:F,Conciliacao!A133,df_extratos!G:G,"DEBITO")+SUMIFS(df_extratos!I:I,df_extratos!F:F,Conciliacao!BF133,df_extratos!G:G,"DEBITO")+SUMIFS(df_extratos!I:I,df_extratos!F:F,Conciliacao!BG133,df_extratos!G:G,"DEBITO")+SUMIFS(df_extratos!I:I,df_extratos!F:F,Conciliacao!BH133,df_extratos!G:G,"DEBITO")</f>
        <v/>
      </c>
      <c r="O133" s="11">
        <f>N133-SUM(J133:M133)</f>
        <v/>
      </c>
      <c r="P133" s="25">
        <f>SUMIFS(df_ajustes_conciliaco!D:D,df_ajustes_conciliaco!C:C,Conciliacao!A133)</f>
        <v/>
      </c>
      <c r="Q133" s="22">
        <f>O133+I133-P133</f>
        <v/>
      </c>
      <c r="BE133" s="20" t="n">
        <v>45789.5</v>
      </c>
      <c r="BF133" s="20" t="n">
        <v>45789.125</v>
      </c>
      <c r="BG133" s="20" t="n">
        <v>45789.54166666666</v>
      </c>
      <c r="BH133" s="20" t="n">
        <v>45789.625</v>
      </c>
    </row>
    <row r="134">
      <c r="A134" s="5">
        <f>A133+1</f>
        <v/>
      </c>
      <c r="B134" s="3">
        <f>-SUMIFS(df_extrato_zig!G:G,df_extrato_zig!E:E,Conciliacao!A134,df_extrato_zig!D:D,"Saque")-SUMIFS(df_extrato_zig!G:G,df_extrato_zig!E:E,Conciliacao!A134,df_extrato_zig!D:D,"Antecipação")</f>
        <v/>
      </c>
      <c r="C134" s="3">
        <f>SUMIFS(df_extrato_zig!E:E,df_extrato_zig!L:L,Conciliacao!A134,df_extrato_zig!F:F,"DINHEIRO")</f>
        <v/>
      </c>
      <c r="D134" s="3">
        <f>SUMIFS(view_parc_agrup!H:H,view_parc_agrup!G:G,Conciliacao!A134)</f>
        <v/>
      </c>
      <c r="E134" s="3">
        <f>SUMIFS(df_eventos!F:F,df_eventos!H:H,Conciliacao!A134)</f>
        <v/>
      </c>
      <c r="F134" s="3">
        <f>SUMIFS(df_mutuos!M:M,df_mutuos!B:B,Conciliacao!A134)</f>
        <v/>
      </c>
      <c r="G134" s="6">
        <f>SUMIFS(df_bloqueios_judiciais!G:G,df_bloqueios_judiciais!D:D,Conciliacao!A134,df_bloqueios_judiciais!G:G,"&gt;0")</f>
        <v/>
      </c>
      <c r="H134" s="7">
        <f>SUMIFS(df_extratos!I:I,df_extratos!F:F,Conciliacao!BE134,df_extratos!G:G,"CREDITO")+SUMIFS(df_extratos!I:I,df_extratos!F:F,Conciliacao!A134,df_extratos!G:G,"CREDITO")+SUMIFS(df_extratos!I:I,df_extratos!F:F,Conciliacao!BF134,df_extratos!G:G,"CREDITO")+SUMIFS(df_extratos!I:I,df_extratos!F:F,Conciliacao!BG134,df_extratos!G:G,"CREDITO")+SUMIFS(df_extratos!I:I,df_extratos!F:F,Conciliacao!BH134,df_extratos!G:G,"CREDITO")</f>
        <v/>
      </c>
      <c r="I134" s="9">
        <f>H134-SUM(B134:G134)</f>
        <v/>
      </c>
      <c r="J134" s="4">
        <f>SUMIFS(df_blueme_sem_parcelamento!E:E,df_blueme_sem_parcelamento!H:H,Conciliacao!A134)*(-1)</f>
        <v/>
      </c>
      <c r="K134" s="4">
        <f>SUMIFS(df_blueme_com_parcelamento!J:J,df_blueme_com_parcelamento!M:M,Conciliacao!A134)*(-1)</f>
        <v/>
      </c>
      <c r="L134" s="4">
        <f>SUMIFS(df_mutuos!N:N,df_mutuos!B:B,Conciliacao!A134)*(-1)</f>
        <v/>
      </c>
      <c r="M134" s="8">
        <f>SUMIFS(df_bloqueios_judiciais!G:G,df_bloqueios_judiciais!D:D,Conciliacao!A134,df_bloqueios_judiciais!G:G,"&lt;0")</f>
        <v/>
      </c>
      <c r="N134" s="10">
        <f>SUMIFS(df_extratos!I:I,df_extratos!F:F,Conciliacao!BE134,df_extratos!G:G,"DEBITO")+SUMIFS(df_extratos!I:I,df_extratos!F:F,Conciliacao!A134,df_extratos!G:G,"DEBITO")+SUMIFS(df_extratos!I:I,df_extratos!F:F,Conciliacao!BF134,df_extratos!G:G,"DEBITO")+SUMIFS(df_extratos!I:I,df_extratos!F:F,Conciliacao!BG134,df_extratos!G:G,"DEBITO")+SUMIFS(df_extratos!I:I,df_extratos!F:F,Conciliacao!BH134,df_extratos!G:G,"DEBITO")</f>
        <v/>
      </c>
      <c r="O134" s="11">
        <f>N134-SUM(J134:M134)</f>
        <v/>
      </c>
      <c r="P134" s="25">
        <f>SUMIFS(df_ajustes_conciliaco!D:D,df_ajustes_conciliaco!C:C,Conciliacao!A134)</f>
        <v/>
      </c>
      <c r="Q134" s="22">
        <f>O134+I134-P134</f>
        <v/>
      </c>
      <c r="BE134" s="20" t="n">
        <v>45790.5</v>
      </c>
      <c r="BF134" s="20" t="n">
        <v>45790.125</v>
      </c>
      <c r="BG134" s="20" t="n">
        <v>45790.54166666666</v>
      </c>
      <c r="BH134" s="20" t="n">
        <v>45790.625</v>
      </c>
    </row>
    <row r="135">
      <c r="A135" s="5">
        <f>A134+1</f>
        <v/>
      </c>
      <c r="B135" s="3">
        <f>-SUMIFS(df_extrato_zig!G:G,df_extrato_zig!E:E,Conciliacao!A135,df_extrato_zig!D:D,"Saque")-SUMIFS(df_extrato_zig!G:G,df_extrato_zig!E:E,Conciliacao!A135,df_extrato_zig!D:D,"Antecipação")</f>
        <v/>
      </c>
      <c r="C135" s="3">
        <f>SUMIFS(df_extrato_zig!E:E,df_extrato_zig!L:L,Conciliacao!A135,df_extrato_zig!F:F,"DINHEIRO")</f>
        <v/>
      </c>
      <c r="D135" s="3">
        <f>SUMIFS(view_parc_agrup!H:H,view_parc_agrup!G:G,Conciliacao!A135)</f>
        <v/>
      </c>
      <c r="E135" s="3">
        <f>SUMIFS(df_eventos!F:F,df_eventos!H:H,Conciliacao!A135)</f>
        <v/>
      </c>
      <c r="F135" s="3">
        <f>SUMIFS(df_mutuos!M:M,df_mutuos!B:B,Conciliacao!A135)</f>
        <v/>
      </c>
      <c r="G135" s="6">
        <f>SUMIFS(df_bloqueios_judiciais!G:G,df_bloqueios_judiciais!D:D,Conciliacao!A135,df_bloqueios_judiciais!G:G,"&gt;0")</f>
        <v/>
      </c>
      <c r="H135" s="7">
        <f>SUMIFS(df_extratos!I:I,df_extratos!F:F,Conciliacao!BE135,df_extratos!G:G,"CREDITO")+SUMIFS(df_extratos!I:I,df_extratos!F:F,Conciliacao!A135,df_extratos!G:G,"CREDITO")+SUMIFS(df_extratos!I:I,df_extratos!F:F,Conciliacao!BF135,df_extratos!G:G,"CREDITO")+SUMIFS(df_extratos!I:I,df_extratos!F:F,Conciliacao!BG135,df_extratos!G:G,"CREDITO")+SUMIFS(df_extratos!I:I,df_extratos!F:F,Conciliacao!BH135,df_extratos!G:G,"CREDITO")</f>
        <v/>
      </c>
      <c r="I135" s="9">
        <f>H135-SUM(B135:G135)</f>
        <v/>
      </c>
      <c r="J135" s="4">
        <f>SUMIFS(df_blueme_sem_parcelamento!E:E,df_blueme_sem_parcelamento!H:H,Conciliacao!A135)*(-1)</f>
        <v/>
      </c>
      <c r="K135" s="4">
        <f>SUMIFS(df_blueme_com_parcelamento!J:J,df_blueme_com_parcelamento!M:M,Conciliacao!A135)*(-1)</f>
        <v/>
      </c>
      <c r="L135" s="4">
        <f>SUMIFS(df_mutuos!N:N,df_mutuos!B:B,Conciliacao!A135)*(-1)</f>
        <v/>
      </c>
      <c r="M135" s="8">
        <f>SUMIFS(df_bloqueios_judiciais!G:G,df_bloqueios_judiciais!D:D,Conciliacao!A135,df_bloqueios_judiciais!G:G,"&lt;0")</f>
        <v/>
      </c>
      <c r="N135" s="10">
        <f>SUMIFS(df_extratos!I:I,df_extratos!F:F,Conciliacao!BE135,df_extratos!G:G,"DEBITO")+SUMIFS(df_extratos!I:I,df_extratos!F:F,Conciliacao!A135,df_extratos!G:G,"DEBITO")+SUMIFS(df_extratos!I:I,df_extratos!F:F,Conciliacao!BF135,df_extratos!G:G,"DEBITO")+SUMIFS(df_extratos!I:I,df_extratos!F:F,Conciliacao!BG135,df_extratos!G:G,"DEBITO")+SUMIFS(df_extratos!I:I,df_extratos!F:F,Conciliacao!BH135,df_extratos!G:G,"DEBITO")</f>
        <v/>
      </c>
      <c r="O135" s="11">
        <f>N135-SUM(J135:M135)</f>
        <v/>
      </c>
      <c r="P135" s="25">
        <f>SUMIFS(df_ajustes_conciliaco!D:D,df_ajustes_conciliaco!C:C,Conciliacao!A135)</f>
        <v/>
      </c>
      <c r="Q135" s="22">
        <f>O135+I135-P135</f>
        <v/>
      </c>
      <c r="BE135" s="20" t="n">
        <v>45791.5</v>
      </c>
      <c r="BF135" s="20" t="n">
        <v>45791.125</v>
      </c>
      <c r="BG135" s="20" t="n">
        <v>45791.54166666666</v>
      </c>
      <c r="BH135" s="20" t="n">
        <v>45791.625</v>
      </c>
    </row>
    <row r="136">
      <c r="A136" s="5">
        <f>A135+1</f>
        <v/>
      </c>
      <c r="B136" s="3">
        <f>-SUMIFS(df_extrato_zig!G:G,df_extrato_zig!E:E,Conciliacao!A136,df_extrato_zig!D:D,"Saque")-SUMIFS(df_extrato_zig!G:G,df_extrato_zig!E:E,Conciliacao!A136,df_extrato_zig!D:D,"Antecipação")</f>
        <v/>
      </c>
      <c r="C136" s="3">
        <f>SUMIFS(df_extrato_zig!E:E,df_extrato_zig!L:L,Conciliacao!A136,df_extrato_zig!F:F,"DINHEIRO")</f>
        <v/>
      </c>
      <c r="D136" s="3">
        <f>SUMIFS(view_parc_agrup!H:H,view_parc_agrup!G:G,Conciliacao!A136)</f>
        <v/>
      </c>
      <c r="E136" s="3">
        <f>SUMIFS(df_eventos!F:F,df_eventos!H:H,Conciliacao!A136)</f>
        <v/>
      </c>
      <c r="F136" s="3">
        <f>SUMIFS(df_mutuos!M:M,df_mutuos!B:B,Conciliacao!A136)</f>
        <v/>
      </c>
      <c r="G136" s="6">
        <f>SUMIFS(df_bloqueios_judiciais!G:G,df_bloqueios_judiciais!D:D,Conciliacao!A136,df_bloqueios_judiciais!G:G,"&gt;0")</f>
        <v/>
      </c>
      <c r="H136" s="7">
        <f>SUMIFS(df_extratos!I:I,df_extratos!F:F,Conciliacao!BE136,df_extratos!G:G,"CREDITO")+SUMIFS(df_extratos!I:I,df_extratos!F:F,Conciliacao!A136,df_extratos!G:G,"CREDITO")+SUMIFS(df_extratos!I:I,df_extratos!F:F,Conciliacao!BF136,df_extratos!G:G,"CREDITO")+SUMIFS(df_extratos!I:I,df_extratos!F:F,Conciliacao!BG136,df_extratos!G:G,"CREDITO")+SUMIFS(df_extratos!I:I,df_extratos!F:F,Conciliacao!BH136,df_extratos!G:G,"CREDITO")</f>
        <v/>
      </c>
      <c r="I136" s="9">
        <f>H136-SUM(B136:G136)</f>
        <v/>
      </c>
      <c r="J136" s="4">
        <f>SUMIFS(df_blueme_sem_parcelamento!E:E,df_blueme_sem_parcelamento!H:H,Conciliacao!A136)*(-1)</f>
        <v/>
      </c>
      <c r="K136" s="4">
        <f>SUMIFS(df_blueme_com_parcelamento!J:J,df_blueme_com_parcelamento!M:M,Conciliacao!A136)*(-1)</f>
        <v/>
      </c>
      <c r="L136" s="4">
        <f>SUMIFS(df_mutuos!N:N,df_mutuos!B:B,Conciliacao!A136)*(-1)</f>
        <v/>
      </c>
      <c r="M136" s="8">
        <f>SUMIFS(df_bloqueios_judiciais!G:G,df_bloqueios_judiciais!D:D,Conciliacao!A136,df_bloqueios_judiciais!G:G,"&lt;0")</f>
        <v/>
      </c>
      <c r="N136" s="10">
        <f>SUMIFS(df_extratos!I:I,df_extratos!F:F,Conciliacao!BE136,df_extratos!G:G,"DEBITO")+SUMIFS(df_extratos!I:I,df_extratos!F:F,Conciliacao!A136,df_extratos!G:G,"DEBITO")+SUMIFS(df_extratos!I:I,df_extratos!F:F,Conciliacao!BF136,df_extratos!G:G,"DEBITO")+SUMIFS(df_extratos!I:I,df_extratos!F:F,Conciliacao!BG136,df_extratos!G:G,"DEBITO")+SUMIFS(df_extratos!I:I,df_extratos!F:F,Conciliacao!BH136,df_extratos!G:G,"DEBITO")</f>
        <v/>
      </c>
      <c r="O136" s="11">
        <f>N136-SUM(J136:M136)</f>
        <v/>
      </c>
      <c r="P136" s="25">
        <f>SUMIFS(df_ajustes_conciliaco!D:D,df_ajustes_conciliaco!C:C,Conciliacao!A136)</f>
        <v/>
      </c>
      <c r="Q136" s="22">
        <f>O136+I136-P136</f>
        <v/>
      </c>
      <c r="BE136" s="20" t="n">
        <v>45792.5</v>
      </c>
      <c r="BF136" s="20" t="n">
        <v>45792.125</v>
      </c>
      <c r="BG136" s="20" t="n">
        <v>45792.54166666666</v>
      </c>
      <c r="BH136" s="20" t="n">
        <v>45792.625</v>
      </c>
    </row>
    <row r="137">
      <c r="A137" s="5">
        <f>A136+1</f>
        <v/>
      </c>
      <c r="B137" s="3">
        <f>-SUMIFS(df_extrato_zig!G:G,df_extrato_zig!E:E,Conciliacao!A137,df_extrato_zig!D:D,"Saque")-SUMIFS(df_extrato_zig!G:G,df_extrato_zig!E:E,Conciliacao!A137,df_extrato_zig!D:D,"Antecipação")</f>
        <v/>
      </c>
      <c r="C137" s="3">
        <f>SUMIFS(df_extrato_zig!E:E,df_extrato_zig!L:L,Conciliacao!A137,df_extrato_zig!F:F,"DINHEIRO")</f>
        <v/>
      </c>
      <c r="D137" s="3">
        <f>SUMIFS(view_parc_agrup!H:H,view_parc_agrup!G:G,Conciliacao!A137)</f>
        <v/>
      </c>
      <c r="E137" s="3">
        <f>SUMIFS(df_eventos!F:F,df_eventos!H:H,Conciliacao!A137)</f>
        <v/>
      </c>
      <c r="F137" s="3">
        <f>SUMIFS(df_mutuos!M:M,df_mutuos!B:B,Conciliacao!A137)</f>
        <v/>
      </c>
      <c r="G137" s="6">
        <f>SUMIFS(df_bloqueios_judiciais!G:G,df_bloqueios_judiciais!D:D,Conciliacao!A137,df_bloqueios_judiciais!G:G,"&gt;0")</f>
        <v/>
      </c>
      <c r="H137" s="7">
        <f>SUMIFS(df_extratos!I:I,df_extratos!F:F,Conciliacao!BE137,df_extratos!G:G,"CREDITO")+SUMIFS(df_extratos!I:I,df_extratos!F:F,Conciliacao!A137,df_extratos!G:G,"CREDITO")+SUMIFS(df_extratos!I:I,df_extratos!F:F,Conciliacao!BF137,df_extratos!G:G,"CREDITO")+SUMIFS(df_extratos!I:I,df_extratos!F:F,Conciliacao!BG137,df_extratos!G:G,"CREDITO")+SUMIFS(df_extratos!I:I,df_extratos!F:F,Conciliacao!BH137,df_extratos!G:G,"CREDITO")</f>
        <v/>
      </c>
      <c r="I137" s="9">
        <f>H137-SUM(B137:G137)</f>
        <v/>
      </c>
      <c r="J137" s="4">
        <f>SUMIFS(df_blueme_sem_parcelamento!E:E,df_blueme_sem_parcelamento!H:H,Conciliacao!A137)*(-1)</f>
        <v/>
      </c>
      <c r="K137" s="4">
        <f>SUMIFS(df_blueme_com_parcelamento!J:J,df_blueme_com_parcelamento!M:M,Conciliacao!A137)*(-1)</f>
        <v/>
      </c>
      <c r="L137" s="4">
        <f>SUMIFS(df_mutuos!N:N,df_mutuos!B:B,Conciliacao!A137)*(-1)</f>
        <v/>
      </c>
      <c r="M137" s="8">
        <f>SUMIFS(df_bloqueios_judiciais!G:G,df_bloqueios_judiciais!D:D,Conciliacao!A137,df_bloqueios_judiciais!G:G,"&lt;0")</f>
        <v/>
      </c>
      <c r="N137" s="10">
        <f>SUMIFS(df_extratos!I:I,df_extratos!F:F,Conciliacao!BE137,df_extratos!G:G,"DEBITO")+SUMIFS(df_extratos!I:I,df_extratos!F:F,Conciliacao!A137,df_extratos!G:G,"DEBITO")+SUMIFS(df_extratos!I:I,df_extratos!F:F,Conciliacao!BF137,df_extratos!G:G,"DEBITO")+SUMIFS(df_extratos!I:I,df_extratos!F:F,Conciliacao!BG137,df_extratos!G:G,"DEBITO")+SUMIFS(df_extratos!I:I,df_extratos!F:F,Conciliacao!BH137,df_extratos!G:G,"DEBITO")</f>
        <v/>
      </c>
      <c r="O137" s="11">
        <f>N137-SUM(J137:M137)</f>
        <v/>
      </c>
      <c r="P137" s="25">
        <f>SUMIFS(df_ajustes_conciliaco!D:D,df_ajustes_conciliaco!C:C,Conciliacao!A137)</f>
        <v/>
      </c>
      <c r="Q137" s="22">
        <f>O137+I137-P137</f>
        <v/>
      </c>
      <c r="BE137" s="20" t="n">
        <v>45793.5</v>
      </c>
      <c r="BF137" s="20" t="n">
        <v>45793.125</v>
      </c>
      <c r="BG137" s="20" t="n">
        <v>45793.54166666666</v>
      </c>
      <c r="BH137" s="20" t="n">
        <v>45793.625</v>
      </c>
    </row>
    <row r="138">
      <c r="A138" s="5">
        <f>A137+1</f>
        <v/>
      </c>
      <c r="B138" s="3">
        <f>-SUMIFS(df_extrato_zig!G:G,df_extrato_zig!E:E,Conciliacao!A138,df_extrato_zig!D:D,"Saque")-SUMIFS(df_extrato_zig!G:G,df_extrato_zig!E:E,Conciliacao!A138,df_extrato_zig!D:D,"Antecipação")</f>
        <v/>
      </c>
      <c r="C138" s="3">
        <f>SUMIFS(df_extrato_zig!E:E,df_extrato_zig!L:L,Conciliacao!A138,df_extrato_zig!F:F,"DINHEIRO")</f>
        <v/>
      </c>
      <c r="D138" s="3">
        <f>SUMIFS(view_parc_agrup!H:H,view_parc_agrup!G:G,Conciliacao!A138)</f>
        <v/>
      </c>
      <c r="E138" s="3">
        <f>SUMIFS(df_eventos!F:F,df_eventos!H:H,Conciliacao!A138)</f>
        <v/>
      </c>
      <c r="F138" s="3">
        <f>SUMIFS(df_mutuos!M:M,df_mutuos!B:B,Conciliacao!A138)</f>
        <v/>
      </c>
      <c r="G138" s="6">
        <f>SUMIFS(df_bloqueios_judiciais!G:G,df_bloqueios_judiciais!D:D,Conciliacao!A138,df_bloqueios_judiciais!G:G,"&gt;0")</f>
        <v/>
      </c>
      <c r="H138" s="7">
        <f>SUMIFS(df_extratos!I:I,df_extratos!F:F,Conciliacao!BE138,df_extratos!G:G,"CREDITO")+SUMIFS(df_extratos!I:I,df_extratos!F:F,Conciliacao!A138,df_extratos!G:G,"CREDITO")+SUMIFS(df_extratos!I:I,df_extratos!F:F,Conciliacao!BF138,df_extratos!G:G,"CREDITO")+SUMIFS(df_extratos!I:I,df_extratos!F:F,Conciliacao!BG138,df_extratos!G:G,"CREDITO")+SUMIFS(df_extratos!I:I,df_extratos!F:F,Conciliacao!BH138,df_extratos!G:G,"CREDITO")</f>
        <v/>
      </c>
      <c r="I138" s="9">
        <f>H138-SUM(B138:G138)</f>
        <v/>
      </c>
      <c r="J138" s="4">
        <f>SUMIFS(df_blueme_sem_parcelamento!E:E,df_blueme_sem_parcelamento!H:H,Conciliacao!A138)*(-1)</f>
        <v/>
      </c>
      <c r="K138" s="4">
        <f>SUMIFS(df_blueme_com_parcelamento!J:J,df_blueme_com_parcelamento!M:M,Conciliacao!A138)*(-1)</f>
        <v/>
      </c>
      <c r="L138" s="4">
        <f>SUMIFS(df_mutuos!N:N,df_mutuos!B:B,Conciliacao!A138)*(-1)</f>
        <v/>
      </c>
      <c r="M138" s="8">
        <f>SUMIFS(df_bloqueios_judiciais!G:G,df_bloqueios_judiciais!D:D,Conciliacao!A138,df_bloqueios_judiciais!G:G,"&lt;0")</f>
        <v/>
      </c>
      <c r="N138" s="10">
        <f>SUMIFS(df_extratos!I:I,df_extratos!F:F,Conciliacao!BE138,df_extratos!G:G,"DEBITO")+SUMIFS(df_extratos!I:I,df_extratos!F:F,Conciliacao!A138,df_extratos!G:G,"DEBITO")+SUMIFS(df_extratos!I:I,df_extratos!F:F,Conciliacao!BF138,df_extratos!G:G,"DEBITO")+SUMIFS(df_extratos!I:I,df_extratos!F:F,Conciliacao!BG138,df_extratos!G:G,"DEBITO")+SUMIFS(df_extratos!I:I,df_extratos!F:F,Conciliacao!BH138,df_extratos!G:G,"DEBITO")</f>
        <v/>
      </c>
      <c r="O138" s="11">
        <f>N138-SUM(J138:M138)</f>
        <v/>
      </c>
      <c r="P138" s="25">
        <f>SUMIFS(df_ajustes_conciliaco!D:D,df_ajustes_conciliaco!C:C,Conciliacao!A138)</f>
        <v/>
      </c>
      <c r="Q138" s="22">
        <f>O138+I138-P138</f>
        <v/>
      </c>
      <c r="BE138" s="20" t="n">
        <v>45794.5</v>
      </c>
      <c r="BF138" s="20" t="n">
        <v>45794.125</v>
      </c>
      <c r="BG138" s="20" t="n">
        <v>45794.54166666666</v>
      </c>
      <c r="BH138" s="20" t="n">
        <v>45794.625</v>
      </c>
    </row>
    <row r="139">
      <c r="A139" s="5">
        <f>A138+1</f>
        <v/>
      </c>
      <c r="B139" s="3">
        <f>-SUMIFS(df_extrato_zig!G:G,df_extrato_zig!E:E,Conciliacao!A139,df_extrato_zig!D:D,"Saque")-SUMIFS(df_extrato_zig!G:G,df_extrato_zig!E:E,Conciliacao!A139,df_extrato_zig!D:D,"Antecipação")</f>
        <v/>
      </c>
      <c r="C139" s="3">
        <f>SUMIFS(df_extrato_zig!E:E,df_extrato_zig!L:L,Conciliacao!A139,df_extrato_zig!F:F,"DINHEIRO")</f>
        <v/>
      </c>
      <c r="D139" s="3">
        <f>SUMIFS(view_parc_agrup!H:H,view_parc_agrup!G:G,Conciliacao!A139)</f>
        <v/>
      </c>
      <c r="E139" s="3">
        <f>SUMIFS(df_eventos!F:F,df_eventos!H:H,Conciliacao!A139)</f>
        <v/>
      </c>
      <c r="F139" s="3">
        <f>SUMIFS(df_mutuos!M:M,df_mutuos!B:B,Conciliacao!A139)</f>
        <v/>
      </c>
      <c r="G139" s="6">
        <f>SUMIFS(df_bloqueios_judiciais!G:G,df_bloqueios_judiciais!D:D,Conciliacao!A139,df_bloqueios_judiciais!G:G,"&gt;0")</f>
        <v/>
      </c>
      <c r="H139" s="7">
        <f>SUMIFS(df_extratos!I:I,df_extratos!F:F,Conciliacao!BE139,df_extratos!G:G,"CREDITO")+SUMIFS(df_extratos!I:I,df_extratos!F:F,Conciliacao!A139,df_extratos!G:G,"CREDITO")+SUMIFS(df_extratos!I:I,df_extratos!F:F,Conciliacao!BF139,df_extratos!G:G,"CREDITO")+SUMIFS(df_extratos!I:I,df_extratos!F:F,Conciliacao!BG139,df_extratos!G:G,"CREDITO")+SUMIFS(df_extratos!I:I,df_extratos!F:F,Conciliacao!BH139,df_extratos!G:G,"CREDITO")</f>
        <v/>
      </c>
      <c r="I139" s="9">
        <f>H139-SUM(B139:G139)</f>
        <v/>
      </c>
      <c r="J139" s="4">
        <f>SUMIFS(df_blueme_sem_parcelamento!E:E,df_blueme_sem_parcelamento!H:H,Conciliacao!A139)*(-1)</f>
        <v/>
      </c>
      <c r="K139" s="4">
        <f>SUMIFS(df_blueme_com_parcelamento!J:J,df_blueme_com_parcelamento!M:M,Conciliacao!A139)*(-1)</f>
        <v/>
      </c>
      <c r="L139" s="4">
        <f>SUMIFS(df_mutuos!N:N,df_mutuos!B:B,Conciliacao!A139)*(-1)</f>
        <v/>
      </c>
      <c r="M139" s="8">
        <f>SUMIFS(df_bloqueios_judiciais!G:G,df_bloqueios_judiciais!D:D,Conciliacao!A139,df_bloqueios_judiciais!G:G,"&lt;0")</f>
        <v/>
      </c>
      <c r="N139" s="10">
        <f>SUMIFS(df_extratos!I:I,df_extratos!F:F,Conciliacao!BE139,df_extratos!G:G,"DEBITO")+SUMIFS(df_extratos!I:I,df_extratos!F:F,Conciliacao!A139,df_extratos!G:G,"DEBITO")+SUMIFS(df_extratos!I:I,df_extratos!F:F,Conciliacao!BF139,df_extratos!G:G,"DEBITO")+SUMIFS(df_extratos!I:I,df_extratos!F:F,Conciliacao!BG139,df_extratos!G:G,"DEBITO")+SUMIFS(df_extratos!I:I,df_extratos!F:F,Conciliacao!BH139,df_extratos!G:G,"DEBITO")</f>
        <v/>
      </c>
      <c r="O139" s="11">
        <f>N139-SUM(J139:M139)</f>
        <v/>
      </c>
      <c r="P139" s="25">
        <f>SUMIFS(df_ajustes_conciliaco!D:D,df_ajustes_conciliaco!C:C,Conciliacao!A139)</f>
        <v/>
      </c>
      <c r="Q139" s="22">
        <f>O139+I139-P139</f>
        <v/>
      </c>
      <c r="BE139" s="20" t="n">
        <v>45795.5</v>
      </c>
      <c r="BF139" s="20" t="n">
        <v>45795.125</v>
      </c>
      <c r="BG139" s="20" t="n">
        <v>45795.54166666666</v>
      </c>
      <c r="BH139" s="20" t="n">
        <v>45795.625</v>
      </c>
    </row>
    <row r="140">
      <c r="A140" s="5">
        <f>A139+1</f>
        <v/>
      </c>
      <c r="B140" s="3">
        <f>-SUMIFS(df_extrato_zig!G:G,df_extrato_zig!E:E,Conciliacao!A140,df_extrato_zig!D:D,"Saque")-SUMIFS(df_extrato_zig!G:G,df_extrato_zig!E:E,Conciliacao!A140,df_extrato_zig!D:D,"Antecipação")</f>
        <v/>
      </c>
      <c r="C140" s="3">
        <f>SUMIFS(df_extrato_zig!E:E,df_extrato_zig!L:L,Conciliacao!A140,df_extrato_zig!F:F,"DINHEIRO")</f>
        <v/>
      </c>
      <c r="D140" s="3">
        <f>SUMIFS(view_parc_agrup!H:H,view_parc_agrup!G:G,Conciliacao!A140)</f>
        <v/>
      </c>
      <c r="E140" s="3">
        <f>SUMIFS(df_eventos!F:F,df_eventos!H:H,Conciliacao!A140)</f>
        <v/>
      </c>
      <c r="F140" s="3">
        <f>SUMIFS(df_mutuos!M:M,df_mutuos!B:B,Conciliacao!A140)</f>
        <v/>
      </c>
      <c r="G140" s="6">
        <f>SUMIFS(df_bloqueios_judiciais!G:G,df_bloqueios_judiciais!D:D,Conciliacao!A140,df_bloqueios_judiciais!G:G,"&gt;0")</f>
        <v/>
      </c>
      <c r="H140" s="7">
        <f>SUMIFS(df_extratos!I:I,df_extratos!F:F,Conciliacao!BE140,df_extratos!G:G,"CREDITO")+SUMIFS(df_extratos!I:I,df_extratos!F:F,Conciliacao!A140,df_extratos!G:G,"CREDITO")+SUMIFS(df_extratos!I:I,df_extratos!F:F,Conciliacao!BF140,df_extratos!G:G,"CREDITO")+SUMIFS(df_extratos!I:I,df_extratos!F:F,Conciliacao!BG140,df_extratos!G:G,"CREDITO")+SUMIFS(df_extratos!I:I,df_extratos!F:F,Conciliacao!BH140,df_extratos!G:G,"CREDITO")</f>
        <v/>
      </c>
      <c r="I140" s="9">
        <f>H140-SUM(B140:G140)</f>
        <v/>
      </c>
      <c r="J140" s="4">
        <f>SUMIFS(df_blueme_sem_parcelamento!E:E,df_blueme_sem_parcelamento!H:H,Conciliacao!A140)*(-1)</f>
        <v/>
      </c>
      <c r="K140" s="4">
        <f>SUMIFS(df_blueme_com_parcelamento!J:J,df_blueme_com_parcelamento!M:M,Conciliacao!A140)*(-1)</f>
        <v/>
      </c>
      <c r="L140" s="4">
        <f>SUMIFS(df_mutuos!N:N,df_mutuos!B:B,Conciliacao!A140)*(-1)</f>
        <v/>
      </c>
      <c r="M140" s="8">
        <f>SUMIFS(df_bloqueios_judiciais!G:G,df_bloqueios_judiciais!D:D,Conciliacao!A140,df_bloqueios_judiciais!G:G,"&lt;0")</f>
        <v/>
      </c>
      <c r="N140" s="10">
        <f>SUMIFS(df_extratos!I:I,df_extratos!F:F,Conciliacao!BE140,df_extratos!G:G,"DEBITO")+SUMIFS(df_extratos!I:I,df_extratos!F:F,Conciliacao!A140,df_extratos!G:G,"DEBITO")+SUMIFS(df_extratos!I:I,df_extratos!F:F,Conciliacao!BF140,df_extratos!G:G,"DEBITO")+SUMIFS(df_extratos!I:I,df_extratos!F:F,Conciliacao!BG140,df_extratos!G:G,"DEBITO")+SUMIFS(df_extratos!I:I,df_extratos!F:F,Conciliacao!BH140,df_extratos!G:G,"DEBITO")</f>
        <v/>
      </c>
      <c r="O140" s="11">
        <f>N140-SUM(J140:M140)</f>
        <v/>
      </c>
      <c r="P140" s="25">
        <f>SUMIFS(df_ajustes_conciliaco!D:D,df_ajustes_conciliaco!C:C,Conciliacao!A140)</f>
        <v/>
      </c>
      <c r="Q140" s="22">
        <f>O140+I140-P140</f>
        <v/>
      </c>
      <c r="BE140" s="20" t="n">
        <v>45796.5</v>
      </c>
      <c r="BF140" s="20" t="n">
        <v>45796.125</v>
      </c>
      <c r="BG140" s="20" t="n">
        <v>45796.54166666666</v>
      </c>
      <c r="BH140" s="20" t="n">
        <v>45796.625</v>
      </c>
    </row>
    <row r="141">
      <c r="A141" s="5">
        <f>A140+1</f>
        <v/>
      </c>
      <c r="B141" s="3">
        <f>-SUMIFS(df_extrato_zig!G:G,df_extrato_zig!E:E,Conciliacao!A141,df_extrato_zig!D:D,"Saque")-SUMIFS(df_extrato_zig!G:G,df_extrato_zig!E:E,Conciliacao!A141,df_extrato_zig!D:D,"Antecipação")</f>
        <v/>
      </c>
      <c r="C141" s="3">
        <f>SUMIFS(df_extrato_zig!E:E,df_extrato_zig!L:L,Conciliacao!A141,df_extrato_zig!F:F,"DINHEIRO")</f>
        <v/>
      </c>
      <c r="D141" s="3">
        <f>SUMIFS(view_parc_agrup!H:H,view_parc_agrup!G:G,Conciliacao!A141)</f>
        <v/>
      </c>
      <c r="E141" s="3">
        <f>SUMIFS(df_eventos!F:F,df_eventos!H:H,Conciliacao!A141)</f>
        <v/>
      </c>
      <c r="F141" s="3">
        <f>SUMIFS(df_mutuos!M:M,df_mutuos!B:B,Conciliacao!A141)</f>
        <v/>
      </c>
      <c r="G141" s="6">
        <f>SUMIFS(df_bloqueios_judiciais!G:G,df_bloqueios_judiciais!D:D,Conciliacao!A141,df_bloqueios_judiciais!G:G,"&gt;0")</f>
        <v/>
      </c>
      <c r="H141" s="7">
        <f>SUMIFS(df_extratos!I:I,df_extratos!F:F,Conciliacao!BE141,df_extratos!G:G,"CREDITO")+SUMIFS(df_extratos!I:I,df_extratos!F:F,Conciliacao!A141,df_extratos!G:G,"CREDITO")+SUMIFS(df_extratos!I:I,df_extratos!F:F,Conciliacao!BF141,df_extratos!G:G,"CREDITO")+SUMIFS(df_extratos!I:I,df_extratos!F:F,Conciliacao!BG141,df_extratos!G:G,"CREDITO")+SUMIFS(df_extratos!I:I,df_extratos!F:F,Conciliacao!BH141,df_extratos!G:G,"CREDITO")</f>
        <v/>
      </c>
      <c r="I141" s="9">
        <f>H141-SUM(B141:G141)</f>
        <v/>
      </c>
      <c r="J141" s="4">
        <f>SUMIFS(df_blueme_sem_parcelamento!E:E,df_blueme_sem_parcelamento!H:H,Conciliacao!A141)*(-1)</f>
        <v/>
      </c>
      <c r="K141" s="4">
        <f>SUMIFS(df_blueme_com_parcelamento!J:J,df_blueme_com_parcelamento!M:M,Conciliacao!A141)*(-1)</f>
        <v/>
      </c>
      <c r="L141" s="4">
        <f>SUMIFS(df_mutuos!N:N,df_mutuos!B:B,Conciliacao!A141)*(-1)</f>
        <v/>
      </c>
      <c r="M141" s="8">
        <f>SUMIFS(df_bloqueios_judiciais!G:G,df_bloqueios_judiciais!D:D,Conciliacao!A141,df_bloqueios_judiciais!G:G,"&lt;0")</f>
        <v/>
      </c>
      <c r="N141" s="10">
        <f>SUMIFS(df_extratos!I:I,df_extratos!F:F,Conciliacao!BE141,df_extratos!G:G,"DEBITO")+SUMIFS(df_extratos!I:I,df_extratos!F:F,Conciliacao!A141,df_extratos!G:G,"DEBITO")+SUMIFS(df_extratos!I:I,df_extratos!F:F,Conciliacao!BF141,df_extratos!G:G,"DEBITO")+SUMIFS(df_extratos!I:I,df_extratos!F:F,Conciliacao!BG141,df_extratos!G:G,"DEBITO")+SUMIFS(df_extratos!I:I,df_extratos!F:F,Conciliacao!BH141,df_extratos!G:G,"DEBITO")</f>
        <v/>
      </c>
      <c r="O141" s="11">
        <f>N141-SUM(J141:M141)</f>
        <v/>
      </c>
      <c r="P141" s="25">
        <f>SUMIFS(df_ajustes_conciliaco!D:D,df_ajustes_conciliaco!C:C,Conciliacao!A141)</f>
        <v/>
      </c>
      <c r="Q141" s="22">
        <f>O141+I141-P141</f>
        <v/>
      </c>
      <c r="BE141" s="20" t="n">
        <v>45797.5</v>
      </c>
      <c r="BF141" s="20" t="n">
        <v>45797.125</v>
      </c>
      <c r="BG141" s="20" t="n">
        <v>45797.54166666666</v>
      </c>
      <c r="BH141" s="20" t="n">
        <v>45797.625</v>
      </c>
    </row>
    <row r="142">
      <c r="A142" s="5">
        <f>A141+1</f>
        <v/>
      </c>
      <c r="B142" s="3">
        <f>-SUMIFS(df_extrato_zig!G:G,df_extrato_zig!E:E,Conciliacao!A142,df_extrato_zig!D:D,"Saque")-SUMIFS(df_extrato_zig!G:G,df_extrato_zig!E:E,Conciliacao!A142,df_extrato_zig!D:D,"Antecipação")</f>
        <v/>
      </c>
      <c r="C142" s="3">
        <f>SUMIFS(df_extrato_zig!E:E,df_extrato_zig!L:L,Conciliacao!A142,df_extrato_zig!F:F,"DINHEIRO")</f>
        <v/>
      </c>
      <c r="D142" s="3">
        <f>SUMIFS(view_parc_agrup!H:H,view_parc_agrup!G:G,Conciliacao!A142)</f>
        <v/>
      </c>
      <c r="E142" s="3">
        <f>SUMIFS(df_eventos!F:F,df_eventos!H:H,Conciliacao!A142)</f>
        <v/>
      </c>
      <c r="F142" s="3">
        <f>SUMIFS(df_mutuos!M:M,df_mutuos!B:B,Conciliacao!A142)</f>
        <v/>
      </c>
      <c r="G142" s="6">
        <f>SUMIFS(df_bloqueios_judiciais!G:G,df_bloqueios_judiciais!D:D,Conciliacao!A142,df_bloqueios_judiciais!G:G,"&gt;0")</f>
        <v/>
      </c>
      <c r="H142" s="7">
        <f>SUMIFS(df_extratos!I:I,df_extratos!F:F,Conciliacao!BE142,df_extratos!G:G,"CREDITO")+SUMIFS(df_extratos!I:I,df_extratos!F:F,Conciliacao!A142,df_extratos!G:G,"CREDITO")+SUMIFS(df_extratos!I:I,df_extratos!F:F,Conciliacao!BF142,df_extratos!G:G,"CREDITO")+SUMIFS(df_extratos!I:I,df_extratos!F:F,Conciliacao!BG142,df_extratos!G:G,"CREDITO")+SUMIFS(df_extratos!I:I,df_extratos!F:F,Conciliacao!BH142,df_extratos!G:G,"CREDITO")</f>
        <v/>
      </c>
      <c r="I142" s="9">
        <f>H142-SUM(B142:G142)</f>
        <v/>
      </c>
      <c r="J142" s="4">
        <f>SUMIFS(df_blueme_sem_parcelamento!E:E,df_blueme_sem_parcelamento!H:H,Conciliacao!A142)*(-1)</f>
        <v/>
      </c>
      <c r="K142" s="4">
        <f>SUMIFS(df_blueme_com_parcelamento!J:J,df_blueme_com_parcelamento!M:M,Conciliacao!A142)*(-1)</f>
        <v/>
      </c>
      <c r="L142" s="4">
        <f>SUMIFS(df_mutuos!N:N,df_mutuos!B:B,Conciliacao!A142)*(-1)</f>
        <v/>
      </c>
      <c r="M142" s="8">
        <f>SUMIFS(df_bloqueios_judiciais!G:G,df_bloqueios_judiciais!D:D,Conciliacao!A142,df_bloqueios_judiciais!G:G,"&lt;0")</f>
        <v/>
      </c>
      <c r="N142" s="10">
        <f>SUMIFS(df_extratos!I:I,df_extratos!F:F,Conciliacao!BE142,df_extratos!G:G,"DEBITO")+SUMIFS(df_extratos!I:I,df_extratos!F:F,Conciliacao!A142,df_extratos!G:G,"DEBITO")+SUMIFS(df_extratos!I:I,df_extratos!F:F,Conciliacao!BF142,df_extratos!G:G,"DEBITO")+SUMIFS(df_extratos!I:I,df_extratos!F:F,Conciliacao!BG142,df_extratos!G:G,"DEBITO")+SUMIFS(df_extratos!I:I,df_extratos!F:F,Conciliacao!BH142,df_extratos!G:G,"DEBITO")</f>
        <v/>
      </c>
      <c r="O142" s="11">
        <f>N142-SUM(J142:M142)</f>
        <v/>
      </c>
      <c r="P142" s="25">
        <f>SUMIFS(df_ajustes_conciliaco!D:D,df_ajustes_conciliaco!C:C,Conciliacao!A142)</f>
        <v/>
      </c>
      <c r="Q142" s="22">
        <f>O142+I142-P142</f>
        <v/>
      </c>
      <c r="BE142" s="20" t="n">
        <v>45798.5</v>
      </c>
      <c r="BF142" s="20" t="n">
        <v>45798.125</v>
      </c>
      <c r="BG142" s="20" t="n">
        <v>45798.54166666666</v>
      </c>
      <c r="BH142" s="20" t="n">
        <v>45798.625</v>
      </c>
    </row>
    <row r="143">
      <c r="A143" s="5">
        <f>A142+1</f>
        <v/>
      </c>
      <c r="B143" s="3">
        <f>-SUMIFS(df_extrato_zig!G:G,df_extrato_zig!E:E,Conciliacao!A143,df_extrato_zig!D:D,"Saque")-SUMIFS(df_extrato_zig!G:G,df_extrato_zig!E:E,Conciliacao!A143,df_extrato_zig!D:D,"Antecipação")</f>
        <v/>
      </c>
      <c r="C143" s="3">
        <f>SUMIFS(df_extrato_zig!E:E,df_extrato_zig!L:L,Conciliacao!A143,df_extrato_zig!F:F,"DINHEIRO")</f>
        <v/>
      </c>
      <c r="D143" s="3">
        <f>SUMIFS(view_parc_agrup!H:H,view_parc_agrup!G:G,Conciliacao!A143)</f>
        <v/>
      </c>
      <c r="E143" s="3">
        <f>SUMIFS(df_eventos!F:F,df_eventos!H:H,Conciliacao!A143)</f>
        <v/>
      </c>
      <c r="F143" s="3">
        <f>SUMIFS(df_mutuos!M:M,df_mutuos!B:B,Conciliacao!A143)</f>
        <v/>
      </c>
      <c r="G143" s="6">
        <f>SUMIFS(df_bloqueios_judiciais!G:G,df_bloqueios_judiciais!D:D,Conciliacao!A143,df_bloqueios_judiciais!G:G,"&gt;0")</f>
        <v/>
      </c>
      <c r="H143" s="7">
        <f>SUMIFS(df_extratos!I:I,df_extratos!F:F,Conciliacao!BE143,df_extratos!G:G,"CREDITO")+SUMIFS(df_extratos!I:I,df_extratos!F:F,Conciliacao!A143,df_extratos!G:G,"CREDITO")+SUMIFS(df_extratos!I:I,df_extratos!F:F,Conciliacao!BF143,df_extratos!G:G,"CREDITO")+SUMIFS(df_extratos!I:I,df_extratos!F:F,Conciliacao!BG143,df_extratos!G:G,"CREDITO")+SUMIFS(df_extratos!I:I,df_extratos!F:F,Conciliacao!BH143,df_extratos!G:G,"CREDITO")</f>
        <v/>
      </c>
      <c r="I143" s="9">
        <f>H143-SUM(B143:G143)</f>
        <v/>
      </c>
      <c r="J143" s="4">
        <f>SUMIFS(df_blueme_sem_parcelamento!E:E,df_blueme_sem_parcelamento!H:H,Conciliacao!A143)*(-1)</f>
        <v/>
      </c>
      <c r="K143" s="4">
        <f>SUMIFS(df_blueme_com_parcelamento!J:J,df_blueme_com_parcelamento!M:M,Conciliacao!A143)*(-1)</f>
        <v/>
      </c>
      <c r="L143" s="4">
        <f>SUMIFS(df_mutuos!N:N,df_mutuos!B:B,Conciliacao!A143)*(-1)</f>
        <v/>
      </c>
      <c r="M143" s="8">
        <f>SUMIFS(df_bloqueios_judiciais!G:G,df_bloqueios_judiciais!D:D,Conciliacao!A143,df_bloqueios_judiciais!G:G,"&lt;0")</f>
        <v/>
      </c>
      <c r="N143" s="10">
        <f>SUMIFS(df_extratos!I:I,df_extratos!F:F,Conciliacao!BE143,df_extratos!G:G,"DEBITO")+SUMIFS(df_extratos!I:I,df_extratos!F:F,Conciliacao!A143,df_extratos!G:G,"DEBITO")+SUMIFS(df_extratos!I:I,df_extratos!F:F,Conciliacao!BF143,df_extratos!G:G,"DEBITO")+SUMIFS(df_extratos!I:I,df_extratos!F:F,Conciliacao!BG143,df_extratos!G:G,"DEBITO")+SUMIFS(df_extratos!I:I,df_extratos!F:F,Conciliacao!BH143,df_extratos!G:G,"DEBITO")</f>
        <v/>
      </c>
      <c r="O143" s="11">
        <f>N143-SUM(J143:M143)</f>
        <v/>
      </c>
      <c r="P143" s="25">
        <f>SUMIFS(df_ajustes_conciliaco!D:D,df_ajustes_conciliaco!C:C,Conciliacao!A143)</f>
        <v/>
      </c>
      <c r="Q143" s="22">
        <f>O143+I143-P143</f>
        <v/>
      </c>
      <c r="BE143" s="20" t="n">
        <v>45799.5</v>
      </c>
      <c r="BF143" s="20" t="n">
        <v>45799.125</v>
      </c>
      <c r="BG143" s="20" t="n">
        <v>45799.54166666666</v>
      </c>
      <c r="BH143" s="20" t="n">
        <v>45799.625</v>
      </c>
    </row>
    <row r="144">
      <c r="A144" s="5">
        <f>A143+1</f>
        <v/>
      </c>
      <c r="B144" s="3">
        <f>-SUMIFS(df_extrato_zig!G:G,df_extrato_zig!E:E,Conciliacao!A144,df_extrato_zig!D:D,"Saque")-SUMIFS(df_extrato_zig!G:G,df_extrato_zig!E:E,Conciliacao!A144,df_extrato_zig!D:D,"Antecipação")</f>
        <v/>
      </c>
      <c r="C144" s="3">
        <f>SUMIFS(df_extrato_zig!E:E,df_extrato_zig!L:L,Conciliacao!A144,df_extrato_zig!F:F,"DINHEIRO")</f>
        <v/>
      </c>
      <c r="D144" s="3">
        <f>SUMIFS(view_parc_agrup!H:H,view_parc_agrup!G:G,Conciliacao!A144)</f>
        <v/>
      </c>
      <c r="E144" s="3">
        <f>SUMIFS(df_eventos!F:F,df_eventos!H:H,Conciliacao!A144)</f>
        <v/>
      </c>
      <c r="F144" s="3">
        <f>SUMIFS(df_mutuos!M:M,df_mutuos!B:B,Conciliacao!A144)</f>
        <v/>
      </c>
      <c r="G144" s="6">
        <f>SUMIFS(df_bloqueios_judiciais!G:G,df_bloqueios_judiciais!D:D,Conciliacao!A144,df_bloqueios_judiciais!G:G,"&gt;0")</f>
        <v/>
      </c>
      <c r="H144" s="7">
        <f>SUMIFS(df_extratos!I:I,df_extratos!F:F,Conciliacao!BE144,df_extratos!G:G,"CREDITO")+SUMIFS(df_extratos!I:I,df_extratos!F:F,Conciliacao!A144,df_extratos!G:G,"CREDITO")+SUMIFS(df_extratos!I:I,df_extratos!F:F,Conciliacao!BF144,df_extratos!G:G,"CREDITO")+SUMIFS(df_extratos!I:I,df_extratos!F:F,Conciliacao!BG144,df_extratos!G:G,"CREDITO")+SUMIFS(df_extratos!I:I,df_extratos!F:F,Conciliacao!BH144,df_extratos!G:G,"CREDITO")</f>
        <v/>
      </c>
      <c r="I144" s="9">
        <f>H144-SUM(B144:G144)</f>
        <v/>
      </c>
      <c r="J144" s="4">
        <f>SUMIFS(df_blueme_sem_parcelamento!E:E,df_blueme_sem_parcelamento!H:H,Conciliacao!A144)*(-1)</f>
        <v/>
      </c>
      <c r="K144" s="4">
        <f>SUMIFS(df_blueme_com_parcelamento!J:J,df_blueme_com_parcelamento!M:M,Conciliacao!A144)*(-1)</f>
        <v/>
      </c>
      <c r="L144" s="4">
        <f>SUMIFS(df_mutuos!N:N,df_mutuos!B:B,Conciliacao!A144)*(-1)</f>
        <v/>
      </c>
      <c r="M144" s="8">
        <f>SUMIFS(df_bloqueios_judiciais!G:G,df_bloqueios_judiciais!D:D,Conciliacao!A144,df_bloqueios_judiciais!G:G,"&lt;0")</f>
        <v/>
      </c>
      <c r="N144" s="10">
        <f>SUMIFS(df_extratos!I:I,df_extratos!F:F,Conciliacao!BE144,df_extratos!G:G,"DEBITO")+SUMIFS(df_extratos!I:I,df_extratos!F:F,Conciliacao!A144,df_extratos!G:G,"DEBITO")+SUMIFS(df_extratos!I:I,df_extratos!F:F,Conciliacao!BF144,df_extratos!G:G,"DEBITO")+SUMIFS(df_extratos!I:I,df_extratos!F:F,Conciliacao!BG144,df_extratos!G:G,"DEBITO")+SUMIFS(df_extratos!I:I,df_extratos!F:F,Conciliacao!BH144,df_extratos!G:G,"DEBITO")</f>
        <v/>
      </c>
      <c r="O144" s="11">
        <f>N144-SUM(J144:M144)</f>
        <v/>
      </c>
      <c r="P144" s="25">
        <f>SUMIFS(df_ajustes_conciliaco!D:D,df_ajustes_conciliaco!C:C,Conciliacao!A144)</f>
        <v/>
      </c>
      <c r="Q144" s="22">
        <f>O144+I144-P144</f>
        <v/>
      </c>
      <c r="BE144" s="20" t="n">
        <v>45800.5</v>
      </c>
      <c r="BF144" s="20" t="n">
        <v>45800.125</v>
      </c>
      <c r="BG144" s="20" t="n">
        <v>45800.54166666666</v>
      </c>
      <c r="BH144" s="20" t="n">
        <v>45800.625</v>
      </c>
    </row>
    <row r="145">
      <c r="A145" s="5">
        <f>A144+1</f>
        <v/>
      </c>
      <c r="B145" s="3">
        <f>-SUMIFS(df_extrato_zig!G:G,df_extrato_zig!E:E,Conciliacao!A145,df_extrato_zig!D:D,"Saque")-SUMIFS(df_extrato_zig!G:G,df_extrato_zig!E:E,Conciliacao!A145,df_extrato_zig!D:D,"Antecipação")</f>
        <v/>
      </c>
      <c r="C145" s="3">
        <f>SUMIFS(df_extrato_zig!E:E,df_extrato_zig!L:L,Conciliacao!A145,df_extrato_zig!F:F,"DINHEIRO")</f>
        <v/>
      </c>
      <c r="D145" s="3">
        <f>SUMIFS(view_parc_agrup!H:H,view_parc_agrup!G:G,Conciliacao!A145)</f>
        <v/>
      </c>
      <c r="E145" s="3">
        <f>SUMIFS(df_eventos!F:F,df_eventos!H:H,Conciliacao!A145)</f>
        <v/>
      </c>
      <c r="F145" s="3">
        <f>SUMIFS(df_mutuos!M:M,df_mutuos!B:B,Conciliacao!A145)</f>
        <v/>
      </c>
      <c r="G145" s="6">
        <f>SUMIFS(df_bloqueios_judiciais!G:G,df_bloqueios_judiciais!D:D,Conciliacao!A145,df_bloqueios_judiciais!G:G,"&gt;0")</f>
        <v/>
      </c>
      <c r="H145" s="7">
        <f>SUMIFS(df_extratos!I:I,df_extratos!F:F,Conciliacao!BE145,df_extratos!G:G,"CREDITO")+SUMIFS(df_extratos!I:I,df_extratos!F:F,Conciliacao!A145,df_extratos!G:G,"CREDITO")+SUMIFS(df_extratos!I:I,df_extratos!F:F,Conciliacao!BF145,df_extratos!G:G,"CREDITO")+SUMIFS(df_extratos!I:I,df_extratos!F:F,Conciliacao!BG145,df_extratos!G:G,"CREDITO")+SUMIFS(df_extratos!I:I,df_extratos!F:F,Conciliacao!BH145,df_extratos!G:G,"CREDITO")</f>
        <v/>
      </c>
      <c r="I145" s="9">
        <f>H145-SUM(B145:G145)</f>
        <v/>
      </c>
      <c r="J145" s="4">
        <f>SUMIFS(df_blueme_sem_parcelamento!E:E,df_blueme_sem_parcelamento!H:H,Conciliacao!A145)*(-1)</f>
        <v/>
      </c>
      <c r="K145" s="4">
        <f>SUMIFS(df_blueme_com_parcelamento!J:J,df_blueme_com_parcelamento!M:M,Conciliacao!A145)*(-1)</f>
        <v/>
      </c>
      <c r="L145" s="4">
        <f>SUMIFS(df_mutuos!N:N,df_mutuos!B:B,Conciliacao!A145)*(-1)</f>
        <v/>
      </c>
      <c r="M145" s="8">
        <f>SUMIFS(df_bloqueios_judiciais!G:G,df_bloqueios_judiciais!D:D,Conciliacao!A145,df_bloqueios_judiciais!G:G,"&lt;0")</f>
        <v/>
      </c>
      <c r="N145" s="10">
        <f>SUMIFS(df_extratos!I:I,df_extratos!F:F,Conciliacao!BE145,df_extratos!G:G,"DEBITO")+SUMIFS(df_extratos!I:I,df_extratos!F:F,Conciliacao!A145,df_extratos!G:G,"DEBITO")+SUMIFS(df_extratos!I:I,df_extratos!F:F,Conciliacao!BF145,df_extratos!G:G,"DEBITO")+SUMIFS(df_extratos!I:I,df_extratos!F:F,Conciliacao!BG145,df_extratos!G:G,"DEBITO")+SUMIFS(df_extratos!I:I,df_extratos!F:F,Conciliacao!BH145,df_extratos!G:G,"DEBITO")</f>
        <v/>
      </c>
      <c r="O145" s="11">
        <f>N145-SUM(J145:M145)</f>
        <v/>
      </c>
      <c r="P145" s="25">
        <f>SUMIFS(df_ajustes_conciliaco!D:D,df_ajustes_conciliaco!C:C,Conciliacao!A145)</f>
        <v/>
      </c>
      <c r="Q145" s="22">
        <f>O145+I145-P145</f>
        <v/>
      </c>
      <c r="BE145" s="20" t="n">
        <v>45801.5</v>
      </c>
      <c r="BF145" s="20" t="n">
        <v>45801.125</v>
      </c>
      <c r="BG145" s="20" t="n">
        <v>45801.54166666666</v>
      </c>
      <c r="BH145" s="20" t="n">
        <v>45801.625</v>
      </c>
    </row>
    <row r="146">
      <c r="A146" s="5">
        <f>A145+1</f>
        <v/>
      </c>
      <c r="B146" s="3">
        <f>-SUMIFS(df_extrato_zig!G:G,df_extrato_zig!E:E,Conciliacao!A146,df_extrato_zig!D:D,"Saque")-SUMIFS(df_extrato_zig!G:G,df_extrato_zig!E:E,Conciliacao!A146,df_extrato_zig!D:D,"Antecipação")</f>
        <v/>
      </c>
      <c r="C146" s="3">
        <f>SUMIFS(df_extrato_zig!E:E,df_extrato_zig!L:L,Conciliacao!A146,df_extrato_zig!F:F,"DINHEIRO")</f>
        <v/>
      </c>
      <c r="D146" s="3">
        <f>SUMIFS(view_parc_agrup!H:H,view_parc_agrup!G:G,Conciliacao!A146)</f>
        <v/>
      </c>
      <c r="E146" s="3">
        <f>SUMIFS(df_eventos!F:F,df_eventos!H:H,Conciliacao!A146)</f>
        <v/>
      </c>
      <c r="F146" s="3">
        <f>SUMIFS(df_mutuos!M:M,df_mutuos!B:B,Conciliacao!A146)</f>
        <v/>
      </c>
      <c r="G146" s="6">
        <f>SUMIFS(df_bloqueios_judiciais!G:G,df_bloqueios_judiciais!D:D,Conciliacao!A146,df_bloqueios_judiciais!G:G,"&gt;0")</f>
        <v/>
      </c>
      <c r="H146" s="7">
        <f>SUMIFS(df_extratos!I:I,df_extratos!F:F,Conciliacao!BE146,df_extratos!G:G,"CREDITO")+SUMIFS(df_extratos!I:I,df_extratos!F:F,Conciliacao!A146,df_extratos!G:G,"CREDITO")+SUMIFS(df_extratos!I:I,df_extratos!F:F,Conciliacao!BF146,df_extratos!G:G,"CREDITO")+SUMIFS(df_extratos!I:I,df_extratos!F:F,Conciliacao!BG146,df_extratos!G:G,"CREDITO")+SUMIFS(df_extratos!I:I,df_extratos!F:F,Conciliacao!BH146,df_extratos!G:G,"CREDITO")</f>
        <v/>
      </c>
      <c r="I146" s="9">
        <f>H146-SUM(B146:G146)</f>
        <v/>
      </c>
      <c r="J146" s="4">
        <f>SUMIFS(df_blueme_sem_parcelamento!E:E,df_blueme_sem_parcelamento!H:H,Conciliacao!A146)*(-1)</f>
        <v/>
      </c>
      <c r="K146" s="4">
        <f>SUMIFS(df_blueme_com_parcelamento!J:J,df_blueme_com_parcelamento!M:M,Conciliacao!A146)*(-1)</f>
        <v/>
      </c>
      <c r="L146" s="4">
        <f>SUMIFS(df_mutuos!N:N,df_mutuos!B:B,Conciliacao!A146)*(-1)</f>
        <v/>
      </c>
      <c r="M146" s="8">
        <f>SUMIFS(df_bloqueios_judiciais!G:G,df_bloqueios_judiciais!D:D,Conciliacao!A146,df_bloqueios_judiciais!G:G,"&lt;0")</f>
        <v/>
      </c>
      <c r="N146" s="10">
        <f>SUMIFS(df_extratos!I:I,df_extratos!F:F,Conciliacao!BE146,df_extratos!G:G,"DEBITO")+SUMIFS(df_extratos!I:I,df_extratos!F:F,Conciliacao!A146,df_extratos!G:G,"DEBITO")+SUMIFS(df_extratos!I:I,df_extratos!F:F,Conciliacao!BF146,df_extratos!G:G,"DEBITO")+SUMIFS(df_extratos!I:I,df_extratos!F:F,Conciliacao!BG146,df_extratos!G:G,"DEBITO")+SUMIFS(df_extratos!I:I,df_extratos!F:F,Conciliacao!BH146,df_extratos!G:G,"DEBITO")</f>
        <v/>
      </c>
      <c r="O146" s="11">
        <f>N146-SUM(J146:M146)</f>
        <v/>
      </c>
      <c r="P146" s="25">
        <f>SUMIFS(df_ajustes_conciliaco!D:D,df_ajustes_conciliaco!C:C,Conciliacao!A146)</f>
        <v/>
      </c>
      <c r="Q146" s="22">
        <f>O146+I146-P146</f>
        <v/>
      </c>
      <c r="BE146" s="20" t="n">
        <v>45802.5</v>
      </c>
      <c r="BF146" s="20" t="n">
        <v>45802.125</v>
      </c>
      <c r="BG146" s="20" t="n">
        <v>45802.54166666666</v>
      </c>
      <c r="BH146" s="20" t="n">
        <v>45802.625</v>
      </c>
    </row>
    <row r="147">
      <c r="A147" s="5">
        <f>A146+1</f>
        <v/>
      </c>
      <c r="B147" s="3">
        <f>-SUMIFS(df_extrato_zig!G:G,df_extrato_zig!E:E,Conciliacao!A147,df_extrato_zig!D:D,"Saque")-SUMIFS(df_extrato_zig!G:G,df_extrato_zig!E:E,Conciliacao!A147,df_extrato_zig!D:D,"Antecipação")</f>
        <v/>
      </c>
      <c r="C147" s="3">
        <f>SUMIFS(df_extrato_zig!E:E,df_extrato_zig!L:L,Conciliacao!A147,df_extrato_zig!F:F,"DINHEIRO")</f>
        <v/>
      </c>
      <c r="D147" s="3">
        <f>SUMIFS(view_parc_agrup!H:H,view_parc_agrup!G:G,Conciliacao!A147)</f>
        <v/>
      </c>
      <c r="E147" s="3">
        <f>SUMIFS(df_eventos!F:F,df_eventos!H:H,Conciliacao!A147)</f>
        <v/>
      </c>
      <c r="F147" s="3">
        <f>SUMIFS(df_mutuos!M:M,df_mutuos!B:B,Conciliacao!A147)</f>
        <v/>
      </c>
      <c r="G147" s="6">
        <f>SUMIFS(df_bloqueios_judiciais!G:G,df_bloqueios_judiciais!D:D,Conciliacao!A147,df_bloqueios_judiciais!G:G,"&gt;0")</f>
        <v/>
      </c>
      <c r="H147" s="7">
        <f>SUMIFS(df_extratos!I:I,df_extratos!F:F,Conciliacao!BE147,df_extratos!G:G,"CREDITO")+SUMIFS(df_extratos!I:I,df_extratos!F:F,Conciliacao!A147,df_extratos!G:G,"CREDITO")+SUMIFS(df_extratos!I:I,df_extratos!F:F,Conciliacao!BF147,df_extratos!G:G,"CREDITO")+SUMIFS(df_extratos!I:I,df_extratos!F:F,Conciliacao!BG147,df_extratos!G:G,"CREDITO")+SUMIFS(df_extratos!I:I,df_extratos!F:F,Conciliacao!BH147,df_extratos!G:G,"CREDITO")</f>
        <v/>
      </c>
      <c r="I147" s="9">
        <f>H147-SUM(B147:G147)</f>
        <v/>
      </c>
      <c r="J147" s="4">
        <f>SUMIFS(df_blueme_sem_parcelamento!E:E,df_blueme_sem_parcelamento!H:H,Conciliacao!A147)*(-1)</f>
        <v/>
      </c>
      <c r="K147" s="4">
        <f>SUMIFS(df_blueme_com_parcelamento!J:J,df_blueme_com_parcelamento!M:M,Conciliacao!A147)*(-1)</f>
        <v/>
      </c>
      <c r="L147" s="4">
        <f>SUMIFS(df_mutuos!N:N,df_mutuos!B:B,Conciliacao!A147)*(-1)</f>
        <v/>
      </c>
      <c r="M147" s="8">
        <f>SUMIFS(df_bloqueios_judiciais!G:G,df_bloqueios_judiciais!D:D,Conciliacao!A147,df_bloqueios_judiciais!G:G,"&lt;0")</f>
        <v/>
      </c>
      <c r="N147" s="10">
        <f>SUMIFS(df_extratos!I:I,df_extratos!F:F,Conciliacao!BE147,df_extratos!G:G,"DEBITO")+SUMIFS(df_extratos!I:I,df_extratos!F:F,Conciliacao!A147,df_extratos!G:G,"DEBITO")+SUMIFS(df_extratos!I:I,df_extratos!F:F,Conciliacao!BF147,df_extratos!G:G,"DEBITO")+SUMIFS(df_extratos!I:I,df_extratos!F:F,Conciliacao!BG147,df_extratos!G:G,"DEBITO")+SUMIFS(df_extratos!I:I,df_extratos!F:F,Conciliacao!BH147,df_extratos!G:G,"DEBITO")</f>
        <v/>
      </c>
      <c r="O147" s="11">
        <f>N147-SUM(J147:M147)</f>
        <v/>
      </c>
      <c r="P147" s="25">
        <f>SUMIFS(df_ajustes_conciliaco!D:D,df_ajustes_conciliaco!C:C,Conciliacao!A147)</f>
        <v/>
      </c>
      <c r="Q147" s="22">
        <f>O147+I147-P147</f>
        <v/>
      </c>
      <c r="BE147" s="20" t="n">
        <v>45803.5</v>
      </c>
      <c r="BF147" s="20" t="n">
        <v>45803.125</v>
      </c>
      <c r="BG147" s="20" t="n">
        <v>45803.54166666666</v>
      </c>
      <c r="BH147" s="20" t="n">
        <v>45803.625</v>
      </c>
    </row>
    <row r="148">
      <c r="A148" s="5">
        <f>A147+1</f>
        <v/>
      </c>
      <c r="B148" s="3">
        <f>-SUMIFS(df_extrato_zig!G:G,df_extrato_zig!E:E,Conciliacao!A148,df_extrato_zig!D:D,"Saque")-SUMIFS(df_extrato_zig!G:G,df_extrato_zig!E:E,Conciliacao!A148,df_extrato_zig!D:D,"Antecipação")</f>
        <v/>
      </c>
      <c r="C148" s="3">
        <f>SUMIFS(df_extrato_zig!E:E,df_extrato_zig!L:L,Conciliacao!A148,df_extrato_zig!F:F,"DINHEIRO")</f>
        <v/>
      </c>
      <c r="D148" s="3">
        <f>SUMIFS(view_parc_agrup!H:H,view_parc_agrup!G:G,Conciliacao!A148)</f>
        <v/>
      </c>
      <c r="E148" s="3">
        <f>SUMIFS(df_eventos!F:F,df_eventos!H:H,Conciliacao!A148)</f>
        <v/>
      </c>
      <c r="F148" s="3">
        <f>SUMIFS(df_mutuos!M:M,df_mutuos!B:B,Conciliacao!A148)</f>
        <v/>
      </c>
      <c r="G148" s="6">
        <f>SUMIFS(df_bloqueios_judiciais!G:G,df_bloqueios_judiciais!D:D,Conciliacao!A148,df_bloqueios_judiciais!G:G,"&gt;0")</f>
        <v/>
      </c>
      <c r="H148" s="7">
        <f>SUMIFS(df_extratos!I:I,df_extratos!F:F,Conciliacao!BE148,df_extratos!G:G,"CREDITO")+SUMIFS(df_extratos!I:I,df_extratos!F:F,Conciliacao!A148,df_extratos!G:G,"CREDITO")+SUMIFS(df_extratos!I:I,df_extratos!F:F,Conciliacao!BF148,df_extratos!G:G,"CREDITO")+SUMIFS(df_extratos!I:I,df_extratos!F:F,Conciliacao!BG148,df_extratos!G:G,"CREDITO")+SUMIFS(df_extratos!I:I,df_extratos!F:F,Conciliacao!BH148,df_extratos!G:G,"CREDITO")</f>
        <v/>
      </c>
      <c r="I148" s="9">
        <f>H148-SUM(B148:G148)</f>
        <v/>
      </c>
      <c r="J148" s="4">
        <f>SUMIFS(df_blueme_sem_parcelamento!E:E,df_blueme_sem_parcelamento!H:H,Conciliacao!A148)*(-1)</f>
        <v/>
      </c>
      <c r="K148" s="4">
        <f>SUMIFS(df_blueme_com_parcelamento!J:J,df_blueme_com_parcelamento!M:M,Conciliacao!A148)*(-1)</f>
        <v/>
      </c>
      <c r="L148" s="4">
        <f>SUMIFS(df_mutuos!N:N,df_mutuos!B:B,Conciliacao!A148)*(-1)</f>
        <v/>
      </c>
      <c r="M148" s="8">
        <f>SUMIFS(df_bloqueios_judiciais!G:G,df_bloqueios_judiciais!D:D,Conciliacao!A148,df_bloqueios_judiciais!G:G,"&lt;0")</f>
        <v/>
      </c>
      <c r="N148" s="10">
        <f>SUMIFS(df_extratos!I:I,df_extratos!F:F,Conciliacao!BE148,df_extratos!G:G,"DEBITO")+SUMIFS(df_extratos!I:I,df_extratos!F:F,Conciliacao!A148,df_extratos!G:G,"DEBITO")+SUMIFS(df_extratos!I:I,df_extratos!F:F,Conciliacao!BF148,df_extratos!G:G,"DEBITO")+SUMIFS(df_extratos!I:I,df_extratos!F:F,Conciliacao!BG148,df_extratos!G:G,"DEBITO")+SUMIFS(df_extratos!I:I,df_extratos!F:F,Conciliacao!BH148,df_extratos!G:G,"DEBITO")</f>
        <v/>
      </c>
      <c r="O148" s="11">
        <f>N148-SUM(J148:M148)</f>
        <v/>
      </c>
      <c r="P148" s="25">
        <f>SUMIFS(df_ajustes_conciliaco!D:D,df_ajustes_conciliaco!C:C,Conciliacao!A148)</f>
        <v/>
      </c>
      <c r="Q148" s="22">
        <f>O148+I148-P148</f>
        <v/>
      </c>
      <c r="BE148" s="20" t="n">
        <v>45804.5</v>
      </c>
      <c r="BF148" s="20" t="n">
        <v>45804.125</v>
      </c>
      <c r="BG148" s="20" t="n">
        <v>45804.54166666666</v>
      </c>
      <c r="BH148" s="20" t="n">
        <v>45804.625</v>
      </c>
    </row>
    <row r="149">
      <c r="A149" s="5">
        <f>A148+1</f>
        <v/>
      </c>
      <c r="B149" s="3">
        <f>-SUMIFS(df_extrato_zig!G:G,df_extrato_zig!E:E,Conciliacao!A149,df_extrato_zig!D:D,"Saque")-SUMIFS(df_extrato_zig!G:G,df_extrato_zig!E:E,Conciliacao!A149,df_extrato_zig!D:D,"Antecipação")</f>
        <v/>
      </c>
      <c r="C149" s="3">
        <f>SUMIFS(df_extrato_zig!E:E,df_extrato_zig!L:L,Conciliacao!A149,df_extrato_zig!F:F,"DINHEIRO")</f>
        <v/>
      </c>
      <c r="D149" s="3">
        <f>SUMIFS(view_parc_agrup!H:H,view_parc_agrup!G:G,Conciliacao!A149)</f>
        <v/>
      </c>
      <c r="E149" s="3">
        <f>SUMIFS(df_eventos!F:F,df_eventos!H:H,Conciliacao!A149)</f>
        <v/>
      </c>
      <c r="F149" s="3">
        <f>SUMIFS(df_mutuos!M:M,df_mutuos!B:B,Conciliacao!A149)</f>
        <v/>
      </c>
      <c r="G149" s="6">
        <f>SUMIFS(df_bloqueios_judiciais!G:G,df_bloqueios_judiciais!D:D,Conciliacao!A149,df_bloqueios_judiciais!G:G,"&gt;0")</f>
        <v/>
      </c>
      <c r="H149" s="7">
        <f>SUMIFS(df_extratos!I:I,df_extratos!F:F,Conciliacao!BE149,df_extratos!G:G,"CREDITO")+SUMIFS(df_extratos!I:I,df_extratos!F:F,Conciliacao!A149,df_extratos!G:G,"CREDITO")+SUMIFS(df_extratos!I:I,df_extratos!F:F,Conciliacao!BF149,df_extratos!G:G,"CREDITO")+SUMIFS(df_extratos!I:I,df_extratos!F:F,Conciliacao!BG149,df_extratos!G:G,"CREDITO")+SUMIFS(df_extratos!I:I,df_extratos!F:F,Conciliacao!BH149,df_extratos!G:G,"CREDITO")</f>
        <v/>
      </c>
      <c r="I149" s="9">
        <f>H149-SUM(B149:G149)</f>
        <v/>
      </c>
      <c r="J149" s="4">
        <f>SUMIFS(df_blueme_sem_parcelamento!E:E,df_blueme_sem_parcelamento!H:H,Conciliacao!A149)*(-1)</f>
        <v/>
      </c>
      <c r="K149" s="4">
        <f>SUMIFS(df_blueme_com_parcelamento!J:J,df_blueme_com_parcelamento!M:M,Conciliacao!A149)*(-1)</f>
        <v/>
      </c>
      <c r="L149" s="4">
        <f>SUMIFS(df_mutuos!N:N,df_mutuos!B:B,Conciliacao!A149)*(-1)</f>
        <v/>
      </c>
      <c r="M149" s="8">
        <f>SUMIFS(df_bloqueios_judiciais!G:G,df_bloqueios_judiciais!D:D,Conciliacao!A149,df_bloqueios_judiciais!G:G,"&lt;0")</f>
        <v/>
      </c>
      <c r="N149" s="10">
        <f>SUMIFS(df_extratos!I:I,df_extratos!F:F,Conciliacao!BE149,df_extratos!G:G,"DEBITO")+SUMIFS(df_extratos!I:I,df_extratos!F:F,Conciliacao!A149,df_extratos!G:G,"DEBITO")+SUMIFS(df_extratos!I:I,df_extratos!F:F,Conciliacao!BF149,df_extratos!G:G,"DEBITO")+SUMIFS(df_extratos!I:I,df_extratos!F:F,Conciliacao!BG149,df_extratos!G:G,"DEBITO")+SUMIFS(df_extratos!I:I,df_extratos!F:F,Conciliacao!BH149,df_extratos!G:G,"DEBITO")</f>
        <v/>
      </c>
      <c r="O149" s="11">
        <f>N149-SUM(J149:M149)</f>
        <v/>
      </c>
      <c r="P149" s="25">
        <f>SUMIFS(df_ajustes_conciliaco!D:D,df_ajustes_conciliaco!C:C,Conciliacao!A149)</f>
        <v/>
      </c>
      <c r="Q149" s="22">
        <f>O149+I149-P149</f>
        <v/>
      </c>
      <c r="BE149" s="20" t="n">
        <v>45805.5</v>
      </c>
      <c r="BF149" s="20" t="n">
        <v>45805.125</v>
      </c>
      <c r="BG149" s="20" t="n">
        <v>45805.54166666666</v>
      </c>
      <c r="BH149" s="20" t="n">
        <v>45805.625</v>
      </c>
    </row>
    <row r="150">
      <c r="A150" s="5">
        <f>A149+1</f>
        <v/>
      </c>
      <c r="B150" s="3">
        <f>-SUMIFS(df_extrato_zig!G:G,df_extrato_zig!E:E,Conciliacao!A150,df_extrato_zig!D:D,"Saque")-SUMIFS(df_extrato_zig!G:G,df_extrato_zig!E:E,Conciliacao!A150,df_extrato_zig!D:D,"Antecipação")</f>
        <v/>
      </c>
      <c r="C150" s="3">
        <f>SUMIFS(df_extrato_zig!E:E,df_extrato_zig!L:L,Conciliacao!A150,df_extrato_zig!F:F,"DINHEIRO")</f>
        <v/>
      </c>
      <c r="D150" s="3">
        <f>SUMIFS(view_parc_agrup!H:H,view_parc_agrup!G:G,Conciliacao!A150)</f>
        <v/>
      </c>
      <c r="E150" s="3">
        <f>SUMIFS(df_eventos!F:F,df_eventos!H:H,Conciliacao!A150)</f>
        <v/>
      </c>
      <c r="F150" s="3">
        <f>SUMIFS(df_mutuos!M:M,df_mutuos!B:B,Conciliacao!A150)</f>
        <v/>
      </c>
      <c r="G150" s="6">
        <f>SUMIFS(df_bloqueios_judiciais!G:G,df_bloqueios_judiciais!D:D,Conciliacao!A150,df_bloqueios_judiciais!G:G,"&gt;0")</f>
        <v/>
      </c>
      <c r="H150" s="7">
        <f>SUMIFS(df_extratos!I:I,df_extratos!F:F,Conciliacao!BE150,df_extratos!G:G,"CREDITO")+SUMIFS(df_extratos!I:I,df_extratos!F:F,Conciliacao!A150,df_extratos!G:G,"CREDITO")+SUMIFS(df_extratos!I:I,df_extratos!F:F,Conciliacao!BF150,df_extratos!G:G,"CREDITO")+SUMIFS(df_extratos!I:I,df_extratos!F:F,Conciliacao!BG150,df_extratos!G:G,"CREDITO")+SUMIFS(df_extratos!I:I,df_extratos!F:F,Conciliacao!BH150,df_extratos!G:G,"CREDITO")</f>
        <v/>
      </c>
      <c r="I150" s="9">
        <f>H150-SUM(B150:G150)</f>
        <v/>
      </c>
      <c r="J150" s="4">
        <f>SUMIFS(df_blueme_sem_parcelamento!E:E,df_blueme_sem_parcelamento!H:H,Conciliacao!A150)*(-1)</f>
        <v/>
      </c>
      <c r="K150" s="4">
        <f>SUMIFS(df_blueme_com_parcelamento!J:J,df_blueme_com_parcelamento!M:M,Conciliacao!A150)*(-1)</f>
        <v/>
      </c>
      <c r="L150" s="4">
        <f>SUMIFS(df_mutuos!N:N,df_mutuos!B:B,Conciliacao!A150)*(-1)</f>
        <v/>
      </c>
      <c r="M150" s="8">
        <f>SUMIFS(df_bloqueios_judiciais!G:G,df_bloqueios_judiciais!D:D,Conciliacao!A150,df_bloqueios_judiciais!G:G,"&lt;0")</f>
        <v/>
      </c>
      <c r="N150" s="10">
        <f>SUMIFS(df_extratos!I:I,df_extratos!F:F,Conciliacao!BE150,df_extratos!G:G,"DEBITO")+SUMIFS(df_extratos!I:I,df_extratos!F:F,Conciliacao!A150,df_extratos!G:G,"DEBITO")+SUMIFS(df_extratos!I:I,df_extratos!F:F,Conciliacao!BF150,df_extratos!G:G,"DEBITO")+SUMIFS(df_extratos!I:I,df_extratos!F:F,Conciliacao!BG150,df_extratos!G:G,"DEBITO")+SUMIFS(df_extratos!I:I,df_extratos!F:F,Conciliacao!BH150,df_extratos!G:G,"DEBITO")</f>
        <v/>
      </c>
      <c r="O150" s="11">
        <f>N150-SUM(J150:M150)</f>
        <v/>
      </c>
      <c r="P150" s="25">
        <f>SUMIFS(df_ajustes_conciliaco!D:D,df_ajustes_conciliaco!C:C,Conciliacao!A150)</f>
        <v/>
      </c>
      <c r="Q150" s="22">
        <f>O150+I150-P150</f>
        <v/>
      </c>
      <c r="BE150" s="20" t="n">
        <v>45806.5</v>
      </c>
      <c r="BF150" s="20" t="n">
        <v>45806.125</v>
      </c>
      <c r="BG150" s="20" t="n">
        <v>45806.54166666666</v>
      </c>
      <c r="BH150" s="20" t="n">
        <v>45806.625</v>
      </c>
    </row>
    <row r="151">
      <c r="A151" s="5">
        <f>A150+1</f>
        <v/>
      </c>
      <c r="B151" s="3">
        <f>-SUMIFS(df_extrato_zig!G:G,df_extrato_zig!E:E,Conciliacao!A151,df_extrato_zig!D:D,"Saque")-SUMIFS(df_extrato_zig!G:G,df_extrato_zig!E:E,Conciliacao!A151,df_extrato_zig!D:D,"Antecipação")</f>
        <v/>
      </c>
      <c r="C151" s="3">
        <f>SUMIFS(df_extrato_zig!E:E,df_extrato_zig!L:L,Conciliacao!A151,df_extrato_zig!F:F,"DINHEIRO")</f>
        <v/>
      </c>
      <c r="D151" s="3">
        <f>SUMIFS(view_parc_agrup!H:H,view_parc_agrup!G:G,Conciliacao!A151)</f>
        <v/>
      </c>
      <c r="E151" s="3">
        <f>SUMIFS(df_eventos!F:F,df_eventos!H:H,Conciliacao!A151)</f>
        <v/>
      </c>
      <c r="F151" s="3">
        <f>SUMIFS(df_mutuos!M:M,df_mutuos!B:B,Conciliacao!A151)</f>
        <v/>
      </c>
      <c r="G151" s="6">
        <f>SUMIFS(df_bloqueios_judiciais!G:G,df_bloqueios_judiciais!D:D,Conciliacao!A151,df_bloqueios_judiciais!G:G,"&gt;0")</f>
        <v/>
      </c>
      <c r="H151" s="7">
        <f>SUMIFS(df_extratos!I:I,df_extratos!F:F,Conciliacao!BE151,df_extratos!G:G,"CREDITO")+SUMIFS(df_extratos!I:I,df_extratos!F:F,Conciliacao!A151,df_extratos!G:G,"CREDITO")+SUMIFS(df_extratos!I:I,df_extratos!F:F,Conciliacao!BF151,df_extratos!G:G,"CREDITO")+SUMIFS(df_extratos!I:I,df_extratos!F:F,Conciliacao!BG151,df_extratos!G:G,"CREDITO")+SUMIFS(df_extratos!I:I,df_extratos!F:F,Conciliacao!BH151,df_extratos!G:G,"CREDITO")</f>
        <v/>
      </c>
      <c r="I151" s="9">
        <f>H151-SUM(B151:G151)</f>
        <v/>
      </c>
      <c r="J151" s="4">
        <f>SUMIFS(df_blueme_sem_parcelamento!E:E,df_blueme_sem_parcelamento!H:H,Conciliacao!A151)*(-1)</f>
        <v/>
      </c>
      <c r="K151" s="4">
        <f>SUMIFS(df_blueme_com_parcelamento!J:J,df_blueme_com_parcelamento!M:M,Conciliacao!A151)*(-1)</f>
        <v/>
      </c>
      <c r="L151" s="4">
        <f>SUMIFS(df_mutuos!N:N,df_mutuos!B:B,Conciliacao!A151)*(-1)</f>
        <v/>
      </c>
      <c r="M151" s="8">
        <f>SUMIFS(df_bloqueios_judiciais!G:G,df_bloqueios_judiciais!D:D,Conciliacao!A151,df_bloqueios_judiciais!G:G,"&lt;0")</f>
        <v/>
      </c>
      <c r="N151" s="10">
        <f>SUMIFS(df_extratos!I:I,df_extratos!F:F,Conciliacao!BE151,df_extratos!G:G,"DEBITO")+SUMIFS(df_extratos!I:I,df_extratos!F:F,Conciliacao!A151,df_extratos!G:G,"DEBITO")+SUMIFS(df_extratos!I:I,df_extratos!F:F,Conciliacao!BF151,df_extratos!G:G,"DEBITO")+SUMIFS(df_extratos!I:I,df_extratos!F:F,Conciliacao!BG151,df_extratos!G:G,"DEBITO")+SUMIFS(df_extratos!I:I,df_extratos!F:F,Conciliacao!BH151,df_extratos!G:G,"DEBITO")</f>
        <v/>
      </c>
      <c r="O151" s="11">
        <f>N151-SUM(J151:M151)</f>
        <v/>
      </c>
      <c r="P151" s="25">
        <f>SUMIFS(df_ajustes_conciliaco!D:D,df_ajustes_conciliaco!C:C,Conciliacao!A151)</f>
        <v/>
      </c>
      <c r="Q151" s="22">
        <f>O151+I151-P151</f>
        <v/>
      </c>
      <c r="BE151" s="20" t="n">
        <v>45807.5</v>
      </c>
      <c r="BF151" s="20" t="n">
        <v>45807.125</v>
      </c>
      <c r="BG151" s="20" t="n">
        <v>45807.54166666666</v>
      </c>
      <c r="BH151" s="20" t="n">
        <v>45807.625</v>
      </c>
    </row>
    <row r="152">
      <c r="A152" s="5">
        <f>A151+1</f>
        <v/>
      </c>
      <c r="B152" s="3">
        <f>-SUMIFS(df_extrato_zig!G:G,df_extrato_zig!E:E,Conciliacao!A152,df_extrato_zig!D:D,"Saque")-SUMIFS(df_extrato_zig!G:G,df_extrato_zig!E:E,Conciliacao!A152,df_extrato_zig!D:D,"Antecipação")</f>
        <v/>
      </c>
      <c r="C152" s="3">
        <f>SUMIFS(df_extrato_zig!E:E,df_extrato_zig!L:L,Conciliacao!A152,df_extrato_zig!F:F,"DINHEIRO")</f>
        <v/>
      </c>
      <c r="D152" s="3">
        <f>SUMIFS(view_parc_agrup!H:H,view_parc_agrup!G:G,Conciliacao!A152)</f>
        <v/>
      </c>
      <c r="E152" s="3">
        <f>SUMIFS(df_eventos!F:F,df_eventos!H:H,Conciliacao!A152)</f>
        <v/>
      </c>
      <c r="F152" s="3">
        <f>SUMIFS(df_mutuos!M:M,df_mutuos!B:B,Conciliacao!A152)</f>
        <v/>
      </c>
      <c r="G152" s="6">
        <f>SUMIFS(df_bloqueios_judiciais!G:G,df_bloqueios_judiciais!D:D,Conciliacao!A152,df_bloqueios_judiciais!G:G,"&gt;0")</f>
        <v/>
      </c>
      <c r="H152" s="7">
        <f>SUMIFS(df_extratos!I:I,df_extratos!F:F,Conciliacao!BE152,df_extratos!G:G,"CREDITO")+SUMIFS(df_extratos!I:I,df_extratos!F:F,Conciliacao!A152,df_extratos!G:G,"CREDITO")+SUMIFS(df_extratos!I:I,df_extratos!F:F,Conciliacao!BF152,df_extratos!G:G,"CREDITO")+SUMIFS(df_extratos!I:I,df_extratos!F:F,Conciliacao!BG152,df_extratos!G:G,"CREDITO")+SUMIFS(df_extratos!I:I,df_extratos!F:F,Conciliacao!BH152,df_extratos!G:G,"CREDITO")</f>
        <v/>
      </c>
      <c r="I152" s="9">
        <f>H152-SUM(B152:G152)</f>
        <v/>
      </c>
      <c r="J152" s="4">
        <f>SUMIFS(df_blueme_sem_parcelamento!E:E,df_blueme_sem_parcelamento!H:H,Conciliacao!A152)*(-1)</f>
        <v/>
      </c>
      <c r="K152" s="4">
        <f>SUMIFS(df_blueme_com_parcelamento!J:J,df_blueme_com_parcelamento!M:M,Conciliacao!A152)*(-1)</f>
        <v/>
      </c>
      <c r="L152" s="4">
        <f>SUMIFS(df_mutuos!N:N,df_mutuos!B:B,Conciliacao!A152)*(-1)</f>
        <v/>
      </c>
      <c r="M152" s="8">
        <f>SUMIFS(df_bloqueios_judiciais!G:G,df_bloqueios_judiciais!D:D,Conciliacao!A152,df_bloqueios_judiciais!G:G,"&lt;0")</f>
        <v/>
      </c>
      <c r="N152" s="10">
        <f>SUMIFS(df_extratos!I:I,df_extratos!F:F,Conciliacao!BE152,df_extratos!G:G,"DEBITO")+SUMIFS(df_extratos!I:I,df_extratos!F:F,Conciliacao!A152,df_extratos!G:G,"DEBITO")+SUMIFS(df_extratos!I:I,df_extratos!F:F,Conciliacao!BF152,df_extratos!G:G,"DEBITO")+SUMIFS(df_extratos!I:I,df_extratos!F:F,Conciliacao!BG152,df_extratos!G:G,"DEBITO")+SUMIFS(df_extratos!I:I,df_extratos!F:F,Conciliacao!BH152,df_extratos!G:G,"DEBITO")</f>
        <v/>
      </c>
      <c r="O152" s="11">
        <f>N152-SUM(J152:M152)</f>
        <v/>
      </c>
      <c r="P152" s="25">
        <f>SUMIFS(df_ajustes_conciliaco!D:D,df_ajustes_conciliaco!C:C,Conciliacao!A152)</f>
        <v/>
      </c>
      <c r="Q152" s="22">
        <f>O152+I152-P152</f>
        <v/>
      </c>
      <c r="BE152" s="20" t="n">
        <v>45808.5</v>
      </c>
      <c r="BF152" s="20" t="n">
        <v>45808.125</v>
      </c>
      <c r="BG152" s="20" t="n">
        <v>45808.54166666666</v>
      </c>
      <c r="BH152" s="20" t="n">
        <v>45808.625</v>
      </c>
    </row>
    <row r="153">
      <c r="A153" s="5">
        <f>A152+1</f>
        <v/>
      </c>
      <c r="B153" s="3">
        <f>-SUMIFS(df_extrato_zig!G:G,df_extrato_zig!E:E,Conciliacao!A153,df_extrato_zig!D:D,"Saque")-SUMIFS(df_extrato_zig!G:G,df_extrato_zig!E:E,Conciliacao!A153,df_extrato_zig!D:D,"Antecipação")</f>
        <v/>
      </c>
      <c r="C153" s="3">
        <f>SUMIFS(df_extrato_zig!E:E,df_extrato_zig!L:L,Conciliacao!A153,df_extrato_zig!F:F,"DINHEIRO")</f>
        <v/>
      </c>
      <c r="D153" s="3">
        <f>SUMIFS(view_parc_agrup!H:H,view_parc_agrup!G:G,Conciliacao!A153)</f>
        <v/>
      </c>
      <c r="E153" s="3">
        <f>SUMIFS(df_eventos!F:F,df_eventos!H:H,Conciliacao!A153)</f>
        <v/>
      </c>
      <c r="F153" s="3">
        <f>SUMIFS(df_mutuos!M:M,df_mutuos!B:B,Conciliacao!A153)</f>
        <v/>
      </c>
      <c r="G153" s="6">
        <f>SUMIFS(df_bloqueios_judiciais!G:G,df_bloqueios_judiciais!D:D,Conciliacao!A153,df_bloqueios_judiciais!G:G,"&gt;0")</f>
        <v/>
      </c>
      <c r="H153" s="7">
        <f>SUMIFS(df_extratos!I:I,df_extratos!F:F,Conciliacao!BE153,df_extratos!G:G,"CREDITO")+SUMIFS(df_extratos!I:I,df_extratos!F:F,Conciliacao!A153,df_extratos!G:G,"CREDITO")+SUMIFS(df_extratos!I:I,df_extratos!F:F,Conciliacao!BF153,df_extratos!G:G,"CREDITO")+SUMIFS(df_extratos!I:I,df_extratos!F:F,Conciliacao!BG153,df_extratos!G:G,"CREDITO")+SUMIFS(df_extratos!I:I,df_extratos!F:F,Conciliacao!BH153,df_extratos!G:G,"CREDITO")</f>
        <v/>
      </c>
      <c r="I153" s="9">
        <f>H153-SUM(B153:G153)</f>
        <v/>
      </c>
      <c r="J153" s="4">
        <f>SUMIFS(df_blueme_sem_parcelamento!E:E,df_blueme_sem_parcelamento!H:H,Conciliacao!A153)*(-1)</f>
        <v/>
      </c>
      <c r="K153" s="4">
        <f>SUMIFS(df_blueme_com_parcelamento!J:J,df_blueme_com_parcelamento!M:M,Conciliacao!A153)*(-1)</f>
        <v/>
      </c>
      <c r="L153" s="4">
        <f>SUMIFS(df_mutuos!N:N,df_mutuos!B:B,Conciliacao!A153)*(-1)</f>
        <v/>
      </c>
      <c r="M153" s="8">
        <f>SUMIFS(df_bloqueios_judiciais!G:G,df_bloqueios_judiciais!D:D,Conciliacao!A153,df_bloqueios_judiciais!G:G,"&lt;0")</f>
        <v/>
      </c>
      <c r="N153" s="10">
        <f>SUMIFS(df_extratos!I:I,df_extratos!F:F,Conciliacao!BE153,df_extratos!G:G,"DEBITO")+SUMIFS(df_extratos!I:I,df_extratos!F:F,Conciliacao!A153,df_extratos!G:G,"DEBITO")+SUMIFS(df_extratos!I:I,df_extratos!F:F,Conciliacao!BF153,df_extratos!G:G,"DEBITO")+SUMIFS(df_extratos!I:I,df_extratos!F:F,Conciliacao!BG153,df_extratos!G:G,"DEBITO")+SUMIFS(df_extratos!I:I,df_extratos!F:F,Conciliacao!BH153,df_extratos!G:G,"DEBITO")</f>
        <v/>
      </c>
      <c r="O153" s="11">
        <f>N153-SUM(J153:M153)</f>
        <v/>
      </c>
      <c r="P153" s="25">
        <f>SUMIFS(df_ajustes_conciliaco!D:D,df_ajustes_conciliaco!C:C,Conciliacao!A153)</f>
        <v/>
      </c>
      <c r="Q153" s="22">
        <f>O153+I153-P153</f>
        <v/>
      </c>
      <c r="BE153" s="20" t="n">
        <v>45809.5</v>
      </c>
      <c r="BF153" s="20" t="n">
        <v>45809.125</v>
      </c>
      <c r="BG153" s="20" t="n">
        <v>45809.54166666666</v>
      </c>
      <c r="BH153" s="20" t="n">
        <v>45809.625</v>
      </c>
    </row>
    <row r="154">
      <c r="A154" s="5">
        <f>A153+1</f>
        <v/>
      </c>
      <c r="B154" s="3">
        <f>-SUMIFS(df_extrato_zig!G:G,df_extrato_zig!E:E,Conciliacao!A154,df_extrato_zig!D:D,"Saque")-SUMIFS(df_extrato_zig!G:G,df_extrato_zig!E:E,Conciliacao!A154,df_extrato_zig!D:D,"Antecipação")</f>
        <v/>
      </c>
      <c r="C154" s="3">
        <f>SUMIFS(df_extrato_zig!E:E,df_extrato_zig!L:L,Conciliacao!A154,df_extrato_zig!F:F,"DINHEIRO")</f>
        <v/>
      </c>
      <c r="D154" s="3">
        <f>SUMIFS(view_parc_agrup!H:H,view_parc_agrup!G:G,Conciliacao!A154)</f>
        <v/>
      </c>
      <c r="E154" s="3">
        <f>SUMIFS(df_eventos!F:F,df_eventos!H:H,Conciliacao!A154)</f>
        <v/>
      </c>
      <c r="F154" s="3">
        <f>SUMIFS(df_mutuos!M:M,df_mutuos!B:B,Conciliacao!A154)</f>
        <v/>
      </c>
      <c r="G154" s="6">
        <f>SUMIFS(df_bloqueios_judiciais!G:G,df_bloqueios_judiciais!D:D,Conciliacao!A154,df_bloqueios_judiciais!G:G,"&gt;0")</f>
        <v/>
      </c>
      <c r="H154" s="7">
        <f>SUMIFS(df_extratos!I:I,df_extratos!F:F,Conciliacao!BE154,df_extratos!G:G,"CREDITO")+SUMIFS(df_extratos!I:I,df_extratos!F:F,Conciliacao!A154,df_extratos!G:G,"CREDITO")+SUMIFS(df_extratos!I:I,df_extratos!F:F,Conciliacao!BF154,df_extratos!G:G,"CREDITO")+SUMIFS(df_extratos!I:I,df_extratos!F:F,Conciliacao!BG154,df_extratos!G:G,"CREDITO")+SUMIFS(df_extratos!I:I,df_extratos!F:F,Conciliacao!BH154,df_extratos!G:G,"CREDITO")</f>
        <v/>
      </c>
      <c r="I154" s="9">
        <f>H154-SUM(B154:G154)</f>
        <v/>
      </c>
      <c r="J154" s="4">
        <f>SUMIFS(df_blueme_sem_parcelamento!E:E,df_blueme_sem_parcelamento!H:H,Conciliacao!A154)*(-1)</f>
        <v/>
      </c>
      <c r="K154" s="4">
        <f>SUMIFS(df_blueme_com_parcelamento!J:J,df_blueme_com_parcelamento!M:M,Conciliacao!A154)*(-1)</f>
        <v/>
      </c>
      <c r="L154" s="4">
        <f>SUMIFS(df_mutuos!N:N,df_mutuos!B:B,Conciliacao!A154)*(-1)</f>
        <v/>
      </c>
      <c r="M154" s="8">
        <f>SUMIFS(df_bloqueios_judiciais!G:G,df_bloqueios_judiciais!D:D,Conciliacao!A154,df_bloqueios_judiciais!G:G,"&lt;0")</f>
        <v/>
      </c>
      <c r="N154" s="10">
        <f>SUMIFS(df_extratos!I:I,df_extratos!F:F,Conciliacao!BE154,df_extratos!G:G,"DEBITO")+SUMIFS(df_extratos!I:I,df_extratos!F:F,Conciliacao!A154,df_extratos!G:G,"DEBITO")+SUMIFS(df_extratos!I:I,df_extratos!F:F,Conciliacao!BF154,df_extratos!G:G,"DEBITO")+SUMIFS(df_extratos!I:I,df_extratos!F:F,Conciliacao!BG154,df_extratos!G:G,"DEBITO")+SUMIFS(df_extratos!I:I,df_extratos!F:F,Conciliacao!BH154,df_extratos!G:G,"DEBITO")</f>
        <v/>
      </c>
      <c r="O154" s="11">
        <f>N154-SUM(J154:M154)</f>
        <v/>
      </c>
      <c r="P154" s="25">
        <f>SUMIFS(df_ajustes_conciliaco!D:D,df_ajustes_conciliaco!C:C,Conciliacao!A154)</f>
        <v/>
      </c>
      <c r="Q154" s="22">
        <f>O154+I154-P154</f>
        <v/>
      </c>
      <c r="BE154" s="20" t="n">
        <v>45810.5</v>
      </c>
      <c r="BF154" s="20" t="n">
        <v>45810.125</v>
      </c>
      <c r="BG154" s="20" t="n">
        <v>45810.54166666666</v>
      </c>
      <c r="BH154" s="20" t="n">
        <v>45810.625</v>
      </c>
    </row>
    <row r="155">
      <c r="A155" s="5">
        <f>A154+1</f>
        <v/>
      </c>
      <c r="B155" s="3">
        <f>-SUMIFS(df_extrato_zig!G:G,df_extrato_zig!E:E,Conciliacao!A155,df_extrato_zig!D:D,"Saque")-SUMIFS(df_extrato_zig!G:G,df_extrato_zig!E:E,Conciliacao!A155,df_extrato_zig!D:D,"Antecipação")</f>
        <v/>
      </c>
      <c r="C155" s="3">
        <f>SUMIFS(df_extrato_zig!E:E,df_extrato_zig!L:L,Conciliacao!A155,df_extrato_zig!F:F,"DINHEIRO")</f>
        <v/>
      </c>
      <c r="D155" s="3">
        <f>SUMIFS(view_parc_agrup!H:H,view_parc_agrup!G:G,Conciliacao!A155)</f>
        <v/>
      </c>
      <c r="E155" s="3">
        <f>SUMIFS(df_eventos!F:F,df_eventos!H:H,Conciliacao!A155)</f>
        <v/>
      </c>
      <c r="F155" s="3">
        <f>SUMIFS(df_mutuos!M:M,df_mutuos!B:B,Conciliacao!A155)</f>
        <v/>
      </c>
      <c r="G155" s="6">
        <f>SUMIFS(df_bloqueios_judiciais!G:G,df_bloqueios_judiciais!D:D,Conciliacao!A155,df_bloqueios_judiciais!G:G,"&gt;0")</f>
        <v/>
      </c>
      <c r="H155" s="7">
        <f>SUMIFS(df_extratos!I:I,df_extratos!F:F,Conciliacao!BE155,df_extratos!G:G,"CREDITO")+SUMIFS(df_extratos!I:I,df_extratos!F:F,Conciliacao!A155,df_extratos!G:G,"CREDITO")+SUMIFS(df_extratos!I:I,df_extratos!F:F,Conciliacao!BF155,df_extratos!G:G,"CREDITO")+SUMIFS(df_extratos!I:I,df_extratos!F:F,Conciliacao!BG155,df_extratos!G:G,"CREDITO")+SUMIFS(df_extratos!I:I,df_extratos!F:F,Conciliacao!BH155,df_extratos!G:G,"CREDITO")</f>
        <v/>
      </c>
      <c r="I155" s="9">
        <f>H155-SUM(B155:G155)</f>
        <v/>
      </c>
      <c r="J155" s="4">
        <f>SUMIFS(df_blueme_sem_parcelamento!E:E,df_blueme_sem_parcelamento!H:H,Conciliacao!A155)*(-1)</f>
        <v/>
      </c>
      <c r="K155" s="4">
        <f>SUMIFS(df_blueme_com_parcelamento!J:J,df_blueme_com_parcelamento!M:M,Conciliacao!A155)*(-1)</f>
        <v/>
      </c>
      <c r="L155" s="4">
        <f>SUMIFS(df_mutuos!N:N,df_mutuos!B:B,Conciliacao!A155)*(-1)</f>
        <v/>
      </c>
      <c r="M155" s="8">
        <f>SUMIFS(df_bloqueios_judiciais!G:G,df_bloqueios_judiciais!D:D,Conciliacao!A155,df_bloqueios_judiciais!G:G,"&lt;0")</f>
        <v/>
      </c>
      <c r="N155" s="10">
        <f>SUMIFS(df_extratos!I:I,df_extratos!F:F,Conciliacao!BE155,df_extratos!G:G,"DEBITO")+SUMIFS(df_extratos!I:I,df_extratos!F:F,Conciliacao!A155,df_extratos!G:G,"DEBITO")+SUMIFS(df_extratos!I:I,df_extratos!F:F,Conciliacao!BF155,df_extratos!G:G,"DEBITO")+SUMIFS(df_extratos!I:I,df_extratos!F:F,Conciliacao!BG155,df_extratos!G:G,"DEBITO")+SUMIFS(df_extratos!I:I,df_extratos!F:F,Conciliacao!BH155,df_extratos!G:G,"DEBITO")</f>
        <v/>
      </c>
      <c r="O155" s="11">
        <f>N155-SUM(J155:M155)</f>
        <v/>
      </c>
      <c r="P155" s="25">
        <f>SUMIFS(df_ajustes_conciliaco!D:D,df_ajustes_conciliaco!C:C,Conciliacao!A155)</f>
        <v/>
      </c>
      <c r="Q155" s="22">
        <f>O155+I155-P155</f>
        <v/>
      </c>
      <c r="BE155" s="20" t="n">
        <v>45811.5</v>
      </c>
      <c r="BF155" s="20" t="n">
        <v>45811.125</v>
      </c>
      <c r="BG155" s="20" t="n">
        <v>45811.54166666666</v>
      </c>
      <c r="BH155" s="20" t="n">
        <v>45811.625</v>
      </c>
    </row>
    <row r="156">
      <c r="A156" s="5">
        <f>A155+1</f>
        <v/>
      </c>
      <c r="B156" s="3">
        <f>-SUMIFS(df_extrato_zig!G:G,df_extrato_zig!E:E,Conciliacao!A156,df_extrato_zig!D:D,"Saque")-SUMIFS(df_extrato_zig!G:G,df_extrato_zig!E:E,Conciliacao!A156,df_extrato_zig!D:D,"Antecipação")</f>
        <v/>
      </c>
      <c r="C156" s="3">
        <f>SUMIFS(df_extrato_zig!E:E,df_extrato_zig!L:L,Conciliacao!A156,df_extrato_zig!F:F,"DINHEIRO")</f>
        <v/>
      </c>
      <c r="D156" s="3">
        <f>SUMIFS(view_parc_agrup!H:H,view_parc_agrup!G:G,Conciliacao!A156)</f>
        <v/>
      </c>
      <c r="E156" s="3">
        <f>SUMIFS(df_eventos!F:F,df_eventos!H:H,Conciliacao!A156)</f>
        <v/>
      </c>
      <c r="F156" s="3">
        <f>SUMIFS(df_mutuos!M:M,df_mutuos!B:B,Conciliacao!A156)</f>
        <v/>
      </c>
      <c r="G156" s="6">
        <f>SUMIFS(df_bloqueios_judiciais!G:G,df_bloqueios_judiciais!D:D,Conciliacao!A156,df_bloqueios_judiciais!G:G,"&gt;0")</f>
        <v/>
      </c>
      <c r="H156" s="7">
        <f>SUMIFS(df_extratos!I:I,df_extratos!F:F,Conciliacao!BE156,df_extratos!G:G,"CREDITO")+SUMIFS(df_extratos!I:I,df_extratos!F:F,Conciliacao!A156,df_extratos!G:G,"CREDITO")+SUMIFS(df_extratos!I:I,df_extratos!F:F,Conciliacao!BF156,df_extratos!G:G,"CREDITO")+SUMIFS(df_extratos!I:I,df_extratos!F:F,Conciliacao!BG156,df_extratos!G:G,"CREDITO")+SUMIFS(df_extratos!I:I,df_extratos!F:F,Conciliacao!BH156,df_extratos!G:G,"CREDITO")</f>
        <v/>
      </c>
      <c r="I156" s="9">
        <f>H156-SUM(B156:G156)</f>
        <v/>
      </c>
      <c r="J156" s="4">
        <f>SUMIFS(df_blueme_sem_parcelamento!E:E,df_blueme_sem_parcelamento!H:H,Conciliacao!A156)*(-1)</f>
        <v/>
      </c>
      <c r="K156" s="4">
        <f>SUMIFS(df_blueme_com_parcelamento!J:J,df_blueme_com_parcelamento!M:M,Conciliacao!A156)*(-1)</f>
        <v/>
      </c>
      <c r="L156" s="4">
        <f>SUMIFS(df_mutuos!N:N,df_mutuos!B:B,Conciliacao!A156)*(-1)</f>
        <v/>
      </c>
      <c r="M156" s="8">
        <f>SUMIFS(df_bloqueios_judiciais!G:G,df_bloqueios_judiciais!D:D,Conciliacao!A156,df_bloqueios_judiciais!G:G,"&lt;0")</f>
        <v/>
      </c>
      <c r="N156" s="10">
        <f>SUMIFS(df_extratos!I:I,df_extratos!F:F,Conciliacao!BE156,df_extratos!G:G,"DEBITO")+SUMIFS(df_extratos!I:I,df_extratos!F:F,Conciliacao!A156,df_extratos!G:G,"DEBITO")+SUMIFS(df_extratos!I:I,df_extratos!F:F,Conciliacao!BF156,df_extratos!G:G,"DEBITO")+SUMIFS(df_extratos!I:I,df_extratos!F:F,Conciliacao!BG156,df_extratos!G:G,"DEBITO")+SUMIFS(df_extratos!I:I,df_extratos!F:F,Conciliacao!BH156,df_extratos!G:G,"DEBITO")</f>
        <v/>
      </c>
      <c r="O156" s="11">
        <f>N156-SUM(J156:M156)</f>
        <v/>
      </c>
      <c r="P156" s="25">
        <f>SUMIFS(df_ajustes_conciliaco!D:D,df_ajustes_conciliaco!C:C,Conciliacao!A156)</f>
        <v/>
      </c>
      <c r="Q156" s="22">
        <f>O156+I156-P156</f>
        <v/>
      </c>
      <c r="BE156" s="20" t="n">
        <v>45812.5</v>
      </c>
      <c r="BF156" s="20" t="n">
        <v>45812.125</v>
      </c>
      <c r="BG156" s="20" t="n">
        <v>45812.54166666666</v>
      </c>
      <c r="BH156" s="20" t="n">
        <v>45812.625</v>
      </c>
    </row>
    <row r="157">
      <c r="A157" s="5">
        <f>A156+1</f>
        <v/>
      </c>
      <c r="B157" s="3">
        <f>-SUMIFS(df_extrato_zig!G:G,df_extrato_zig!E:E,Conciliacao!A157,df_extrato_zig!D:D,"Saque")-SUMIFS(df_extrato_zig!G:G,df_extrato_zig!E:E,Conciliacao!A157,df_extrato_zig!D:D,"Antecipação")</f>
        <v/>
      </c>
      <c r="C157" s="3">
        <f>SUMIFS(df_extrato_zig!E:E,df_extrato_zig!L:L,Conciliacao!A157,df_extrato_zig!F:F,"DINHEIRO")</f>
        <v/>
      </c>
      <c r="D157" s="3">
        <f>SUMIFS(view_parc_agrup!H:H,view_parc_agrup!G:G,Conciliacao!A157)</f>
        <v/>
      </c>
      <c r="E157" s="3">
        <f>SUMIFS(df_eventos!F:F,df_eventos!H:H,Conciliacao!A157)</f>
        <v/>
      </c>
      <c r="F157" s="3">
        <f>SUMIFS(df_mutuos!M:M,df_mutuos!B:B,Conciliacao!A157)</f>
        <v/>
      </c>
      <c r="G157" s="6">
        <f>SUMIFS(df_bloqueios_judiciais!G:G,df_bloqueios_judiciais!D:D,Conciliacao!A157,df_bloqueios_judiciais!G:G,"&gt;0")</f>
        <v/>
      </c>
      <c r="H157" s="7">
        <f>SUMIFS(df_extratos!I:I,df_extratos!F:F,Conciliacao!BE157,df_extratos!G:G,"CREDITO")+SUMIFS(df_extratos!I:I,df_extratos!F:F,Conciliacao!A157,df_extratos!G:G,"CREDITO")+SUMIFS(df_extratos!I:I,df_extratos!F:F,Conciliacao!BF157,df_extratos!G:G,"CREDITO")+SUMIFS(df_extratos!I:I,df_extratos!F:F,Conciliacao!BG157,df_extratos!G:G,"CREDITO")+SUMIFS(df_extratos!I:I,df_extratos!F:F,Conciliacao!BH157,df_extratos!G:G,"CREDITO")</f>
        <v/>
      </c>
      <c r="I157" s="9">
        <f>H157-SUM(B157:G157)</f>
        <v/>
      </c>
      <c r="J157" s="4">
        <f>SUMIFS(df_blueme_sem_parcelamento!E:E,df_blueme_sem_parcelamento!H:H,Conciliacao!A157)*(-1)</f>
        <v/>
      </c>
      <c r="K157" s="4">
        <f>SUMIFS(df_blueme_com_parcelamento!J:J,df_blueme_com_parcelamento!M:M,Conciliacao!A157)*(-1)</f>
        <v/>
      </c>
      <c r="L157" s="4">
        <f>SUMIFS(df_mutuos!N:N,df_mutuos!B:B,Conciliacao!A157)*(-1)</f>
        <v/>
      </c>
      <c r="M157" s="8">
        <f>SUMIFS(df_bloqueios_judiciais!G:G,df_bloqueios_judiciais!D:D,Conciliacao!A157,df_bloqueios_judiciais!G:G,"&lt;0")</f>
        <v/>
      </c>
      <c r="N157" s="10">
        <f>SUMIFS(df_extratos!I:I,df_extratos!F:F,Conciliacao!BE157,df_extratos!G:G,"DEBITO")+SUMIFS(df_extratos!I:I,df_extratos!F:F,Conciliacao!A157,df_extratos!G:G,"DEBITO")+SUMIFS(df_extratos!I:I,df_extratos!F:F,Conciliacao!BF157,df_extratos!G:G,"DEBITO")+SUMIFS(df_extratos!I:I,df_extratos!F:F,Conciliacao!BG157,df_extratos!G:G,"DEBITO")+SUMIFS(df_extratos!I:I,df_extratos!F:F,Conciliacao!BH157,df_extratos!G:G,"DEBITO")</f>
        <v/>
      </c>
      <c r="O157" s="11">
        <f>N157-SUM(J157:M157)</f>
        <v/>
      </c>
      <c r="P157" s="25">
        <f>SUMIFS(df_ajustes_conciliaco!D:D,df_ajustes_conciliaco!C:C,Conciliacao!A157)</f>
        <v/>
      </c>
      <c r="Q157" s="22">
        <f>O157+I157-P157</f>
        <v/>
      </c>
      <c r="BE157" s="20" t="n">
        <v>45813.5</v>
      </c>
      <c r="BF157" s="20" t="n">
        <v>45813.125</v>
      </c>
      <c r="BG157" s="20" t="n">
        <v>45813.54166666666</v>
      </c>
      <c r="BH157" s="20" t="n">
        <v>45813.625</v>
      </c>
    </row>
    <row r="158">
      <c r="A158" s="5">
        <f>A157+1</f>
        <v/>
      </c>
      <c r="B158" s="3">
        <f>-SUMIFS(df_extrato_zig!G:G,df_extrato_zig!E:E,Conciliacao!A158,df_extrato_zig!D:D,"Saque")-SUMIFS(df_extrato_zig!G:G,df_extrato_zig!E:E,Conciliacao!A158,df_extrato_zig!D:D,"Antecipação")</f>
        <v/>
      </c>
      <c r="C158" s="3">
        <f>SUMIFS(df_extrato_zig!E:E,df_extrato_zig!L:L,Conciliacao!A158,df_extrato_zig!F:F,"DINHEIRO")</f>
        <v/>
      </c>
      <c r="D158" s="3">
        <f>SUMIFS(view_parc_agrup!H:H,view_parc_agrup!G:G,Conciliacao!A158)</f>
        <v/>
      </c>
      <c r="E158" s="3">
        <f>SUMIFS(df_eventos!F:F,df_eventos!H:H,Conciliacao!A158)</f>
        <v/>
      </c>
      <c r="F158" s="3">
        <f>SUMIFS(df_mutuos!M:M,df_mutuos!B:B,Conciliacao!A158)</f>
        <v/>
      </c>
      <c r="G158" s="6">
        <f>SUMIFS(df_bloqueios_judiciais!G:G,df_bloqueios_judiciais!D:D,Conciliacao!A158,df_bloqueios_judiciais!G:G,"&gt;0")</f>
        <v/>
      </c>
      <c r="H158" s="7">
        <f>SUMIFS(df_extratos!I:I,df_extratos!F:F,Conciliacao!BE158,df_extratos!G:G,"CREDITO")+SUMIFS(df_extratos!I:I,df_extratos!F:F,Conciliacao!A158,df_extratos!G:G,"CREDITO")+SUMIFS(df_extratos!I:I,df_extratos!F:F,Conciliacao!BF158,df_extratos!G:G,"CREDITO")+SUMIFS(df_extratos!I:I,df_extratos!F:F,Conciliacao!BG158,df_extratos!G:G,"CREDITO")+SUMIFS(df_extratos!I:I,df_extratos!F:F,Conciliacao!BH158,df_extratos!G:G,"CREDITO")</f>
        <v/>
      </c>
      <c r="I158" s="9">
        <f>H158-SUM(B158:G158)</f>
        <v/>
      </c>
      <c r="J158" s="4">
        <f>SUMIFS(df_blueme_sem_parcelamento!E:E,df_blueme_sem_parcelamento!H:H,Conciliacao!A158)*(-1)</f>
        <v/>
      </c>
      <c r="K158" s="4">
        <f>SUMIFS(df_blueme_com_parcelamento!J:J,df_blueme_com_parcelamento!M:M,Conciliacao!A158)*(-1)</f>
        <v/>
      </c>
      <c r="L158" s="4">
        <f>SUMIFS(df_mutuos!N:N,df_mutuos!B:B,Conciliacao!A158)*(-1)</f>
        <v/>
      </c>
      <c r="M158" s="8">
        <f>SUMIFS(df_bloqueios_judiciais!G:G,df_bloqueios_judiciais!D:D,Conciliacao!A158,df_bloqueios_judiciais!G:G,"&lt;0")</f>
        <v/>
      </c>
      <c r="N158" s="10">
        <f>SUMIFS(df_extratos!I:I,df_extratos!F:F,Conciliacao!BE158,df_extratos!G:G,"DEBITO")+SUMIFS(df_extratos!I:I,df_extratos!F:F,Conciliacao!A158,df_extratos!G:G,"DEBITO")+SUMIFS(df_extratos!I:I,df_extratos!F:F,Conciliacao!BF158,df_extratos!G:G,"DEBITO")+SUMIFS(df_extratos!I:I,df_extratos!F:F,Conciliacao!BG158,df_extratos!G:G,"DEBITO")+SUMIFS(df_extratos!I:I,df_extratos!F:F,Conciliacao!BH158,df_extratos!G:G,"DEBITO")</f>
        <v/>
      </c>
      <c r="O158" s="11">
        <f>N158-SUM(J158:M158)</f>
        <v/>
      </c>
      <c r="P158" s="25">
        <f>SUMIFS(df_ajustes_conciliaco!D:D,df_ajustes_conciliaco!C:C,Conciliacao!A158)</f>
        <v/>
      </c>
      <c r="Q158" s="22">
        <f>O158+I158-P158</f>
        <v/>
      </c>
      <c r="BE158" s="20" t="n">
        <v>45814.5</v>
      </c>
      <c r="BF158" s="20" t="n">
        <v>45814.125</v>
      </c>
      <c r="BG158" s="20" t="n">
        <v>45814.54166666666</v>
      </c>
      <c r="BH158" s="20" t="n">
        <v>45814.625</v>
      </c>
    </row>
    <row r="159">
      <c r="A159" s="5">
        <f>A158+1</f>
        <v/>
      </c>
      <c r="B159" s="3">
        <f>-SUMIFS(df_extrato_zig!G:G,df_extrato_zig!E:E,Conciliacao!A159,df_extrato_zig!D:D,"Saque")-SUMIFS(df_extrato_zig!G:G,df_extrato_zig!E:E,Conciliacao!A159,df_extrato_zig!D:D,"Antecipação")</f>
        <v/>
      </c>
      <c r="C159" s="3">
        <f>SUMIFS(df_extrato_zig!E:E,df_extrato_zig!L:L,Conciliacao!A159,df_extrato_zig!F:F,"DINHEIRO")</f>
        <v/>
      </c>
      <c r="D159" s="3">
        <f>SUMIFS(view_parc_agrup!H:H,view_parc_agrup!G:G,Conciliacao!A159)</f>
        <v/>
      </c>
      <c r="E159" s="3">
        <f>SUMIFS(df_eventos!F:F,df_eventos!H:H,Conciliacao!A159)</f>
        <v/>
      </c>
      <c r="F159" s="3">
        <f>SUMIFS(df_mutuos!M:M,df_mutuos!B:B,Conciliacao!A159)</f>
        <v/>
      </c>
      <c r="G159" s="6">
        <f>SUMIFS(df_bloqueios_judiciais!G:G,df_bloqueios_judiciais!D:D,Conciliacao!A159,df_bloqueios_judiciais!G:G,"&gt;0")</f>
        <v/>
      </c>
      <c r="H159" s="7">
        <f>SUMIFS(df_extratos!I:I,df_extratos!F:F,Conciliacao!BE159,df_extratos!G:G,"CREDITO")+SUMIFS(df_extratos!I:I,df_extratos!F:F,Conciliacao!A159,df_extratos!G:G,"CREDITO")+SUMIFS(df_extratos!I:I,df_extratos!F:F,Conciliacao!BF159,df_extratos!G:G,"CREDITO")+SUMIFS(df_extratos!I:I,df_extratos!F:F,Conciliacao!BG159,df_extratos!G:G,"CREDITO")+SUMIFS(df_extratos!I:I,df_extratos!F:F,Conciliacao!BH159,df_extratos!G:G,"CREDITO")</f>
        <v/>
      </c>
      <c r="I159" s="9">
        <f>H159-SUM(B159:G159)</f>
        <v/>
      </c>
      <c r="J159" s="4">
        <f>SUMIFS(df_blueme_sem_parcelamento!E:E,df_blueme_sem_parcelamento!H:H,Conciliacao!A159)*(-1)</f>
        <v/>
      </c>
      <c r="K159" s="4">
        <f>SUMIFS(df_blueme_com_parcelamento!J:J,df_blueme_com_parcelamento!M:M,Conciliacao!A159)*(-1)</f>
        <v/>
      </c>
      <c r="L159" s="4">
        <f>SUMIFS(df_mutuos!N:N,df_mutuos!B:B,Conciliacao!A159)*(-1)</f>
        <v/>
      </c>
      <c r="M159" s="8">
        <f>SUMIFS(df_bloqueios_judiciais!G:G,df_bloqueios_judiciais!D:D,Conciliacao!A159,df_bloqueios_judiciais!G:G,"&lt;0")</f>
        <v/>
      </c>
      <c r="N159" s="10">
        <f>SUMIFS(df_extratos!I:I,df_extratos!F:F,Conciliacao!BE159,df_extratos!G:G,"DEBITO")+SUMIFS(df_extratos!I:I,df_extratos!F:F,Conciliacao!A159,df_extratos!G:G,"DEBITO")+SUMIFS(df_extratos!I:I,df_extratos!F:F,Conciliacao!BF159,df_extratos!G:G,"DEBITO")+SUMIFS(df_extratos!I:I,df_extratos!F:F,Conciliacao!BG159,df_extratos!G:G,"DEBITO")+SUMIFS(df_extratos!I:I,df_extratos!F:F,Conciliacao!BH159,df_extratos!G:G,"DEBITO")</f>
        <v/>
      </c>
      <c r="O159" s="11">
        <f>N159-SUM(J159:M159)</f>
        <v/>
      </c>
      <c r="P159" s="25">
        <f>SUMIFS(df_ajustes_conciliaco!D:D,df_ajustes_conciliaco!C:C,Conciliacao!A159)</f>
        <v/>
      </c>
      <c r="Q159" s="22">
        <f>O159+I159-P159</f>
        <v/>
      </c>
      <c r="BE159" s="20" t="n">
        <v>45815.5</v>
      </c>
      <c r="BF159" s="20" t="n">
        <v>45815.125</v>
      </c>
      <c r="BG159" s="20" t="n">
        <v>45815.54166666666</v>
      </c>
      <c r="BH159" s="20" t="n">
        <v>45815.625</v>
      </c>
    </row>
    <row r="160">
      <c r="A160" s="5">
        <f>A159+1</f>
        <v/>
      </c>
      <c r="B160" s="3">
        <f>-SUMIFS(df_extrato_zig!G:G,df_extrato_zig!E:E,Conciliacao!A160,df_extrato_zig!D:D,"Saque")-SUMIFS(df_extrato_zig!G:G,df_extrato_zig!E:E,Conciliacao!A160,df_extrato_zig!D:D,"Antecipação")</f>
        <v/>
      </c>
      <c r="C160" s="3">
        <f>SUMIFS(df_extrato_zig!E:E,df_extrato_zig!L:L,Conciliacao!A160,df_extrato_zig!F:F,"DINHEIRO")</f>
        <v/>
      </c>
      <c r="D160" s="3">
        <f>SUMIFS(view_parc_agrup!H:H,view_parc_agrup!G:G,Conciliacao!A160)</f>
        <v/>
      </c>
      <c r="E160" s="3">
        <f>SUMIFS(df_eventos!F:F,df_eventos!H:H,Conciliacao!A160)</f>
        <v/>
      </c>
      <c r="F160" s="3">
        <f>SUMIFS(df_mutuos!M:M,df_mutuos!B:B,Conciliacao!A160)</f>
        <v/>
      </c>
      <c r="G160" s="6">
        <f>SUMIFS(df_bloqueios_judiciais!G:G,df_bloqueios_judiciais!D:D,Conciliacao!A160,df_bloqueios_judiciais!G:G,"&gt;0")</f>
        <v/>
      </c>
      <c r="H160" s="7">
        <f>SUMIFS(df_extratos!I:I,df_extratos!F:F,Conciliacao!BE160,df_extratos!G:G,"CREDITO")+SUMIFS(df_extratos!I:I,df_extratos!F:F,Conciliacao!A160,df_extratos!G:G,"CREDITO")+SUMIFS(df_extratos!I:I,df_extratos!F:F,Conciliacao!BF160,df_extratos!G:G,"CREDITO")+SUMIFS(df_extratos!I:I,df_extratos!F:F,Conciliacao!BG160,df_extratos!G:G,"CREDITO")+SUMIFS(df_extratos!I:I,df_extratos!F:F,Conciliacao!BH160,df_extratos!G:G,"CREDITO")</f>
        <v/>
      </c>
      <c r="I160" s="9">
        <f>H160-SUM(B160:G160)</f>
        <v/>
      </c>
      <c r="J160" s="4">
        <f>SUMIFS(df_blueme_sem_parcelamento!E:E,df_blueme_sem_parcelamento!H:H,Conciliacao!A160)*(-1)</f>
        <v/>
      </c>
      <c r="K160" s="4">
        <f>SUMIFS(df_blueme_com_parcelamento!J:J,df_blueme_com_parcelamento!M:M,Conciliacao!A160)*(-1)</f>
        <v/>
      </c>
      <c r="L160" s="4">
        <f>SUMIFS(df_mutuos!N:N,df_mutuos!B:B,Conciliacao!A160)*(-1)</f>
        <v/>
      </c>
      <c r="M160" s="8">
        <f>SUMIFS(df_bloqueios_judiciais!G:G,df_bloqueios_judiciais!D:D,Conciliacao!A160,df_bloqueios_judiciais!G:G,"&lt;0")</f>
        <v/>
      </c>
      <c r="N160" s="10">
        <f>SUMIFS(df_extratos!I:I,df_extratos!F:F,Conciliacao!BE160,df_extratos!G:G,"DEBITO")+SUMIFS(df_extratos!I:I,df_extratos!F:F,Conciliacao!A160,df_extratos!G:G,"DEBITO")+SUMIFS(df_extratos!I:I,df_extratos!F:F,Conciliacao!BF160,df_extratos!G:G,"DEBITO")+SUMIFS(df_extratos!I:I,df_extratos!F:F,Conciliacao!BG160,df_extratos!G:G,"DEBITO")+SUMIFS(df_extratos!I:I,df_extratos!F:F,Conciliacao!BH160,df_extratos!G:G,"DEBITO")</f>
        <v/>
      </c>
      <c r="O160" s="11">
        <f>N160-SUM(J160:M160)</f>
        <v/>
      </c>
      <c r="P160" s="25">
        <f>SUMIFS(df_ajustes_conciliaco!D:D,df_ajustes_conciliaco!C:C,Conciliacao!A160)</f>
        <v/>
      </c>
      <c r="Q160" s="22">
        <f>O160+I160-P160</f>
        <v/>
      </c>
      <c r="BE160" s="20" t="n">
        <v>45816.5</v>
      </c>
      <c r="BF160" s="20" t="n">
        <v>45816.125</v>
      </c>
      <c r="BG160" s="20" t="n">
        <v>45816.54166666666</v>
      </c>
      <c r="BH160" s="20" t="n">
        <v>45816.625</v>
      </c>
    </row>
    <row r="161">
      <c r="A161" s="5">
        <f>A160+1</f>
        <v/>
      </c>
      <c r="B161" s="3">
        <f>-SUMIFS(df_extrato_zig!G:G,df_extrato_zig!E:E,Conciliacao!A161,df_extrato_zig!D:D,"Saque")-SUMIFS(df_extrato_zig!G:G,df_extrato_zig!E:E,Conciliacao!A161,df_extrato_zig!D:D,"Antecipação")</f>
        <v/>
      </c>
      <c r="C161" s="3">
        <f>SUMIFS(df_extrato_zig!E:E,df_extrato_zig!L:L,Conciliacao!A161,df_extrato_zig!F:F,"DINHEIRO")</f>
        <v/>
      </c>
      <c r="D161" s="3">
        <f>SUMIFS(view_parc_agrup!H:H,view_parc_agrup!G:G,Conciliacao!A161)</f>
        <v/>
      </c>
      <c r="E161" s="3">
        <f>SUMIFS(df_eventos!F:F,df_eventos!H:H,Conciliacao!A161)</f>
        <v/>
      </c>
      <c r="F161" s="3">
        <f>SUMIFS(df_mutuos!M:M,df_mutuos!B:B,Conciliacao!A161)</f>
        <v/>
      </c>
      <c r="G161" s="6">
        <f>SUMIFS(df_bloqueios_judiciais!G:G,df_bloqueios_judiciais!D:D,Conciliacao!A161,df_bloqueios_judiciais!G:G,"&gt;0")</f>
        <v/>
      </c>
      <c r="H161" s="7">
        <f>SUMIFS(df_extratos!I:I,df_extratos!F:F,Conciliacao!BE161,df_extratos!G:G,"CREDITO")+SUMIFS(df_extratos!I:I,df_extratos!F:F,Conciliacao!A161,df_extratos!G:G,"CREDITO")+SUMIFS(df_extratos!I:I,df_extratos!F:F,Conciliacao!BF161,df_extratos!G:G,"CREDITO")+SUMIFS(df_extratos!I:I,df_extratos!F:F,Conciliacao!BG161,df_extratos!G:G,"CREDITO")+SUMIFS(df_extratos!I:I,df_extratos!F:F,Conciliacao!BH161,df_extratos!G:G,"CREDITO")</f>
        <v/>
      </c>
      <c r="I161" s="9">
        <f>H161-SUM(B161:G161)</f>
        <v/>
      </c>
      <c r="J161" s="4">
        <f>SUMIFS(df_blueme_sem_parcelamento!E:E,df_blueme_sem_parcelamento!H:H,Conciliacao!A161)*(-1)</f>
        <v/>
      </c>
      <c r="K161" s="4">
        <f>SUMIFS(df_blueme_com_parcelamento!J:J,df_blueme_com_parcelamento!M:M,Conciliacao!A161)*(-1)</f>
        <v/>
      </c>
      <c r="L161" s="4">
        <f>SUMIFS(df_mutuos!N:N,df_mutuos!B:B,Conciliacao!A161)*(-1)</f>
        <v/>
      </c>
      <c r="M161" s="8">
        <f>SUMIFS(df_bloqueios_judiciais!G:G,df_bloqueios_judiciais!D:D,Conciliacao!A161,df_bloqueios_judiciais!G:G,"&lt;0")</f>
        <v/>
      </c>
      <c r="N161" s="10">
        <f>SUMIFS(df_extratos!I:I,df_extratos!F:F,Conciliacao!BE161,df_extratos!G:G,"DEBITO")+SUMIFS(df_extratos!I:I,df_extratos!F:F,Conciliacao!A161,df_extratos!G:G,"DEBITO")+SUMIFS(df_extratos!I:I,df_extratos!F:F,Conciliacao!BF161,df_extratos!G:G,"DEBITO")+SUMIFS(df_extratos!I:I,df_extratos!F:F,Conciliacao!BG161,df_extratos!G:G,"DEBITO")+SUMIFS(df_extratos!I:I,df_extratos!F:F,Conciliacao!BH161,df_extratos!G:G,"DEBITO")</f>
        <v/>
      </c>
      <c r="O161" s="11">
        <f>N161-SUM(J161:M161)</f>
        <v/>
      </c>
      <c r="P161" s="25">
        <f>SUMIFS(df_ajustes_conciliaco!D:D,df_ajustes_conciliaco!C:C,Conciliacao!A161)</f>
        <v/>
      </c>
      <c r="Q161" s="22">
        <f>O161+I161-P161</f>
        <v/>
      </c>
      <c r="BE161" s="20" t="n">
        <v>45817.5</v>
      </c>
      <c r="BF161" s="20" t="n">
        <v>45817.125</v>
      </c>
      <c r="BG161" s="20" t="n">
        <v>45817.54166666666</v>
      </c>
      <c r="BH161" s="20" t="n">
        <v>45817.625</v>
      </c>
    </row>
    <row r="162">
      <c r="A162" s="5">
        <f>A161+1</f>
        <v/>
      </c>
      <c r="B162" s="3">
        <f>-SUMIFS(df_extrato_zig!G:G,df_extrato_zig!E:E,Conciliacao!A162,df_extrato_zig!D:D,"Saque")-SUMIFS(df_extrato_zig!G:G,df_extrato_zig!E:E,Conciliacao!A162,df_extrato_zig!D:D,"Antecipação")</f>
        <v/>
      </c>
      <c r="C162" s="3">
        <f>SUMIFS(df_extrato_zig!E:E,df_extrato_zig!L:L,Conciliacao!A162,df_extrato_zig!F:F,"DINHEIRO")</f>
        <v/>
      </c>
      <c r="D162" s="3">
        <f>SUMIFS(view_parc_agrup!H:H,view_parc_agrup!G:G,Conciliacao!A162)</f>
        <v/>
      </c>
      <c r="E162" s="3">
        <f>SUMIFS(df_eventos!F:F,df_eventos!H:H,Conciliacao!A162)</f>
        <v/>
      </c>
      <c r="F162" s="3">
        <f>SUMIFS(df_mutuos!M:M,df_mutuos!B:B,Conciliacao!A162)</f>
        <v/>
      </c>
      <c r="G162" s="6">
        <f>SUMIFS(df_bloqueios_judiciais!G:G,df_bloqueios_judiciais!D:D,Conciliacao!A162,df_bloqueios_judiciais!G:G,"&gt;0")</f>
        <v/>
      </c>
      <c r="H162" s="7">
        <f>SUMIFS(df_extratos!I:I,df_extratos!F:F,Conciliacao!BE162,df_extratos!G:G,"CREDITO")+SUMIFS(df_extratos!I:I,df_extratos!F:F,Conciliacao!A162,df_extratos!G:G,"CREDITO")+SUMIFS(df_extratos!I:I,df_extratos!F:F,Conciliacao!BF162,df_extratos!G:G,"CREDITO")+SUMIFS(df_extratos!I:I,df_extratos!F:F,Conciliacao!BG162,df_extratos!G:G,"CREDITO")+SUMIFS(df_extratos!I:I,df_extratos!F:F,Conciliacao!BH162,df_extratos!G:G,"CREDITO")</f>
        <v/>
      </c>
      <c r="I162" s="9">
        <f>H162-SUM(B162:G162)</f>
        <v/>
      </c>
      <c r="J162" s="4">
        <f>SUMIFS(df_blueme_sem_parcelamento!E:E,df_blueme_sem_parcelamento!H:H,Conciliacao!A162)*(-1)</f>
        <v/>
      </c>
      <c r="K162" s="4">
        <f>SUMIFS(df_blueme_com_parcelamento!J:J,df_blueme_com_parcelamento!M:M,Conciliacao!A162)*(-1)</f>
        <v/>
      </c>
      <c r="L162" s="4">
        <f>SUMIFS(df_mutuos!N:N,df_mutuos!B:B,Conciliacao!A162)*(-1)</f>
        <v/>
      </c>
      <c r="M162" s="8">
        <f>SUMIFS(df_bloqueios_judiciais!G:G,df_bloqueios_judiciais!D:D,Conciliacao!A162,df_bloqueios_judiciais!G:G,"&lt;0")</f>
        <v/>
      </c>
      <c r="N162" s="10">
        <f>SUMIFS(df_extratos!I:I,df_extratos!F:F,Conciliacao!BE162,df_extratos!G:G,"DEBITO")+SUMIFS(df_extratos!I:I,df_extratos!F:F,Conciliacao!A162,df_extratos!G:G,"DEBITO")+SUMIFS(df_extratos!I:I,df_extratos!F:F,Conciliacao!BF162,df_extratos!G:G,"DEBITO")+SUMIFS(df_extratos!I:I,df_extratos!F:F,Conciliacao!BG162,df_extratos!G:G,"DEBITO")+SUMIFS(df_extratos!I:I,df_extratos!F:F,Conciliacao!BH162,df_extratos!G:G,"DEBITO")</f>
        <v/>
      </c>
      <c r="O162" s="11">
        <f>N162-SUM(J162:M162)</f>
        <v/>
      </c>
      <c r="P162" s="25">
        <f>SUMIFS(df_ajustes_conciliaco!D:D,df_ajustes_conciliaco!C:C,Conciliacao!A162)</f>
        <v/>
      </c>
      <c r="Q162" s="22">
        <f>O162+I162-P162</f>
        <v/>
      </c>
      <c r="BE162" s="20" t="n">
        <v>45818.5</v>
      </c>
      <c r="BF162" s="20" t="n">
        <v>45818.125</v>
      </c>
      <c r="BG162" s="20" t="n">
        <v>45818.54166666666</v>
      </c>
      <c r="BH162" s="20" t="n">
        <v>45818.625</v>
      </c>
    </row>
    <row r="163">
      <c r="A163" s="5">
        <f>A162+1</f>
        <v/>
      </c>
      <c r="B163" s="3">
        <f>-SUMIFS(df_extrato_zig!G:G,df_extrato_zig!E:E,Conciliacao!A163,df_extrato_zig!D:D,"Saque")-SUMIFS(df_extrato_zig!G:G,df_extrato_zig!E:E,Conciliacao!A163,df_extrato_zig!D:D,"Antecipação")</f>
        <v/>
      </c>
      <c r="C163" s="3">
        <f>SUMIFS(df_extrato_zig!E:E,df_extrato_zig!L:L,Conciliacao!A163,df_extrato_zig!F:F,"DINHEIRO")</f>
        <v/>
      </c>
      <c r="D163" s="3">
        <f>SUMIFS(view_parc_agrup!H:H,view_parc_agrup!G:G,Conciliacao!A163)</f>
        <v/>
      </c>
      <c r="E163" s="3">
        <f>SUMIFS(df_eventos!F:F,df_eventos!H:H,Conciliacao!A163)</f>
        <v/>
      </c>
      <c r="F163" s="3">
        <f>SUMIFS(df_mutuos!M:M,df_mutuos!B:B,Conciliacao!A163)</f>
        <v/>
      </c>
      <c r="G163" s="6">
        <f>SUMIFS(df_bloqueios_judiciais!G:G,df_bloqueios_judiciais!D:D,Conciliacao!A163,df_bloqueios_judiciais!G:G,"&gt;0")</f>
        <v/>
      </c>
      <c r="H163" s="7">
        <f>SUMIFS(df_extratos!I:I,df_extratos!F:F,Conciliacao!BE163,df_extratos!G:G,"CREDITO")+SUMIFS(df_extratos!I:I,df_extratos!F:F,Conciliacao!A163,df_extratos!G:G,"CREDITO")+SUMIFS(df_extratos!I:I,df_extratos!F:F,Conciliacao!BF163,df_extratos!G:G,"CREDITO")+SUMIFS(df_extratos!I:I,df_extratos!F:F,Conciliacao!BG163,df_extratos!G:G,"CREDITO")+SUMIFS(df_extratos!I:I,df_extratos!F:F,Conciliacao!BH163,df_extratos!G:G,"CREDITO")</f>
        <v/>
      </c>
      <c r="I163" s="9">
        <f>H163-SUM(B163:G163)</f>
        <v/>
      </c>
      <c r="J163" s="4">
        <f>SUMIFS(df_blueme_sem_parcelamento!E:E,df_blueme_sem_parcelamento!H:H,Conciliacao!A163)*(-1)</f>
        <v/>
      </c>
      <c r="K163" s="4">
        <f>SUMIFS(df_blueme_com_parcelamento!J:J,df_blueme_com_parcelamento!M:M,Conciliacao!A163)*(-1)</f>
        <v/>
      </c>
      <c r="L163" s="4">
        <f>SUMIFS(df_mutuos!N:N,df_mutuos!B:B,Conciliacao!A163)*(-1)</f>
        <v/>
      </c>
      <c r="M163" s="8">
        <f>SUMIFS(df_bloqueios_judiciais!G:G,df_bloqueios_judiciais!D:D,Conciliacao!A163,df_bloqueios_judiciais!G:G,"&lt;0")</f>
        <v/>
      </c>
      <c r="N163" s="10">
        <f>SUMIFS(df_extratos!I:I,df_extratos!F:F,Conciliacao!BE163,df_extratos!G:G,"DEBITO")+SUMIFS(df_extratos!I:I,df_extratos!F:F,Conciliacao!A163,df_extratos!G:G,"DEBITO")+SUMIFS(df_extratos!I:I,df_extratos!F:F,Conciliacao!BF163,df_extratos!G:G,"DEBITO")+SUMIFS(df_extratos!I:I,df_extratos!F:F,Conciliacao!BG163,df_extratos!G:G,"DEBITO")+SUMIFS(df_extratos!I:I,df_extratos!F:F,Conciliacao!BH163,df_extratos!G:G,"DEBITO")</f>
        <v/>
      </c>
      <c r="O163" s="11">
        <f>N163-SUM(J163:M163)</f>
        <v/>
      </c>
      <c r="P163" s="25">
        <f>SUMIFS(df_ajustes_conciliaco!D:D,df_ajustes_conciliaco!C:C,Conciliacao!A163)</f>
        <v/>
      </c>
      <c r="Q163" s="22">
        <f>O163+I163-P163</f>
        <v/>
      </c>
      <c r="BE163" s="20" t="n">
        <v>45819.5</v>
      </c>
      <c r="BF163" s="20" t="n">
        <v>45819.125</v>
      </c>
      <c r="BG163" s="20" t="n">
        <v>45819.54166666666</v>
      </c>
      <c r="BH163" s="20" t="n">
        <v>45819.625</v>
      </c>
    </row>
    <row r="164">
      <c r="A164" s="5">
        <f>A163+1</f>
        <v/>
      </c>
      <c r="B164" s="3">
        <f>-SUMIFS(df_extrato_zig!G:G,df_extrato_zig!E:E,Conciliacao!A164,df_extrato_zig!D:D,"Saque")-SUMIFS(df_extrato_zig!G:G,df_extrato_zig!E:E,Conciliacao!A164,df_extrato_zig!D:D,"Antecipação")</f>
        <v/>
      </c>
      <c r="C164" s="3">
        <f>SUMIFS(df_extrato_zig!E:E,df_extrato_zig!L:L,Conciliacao!A164,df_extrato_zig!F:F,"DINHEIRO")</f>
        <v/>
      </c>
      <c r="D164" s="3">
        <f>SUMIFS(view_parc_agrup!H:H,view_parc_agrup!G:G,Conciliacao!A164)</f>
        <v/>
      </c>
      <c r="E164" s="3">
        <f>SUMIFS(df_eventos!F:F,df_eventos!H:H,Conciliacao!A164)</f>
        <v/>
      </c>
      <c r="F164" s="3">
        <f>SUMIFS(df_mutuos!M:M,df_mutuos!B:B,Conciliacao!A164)</f>
        <v/>
      </c>
      <c r="G164" s="6">
        <f>SUMIFS(df_bloqueios_judiciais!G:G,df_bloqueios_judiciais!D:D,Conciliacao!A164,df_bloqueios_judiciais!G:G,"&gt;0")</f>
        <v/>
      </c>
      <c r="H164" s="7">
        <f>SUMIFS(df_extratos!I:I,df_extratos!F:F,Conciliacao!BE164,df_extratos!G:G,"CREDITO")+SUMIFS(df_extratos!I:I,df_extratos!F:F,Conciliacao!A164,df_extratos!G:G,"CREDITO")+SUMIFS(df_extratos!I:I,df_extratos!F:F,Conciliacao!BF164,df_extratos!G:G,"CREDITO")+SUMIFS(df_extratos!I:I,df_extratos!F:F,Conciliacao!BG164,df_extratos!G:G,"CREDITO")+SUMIFS(df_extratos!I:I,df_extratos!F:F,Conciliacao!BH164,df_extratos!G:G,"CREDITO")</f>
        <v/>
      </c>
      <c r="I164" s="9">
        <f>H164-SUM(B164:G164)</f>
        <v/>
      </c>
      <c r="J164" s="4">
        <f>SUMIFS(df_blueme_sem_parcelamento!E:E,df_blueme_sem_parcelamento!H:H,Conciliacao!A164)*(-1)</f>
        <v/>
      </c>
      <c r="K164" s="4">
        <f>SUMIFS(df_blueme_com_parcelamento!J:J,df_blueme_com_parcelamento!M:M,Conciliacao!A164)*(-1)</f>
        <v/>
      </c>
      <c r="L164" s="4">
        <f>SUMIFS(df_mutuos!N:N,df_mutuos!B:B,Conciliacao!A164)*(-1)</f>
        <v/>
      </c>
      <c r="M164" s="8">
        <f>SUMIFS(df_bloqueios_judiciais!G:G,df_bloqueios_judiciais!D:D,Conciliacao!A164,df_bloqueios_judiciais!G:G,"&lt;0")</f>
        <v/>
      </c>
      <c r="N164" s="10">
        <f>SUMIFS(df_extratos!I:I,df_extratos!F:F,Conciliacao!BE164,df_extratos!G:G,"DEBITO")+SUMIFS(df_extratos!I:I,df_extratos!F:F,Conciliacao!A164,df_extratos!G:G,"DEBITO")+SUMIFS(df_extratos!I:I,df_extratos!F:F,Conciliacao!BF164,df_extratos!G:G,"DEBITO")+SUMIFS(df_extratos!I:I,df_extratos!F:F,Conciliacao!BG164,df_extratos!G:G,"DEBITO")+SUMIFS(df_extratos!I:I,df_extratos!F:F,Conciliacao!BH164,df_extratos!G:G,"DEBITO")</f>
        <v/>
      </c>
      <c r="O164" s="11">
        <f>N164-SUM(J164:M164)</f>
        <v/>
      </c>
      <c r="P164" s="25">
        <f>SUMIFS(df_ajustes_conciliaco!D:D,df_ajustes_conciliaco!C:C,Conciliacao!A164)</f>
        <v/>
      </c>
      <c r="Q164" s="22">
        <f>O164+I164-P164</f>
        <v/>
      </c>
      <c r="BE164" s="20" t="n">
        <v>45820.5</v>
      </c>
      <c r="BF164" s="20" t="n">
        <v>45820.125</v>
      </c>
      <c r="BG164" s="20" t="n">
        <v>45820.54166666666</v>
      </c>
      <c r="BH164" s="20" t="n">
        <v>45820.625</v>
      </c>
    </row>
    <row r="165">
      <c r="A165" s="5">
        <f>A164+1</f>
        <v/>
      </c>
      <c r="B165" s="3">
        <f>-SUMIFS(df_extrato_zig!G:G,df_extrato_zig!E:E,Conciliacao!A165,df_extrato_zig!D:D,"Saque")-SUMIFS(df_extrato_zig!G:G,df_extrato_zig!E:E,Conciliacao!A165,df_extrato_zig!D:D,"Antecipação")</f>
        <v/>
      </c>
      <c r="C165" s="3">
        <f>SUMIFS(df_extrato_zig!E:E,df_extrato_zig!L:L,Conciliacao!A165,df_extrato_zig!F:F,"DINHEIRO")</f>
        <v/>
      </c>
      <c r="D165" s="3">
        <f>SUMIFS(view_parc_agrup!H:H,view_parc_agrup!G:G,Conciliacao!A165)</f>
        <v/>
      </c>
      <c r="E165" s="3">
        <f>SUMIFS(df_eventos!F:F,df_eventos!H:H,Conciliacao!A165)</f>
        <v/>
      </c>
      <c r="F165" s="3">
        <f>SUMIFS(df_mutuos!M:M,df_mutuos!B:B,Conciliacao!A165)</f>
        <v/>
      </c>
      <c r="G165" s="6">
        <f>SUMIFS(df_bloqueios_judiciais!G:G,df_bloqueios_judiciais!D:D,Conciliacao!A165,df_bloqueios_judiciais!G:G,"&gt;0")</f>
        <v/>
      </c>
      <c r="H165" s="7">
        <f>SUMIFS(df_extratos!I:I,df_extratos!F:F,Conciliacao!BE165,df_extratos!G:G,"CREDITO")+SUMIFS(df_extratos!I:I,df_extratos!F:F,Conciliacao!A165,df_extratos!G:G,"CREDITO")+SUMIFS(df_extratos!I:I,df_extratos!F:F,Conciliacao!BF165,df_extratos!G:G,"CREDITO")+SUMIFS(df_extratos!I:I,df_extratos!F:F,Conciliacao!BG165,df_extratos!G:G,"CREDITO")+SUMIFS(df_extratos!I:I,df_extratos!F:F,Conciliacao!BH165,df_extratos!G:G,"CREDITO")</f>
        <v/>
      </c>
      <c r="I165" s="9">
        <f>H165-SUM(B165:G165)</f>
        <v/>
      </c>
      <c r="J165" s="4">
        <f>SUMIFS(df_blueme_sem_parcelamento!E:E,df_blueme_sem_parcelamento!H:H,Conciliacao!A165)*(-1)</f>
        <v/>
      </c>
      <c r="K165" s="4">
        <f>SUMIFS(df_blueme_com_parcelamento!J:J,df_blueme_com_parcelamento!M:M,Conciliacao!A165)*(-1)</f>
        <v/>
      </c>
      <c r="L165" s="4">
        <f>SUMIFS(df_mutuos!N:N,df_mutuos!B:B,Conciliacao!A165)*(-1)</f>
        <v/>
      </c>
      <c r="M165" s="8">
        <f>SUMIFS(df_bloqueios_judiciais!G:G,df_bloqueios_judiciais!D:D,Conciliacao!A165,df_bloqueios_judiciais!G:G,"&lt;0")</f>
        <v/>
      </c>
      <c r="N165" s="10">
        <f>SUMIFS(df_extratos!I:I,df_extratos!F:F,Conciliacao!BE165,df_extratos!G:G,"DEBITO")+SUMIFS(df_extratos!I:I,df_extratos!F:F,Conciliacao!A165,df_extratos!G:G,"DEBITO")+SUMIFS(df_extratos!I:I,df_extratos!F:F,Conciliacao!BF165,df_extratos!G:G,"DEBITO")+SUMIFS(df_extratos!I:I,df_extratos!F:F,Conciliacao!BG165,df_extratos!G:G,"DEBITO")+SUMIFS(df_extratos!I:I,df_extratos!F:F,Conciliacao!BH165,df_extratos!G:G,"DEBITO")</f>
        <v/>
      </c>
      <c r="O165" s="11">
        <f>N165-SUM(J165:M165)</f>
        <v/>
      </c>
      <c r="P165" s="25">
        <f>SUMIFS(df_ajustes_conciliaco!D:D,df_ajustes_conciliaco!C:C,Conciliacao!A165)</f>
        <v/>
      </c>
      <c r="Q165" s="22">
        <f>O165+I165-P165</f>
        <v/>
      </c>
      <c r="BE165" s="20" t="n">
        <v>45821.5</v>
      </c>
      <c r="BF165" s="20" t="n">
        <v>45821.125</v>
      </c>
      <c r="BG165" s="20" t="n">
        <v>45821.54166666666</v>
      </c>
      <c r="BH165" s="20" t="n">
        <v>45821.625</v>
      </c>
    </row>
    <row r="166">
      <c r="A166" s="5">
        <f>A165+1</f>
        <v/>
      </c>
      <c r="B166" s="3">
        <f>-SUMIFS(df_extrato_zig!G:G,df_extrato_zig!E:E,Conciliacao!A166,df_extrato_zig!D:D,"Saque")-SUMIFS(df_extrato_zig!G:G,df_extrato_zig!E:E,Conciliacao!A166,df_extrato_zig!D:D,"Antecipação")</f>
        <v/>
      </c>
      <c r="C166" s="3">
        <f>SUMIFS(df_extrato_zig!E:E,df_extrato_zig!L:L,Conciliacao!A166,df_extrato_zig!F:F,"DINHEIRO")</f>
        <v/>
      </c>
      <c r="D166" s="3">
        <f>SUMIFS(view_parc_agrup!H:H,view_parc_agrup!G:G,Conciliacao!A166)</f>
        <v/>
      </c>
      <c r="E166" s="3">
        <f>SUMIFS(df_eventos!F:F,df_eventos!H:H,Conciliacao!A166)</f>
        <v/>
      </c>
      <c r="F166" s="3">
        <f>SUMIFS(df_mutuos!M:M,df_mutuos!B:B,Conciliacao!A166)</f>
        <v/>
      </c>
      <c r="G166" s="6">
        <f>SUMIFS(df_bloqueios_judiciais!G:G,df_bloqueios_judiciais!D:D,Conciliacao!A166,df_bloqueios_judiciais!G:G,"&gt;0")</f>
        <v/>
      </c>
      <c r="H166" s="7">
        <f>SUMIFS(df_extratos!I:I,df_extratos!F:F,Conciliacao!BE166,df_extratos!G:G,"CREDITO")+SUMIFS(df_extratos!I:I,df_extratos!F:F,Conciliacao!A166,df_extratos!G:G,"CREDITO")+SUMIFS(df_extratos!I:I,df_extratos!F:F,Conciliacao!BF166,df_extratos!G:G,"CREDITO")+SUMIFS(df_extratos!I:I,df_extratos!F:F,Conciliacao!BG166,df_extratos!G:G,"CREDITO")+SUMIFS(df_extratos!I:I,df_extratos!F:F,Conciliacao!BH166,df_extratos!G:G,"CREDITO")</f>
        <v/>
      </c>
      <c r="I166" s="9">
        <f>H166-SUM(B166:G166)</f>
        <v/>
      </c>
      <c r="J166" s="4">
        <f>SUMIFS(df_blueme_sem_parcelamento!E:E,df_blueme_sem_parcelamento!H:H,Conciliacao!A166)*(-1)</f>
        <v/>
      </c>
      <c r="K166" s="4">
        <f>SUMIFS(df_blueme_com_parcelamento!J:J,df_blueme_com_parcelamento!M:M,Conciliacao!A166)*(-1)</f>
        <v/>
      </c>
      <c r="L166" s="4">
        <f>SUMIFS(df_mutuos!N:N,df_mutuos!B:B,Conciliacao!A166)*(-1)</f>
        <v/>
      </c>
      <c r="M166" s="8">
        <f>SUMIFS(df_bloqueios_judiciais!G:G,df_bloqueios_judiciais!D:D,Conciliacao!A166,df_bloqueios_judiciais!G:G,"&lt;0")</f>
        <v/>
      </c>
      <c r="N166" s="10">
        <f>SUMIFS(df_extratos!I:I,df_extratos!F:F,Conciliacao!BE166,df_extratos!G:G,"DEBITO")+SUMIFS(df_extratos!I:I,df_extratos!F:F,Conciliacao!A166,df_extratos!G:G,"DEBITO")+SUMIFS(df_extratos!I:I,df_extratos!F:F,Conciliacao!BF166,df_extratos!G:G,"DEBITO")+SUMIFS(df_extratos!I:I,df_extratos!F:F,Conciliacao!BG166,df_extratos!G:G,"DEBITO")+SUMIFS(df_extratos!I:I,df_extratos!F:F,Conciliacao!BH166,df_extratos!G:G,"DEBITO")</f>
        <v/>
      </c>
      <c r="O166" s="11">
        <f>N166-SUM(J166:M166)</f>
        <v/>
      </c>
      <c r="P166" s="25">
        <f>SUMIFS(df_ajustes_conciliaco!D:D,df_ajustes_conciliaco!C:C,Conciliacao!A166)</f>
        <v/>
      </c>
      <c r="Q166" s="22">
        <f>O166+I166-P166</f>
        <v/>
      </c>
      <c r="BE166" s="20" t="n">
        <v>45822.5</v>
      </c>
      <c r="BF166" s="20" t="n">
        <v>45822.125</v>
      </c>
      <c r="BG166" s="20" t="n">
        <v>45822.54166666666</v>
      </c>
      <c r="BH166" s="20" t="n">
        <v>45822.625</v>
      </c>
    </row>
    <row r="167">
      <c r="A167" s="5">
        <f>A166+1</f>
        <v/>
      </c>
      <c r="B167" s="3">
        <f>-SUMIFS(df_extrato_zig!G:G,df_extrato_zig!E:E,Conciliacao!A167,df_extrato_zig!D:D,"Saque")-SUMIFS(df_extrato_zig!G:G,df_extrato_zig!E:E,Conciliacao!A167,df_extrato_zig!D:D,"Antecipação")</f>
        <v/>
      </c>
      <c r="C167" s="3">
        <f>SUMIFS(df_extrato_zig!E:E,df_extrato_zig!L:L,Conciliacao!A167,df_extrato_zig!F:F,"DINHEIRO")</f>
        <v/>
      </c>
      <c r="D167" s="3">
        <f>SUMIFS(view_parc_agrup!H:H,view_parc_agrup!G:G,Conciliacao!A167)</f>
        <v/>
      </c>
      <c r="E167" s="3">
        <f>SUMIFS(df_eventos!F:F,df_eventos!H:H,Conciliacao!A167)</f>
        <v/>
      </c>
      <c r="F167" s="3">
        <f>SUMIFS(df_mutuos!M:M,df_mutuos!B:B,Conciliacao!A167)</f>
        <v/>
      </c>
      <c r="G167" s="6">
        <f>SUMIFS(df_bloqueios_judiciais!G:G,df_bloqueios_judiciais!D:D,Conciliacao!A167,df_bloqueios_judiciais!G:G,"&gt;0")</f>
        <v/>
      </c>
      <c r="H167" s="7">
        <f>SUMIFS(df_extratos!I:I,df_extratos!F:F,Conciliacao!BE167,df_extratos!G:G,"CREDITO")+SUMIFS(df_extratos!I:I,df_extratos!F:F,Conciliacao!A167,df_extratos!G:G,"CREDITO")+SUMIFS(df_extratos!I:I,df_extratos!F:F,Conciliacao!BF167,df_extratos!G:G,"CREDITO")+SUMIFS(df_extratos!I:I,df_extratos!F:F,Conciliacao!BG167,df_extratos!G:G,"CREDITO")+SUMIFS(df_extratos!I:I,df_extratos!F:F,Conciliacao!BH167,df_extratos!G:G,"CREDITO")</f>
        <v/>
      </c>
      <c r="I167" s="9">
        <f>H167-SUM(B167:G167)</f>
        <v/>
      </c>
      <c r="J167" s="4">
        <f>SUMIFS(df_blueme_sem_parcelamento!E:E,df_blueme_sem_parcelamento!H:H,Conciliacao!A167)*(-1)</f>
        <v/>
      </c>
      <c r="K167" s="4">
        <f>SUMIFS(df_blueme_com_parcelamento!J:J,df_blueme_com_parcelamento!M:M,Conciliacao!A167)*(-1)</f>
        <v/>
      </c>
      <c r="L167" s="4">
        <f>SUMIFS(df_mutuos!N:N,df_mutuos!B:B,Conciliacao!A167)*(-1)</f>
        <v/>
      </c>
      <c r="M167" s="8">
        <f>SUMIFS(df_bloqueios_judiciais!G:G,df_bloqueios_judiciais!D:D,Conciliacao!A167,df_bloqueios_judiciais!G:G,"&lt;0")</f>
        <v/>
      </c>
      <c r="N167" s="10">
        <f>SUMIFS(df_extratos!I:I,df_extratos!F:F,Conciliacao!BE167,df_extratos!G:G,"DEBITO")+SUMIFS(df_extratos!I:I,df_extratos!F:F,Conciliacao!A167,df_extratos!G:G,"DEBITO")+SUMIFS(df_extratos!I:I,df_extratos!F:F,Conciliacao!BF167,df_extratos!G:G,"DEBITO")+SUMIFS(df_extratos!I:I,df_extratos!F:F,Conciliacao!BG167,df_extratos!G:G,"DEBITO")+SUMIFS(df_extratos!I:I,df_extratos!F:F,Conciliacao!BH167,df_extratos!G:G,"DEBITO")</f>
        <v/>
      </c>
      <c r="O167" s="11">
        <f>N167-SUM(J167:M167)</f>
        <v/>
      </c>
      <c r="P167" s="25">
        <f>SUMIFS(df_ajustes_conciliaco!D:D,df_ajustes_conciliaco!C:C,Conciliacao!A167)</f>
        <v/>
      </c>
      <c r="Q167" s="22">
        <f>O167+I167-P167</f>
        <v/>
      </c>
      <c r="BE167" s="20" t="n">
        <v>45823.5</v>
      </c>
      <c r="BF167" s="20" t="n">
        <v>45823.125</v>
      </c>
      <c r="BG167" s="20" t="n">
        <v>45823.54166666666</v>
      </c>
      <c r="BH167" s="20" t="n">
        <v>45823.625</v>
      </c>
    </row>
    <row r="168">
      <c r="A168" s="5">
        <f>A167+1</f>
        <v/>
      </c>
      <c r="B168" s="3">
        <f>-SUMIFS(df_extrato_zig!G:G,df_extrato_zig!E:E,Conciliacao!A168,df_extrato_zig!D:D,"Saque")-SUMIFS(df_extrato_zig!G:G,df_extrato_zig!E:E,Conciliacao!A168,df_extrato_zig!D:D,"Antecipação")</f>
        <v/>
      </c>
      <c r="C168" s="3">
        <f>SUMIFS(df_extrato_zig!E:E,df_extrato_zig!L:L,Conciliacao!A168,df_extrato_zig!F:F,"DINHEIRO")</f>
        <v/>
      </c>
      <c r="D168" s="3">
        <f>SUMIFS(view_parc_agrup!H:H,view_parc_agrup!G:G,Conciliacao!A168)</f>
        <v/>
      </c>
      <c r="E168" s="3">
        <f>SUMIFS(df_eventos!F:F,df_eventos!H:H,Conciliacao!A168)</f>
        <v/>
      </c>
      <c r="F168" s="3">
        <f>SUMIFS(df_mutuos!M:M,df_mutuos!B:B,Conciliacao!A168)</f>
        <v/>
      </c>
      <c r="G168" s="6">
        <f>SUMIFS(df_bloqueios_judiciais!G:G,df_bloqueios_judiciais!D:D,Conciliacao!A168,df_bloqueios_judiciais!G:G,"&gt;0")</f>
        <v/>
      </c>
      <c r="H168" s="7">
        <f>SUMIFS(df_extratos!I:I,df_extratos!F:F,Conciliacao!BE168,df_extratos!G:G,"CREDITO")+SUMIFS(df_extratos!I:I,df_extratos!F:F,Conciliacao!A168,df_extratos!G:G,"CREDITO")+SUMIFS(df_extratos!I:I,df_extratos!F:F,Conciliacao!BF168,df_extratos!G:G,"CREDITO")+SUMIFS(df_extratos!I:I,df_extratos!F:F,Conciliacao!BG168,df_extratos!G:G,"CREDITO")+SUMIFS(df_extratos!I:I,df_extratos!F:F,Conciliacao!BH168,df_extratos!G:G,"CREDITO")</f>
        <v/>
      </c>
      <c r="I168" s="9">
        <f>H168-SUM(B168:G168)</f>
        <v/>
      </c>
      <c r="J168" s="4">
        <f>SUMIFS(df_blueme_sem_parcelamento!E:E,df_blueme_sem_parcelamento!H:H,Conciliacao!A168)*(-1)</f>
        <v/>
      </c>
      <c r="K168" s="4">
        <f>SUMIFS(df_blueme_com_parcelamento!J:J,df_blueme_com_parcelamento!M:M,Conciliacao!A168)*(-1)</f>
        <v/>
      </c>
      <c r="L168" s="4">
        <f>SUMIFS(df_mutuos!N:N,df_mutuos!B:B,Conciliacao!A168)*(-1)</f>
        <v/>
      </c>
      <c r="M168" s="8">
        <f>SUMIFS(df_bloqueios_judiciais!G:G,df_bloqueios_judiciais!D:D,Conciliacao!A168,df_bloqueios_judiciais!G:G,"&lt;0")</f>
        <v/>
      </c>
      <c r="N168" s="10">
        <f>SUMIFS(df_extratos!I:I,df_extratos!F:F,Conciliacao!BE168,df_extratos!G:G,"DEBITO")+SUMIFS(df_extratos!I:I,df_extratos!F:F,Conciliacao!A168,df_extratos!G:G,"DEBITO")+SUMIFS(df_extratos!I:I,df_extratos!F:F,Conciliacao!BF168,df_extratos!G:G,"DEBITO")+SUMIFS(df_extratos!I:I,df_extratos!F:F,Conciliacao!BG168,df_extratos!G:G,"DEBITO")+SUMIFS(df_extratos!I:I,df_extratos!F:F,Conciliacao!BH168,df_extratos!G:G,"DEBITO")</f>
        <v/>
      </c>
      <c r="O168" s="11">
        <f>N168-SUM(J168:M168)</f>
        <v/>
      </c>
      <c r="P168" s="25">
        <f>SUMIFS(df_ajustes_conciliaco!D:D,df_ajustes_conciliaco!C:C,Conciliacao!A168)</f>
        <v/>
      </c>
      <c r="Q168" s="22">
        <f>O168+I168-P168</f>
        <v/>
      </c>
      <c r="BE168" s="20" t="n">
        <v>45824.5</v>
      </c>
      <c r="BF168" s="20" t="n">
        <v>45824.125</v>
      </c>
      <c r="BG168" s="20" t="n">
        <v>45824.54166666666</v>
      </c>
      <c r="BH168" s="20" t="n">
        <v>45824.625</v>
      </c>
    </row>
    <row r="169">
      <c r="A169" s="5">
        <f>A168+1</f>
        <v/>
      </c>
      <c r="B169" s="3">
        <f>-SUMIFS(df_extrato_zig!G:G,df_extrato_zig!E:E,Conciliacao!A169,df_extrato_zig!D:D,"Saque")-SUMIFS(df_extrato_zig!G:G,df_extrato_zig!E:E,Conciliacao!A169,df_extrato_zig!D:D,"Antecipação")</f>
        <v/>
      </c>
      <c r="C169" s="3">
        <f>SUMIFS(df_extrato_zig!E:E,df_extrato_zig!L:L,Conciliacao!A169,df_extrato_zig!F:F,"DINHEIRO")</f>
        <v/>
      </c>
      <c r="D169" s="3">
        <f>SUMIFS(view_parc_agrup!H:H,view_parc_agrup!G:G,Conciliacao!A169)</f>
        <v/>
      </c>
      <c r="E169" s="3">
        <f>SUMIFS(df_eventos!F:F,df_eventos!H:H,Conciliacao!A169)</f>
        <v/>
      </c>
      <c r="F169" s="3">
        <f>SUMIFS(df_mutuos!M:M,df_mutuos!B:B,Conciliacao!A169)</f>
        <v/>
      </c>
      <c r="G169" s="6">
        <f>SUMIFS(df_bloqueios_judiciais!G:G,df_bloqueios_judiciais!D:D,Conciliacao!A169,df_bloqueios_judiciais!G:G,"&gt;0")</f>
        <v/>
      </c>
      <c r="H169" s="7">
        <f>SUMIFS(df_extratos!I:I,df_extratos!F:F,Conciliacao!BE169,df_extratos!G:G,"CREDITO")+SUMIFS(df_extratos!I:I,df_extratos!F:F,Conciliacao!A169,df_extratos!G:G,"CREDITO")+SUMIFS(df_extratos!I:I,df_extratos!F:F,Conciliacao!BF169,df_extratos!G:G,"CREDITO")+SUMIFS(df_extratos!I:I,df_extratos!F:F,Conciliacao!BG169,df_extratos!G:G,"CREDITO")+SUMIFS(df_extratos!I:I,df_extratos!F:F,Conciliacao!BH169,df_extratos!G:G,"CREDITO")</f>
        <v/>
      </c>
      <c r="I169" s="9">
        <f>H169-SUM(B169:G169)</f>
        <v/>
      </c>
      <c r="J169" s="4">
        <f>SUMIFS(df_blueme_sem_parcelamento!E:E,df_blueme_sem_parcelamento!H:H,Conciliacao!A169)*(-1)</f>
        <v/>
      </c>
      <c r="K169" s="4">
        <f>SUMIFS(df_blueme_com_parcelamento!J:J,df_blueme_com_parcelamento!M:M,Conciliacao!A169)*(-1)</f>
        <v/>
      </c>
      <c r="L169" s="4">
        <f>SUMIFS(df_mutuos!N:N,df_mutuos!B:B,Conciliacao!A169)*(-1)</f>
        <v/>
      </c>
      <c r="M169" s="8">
        <f>SUMIFS(df_bloqueios_judiciais!G:G,df_bloqueios_judiciais!D:D,Conciliacao!A169,df_bloqueios_judiciais!G:G,"&lt;0")</f>
        <v/>
      </c>
      <c r="N169" s="10">
        <f>SUMIFS(df_extratos!I:I,df_extratos!F:F,Conciliacao!BE169,df_extratos!G:G,"DEBITO")+SUMIFS(df_extratos!I:I,df_extratos!F:F,Conciliacao!A169,df_extratos!G:G,"DEBITO")+SUMIFS(df_extratos!I:I,df_extratos!F:F,Conciliacao!BF169,df_extratos!G:G,"DEBITO")+SUMIFS(df_extratos!I:I,df_extratos!F:F,Conciliacao!BG169,df_extratos!G:G,"DEBITO")+SUMIFS(df_extratos!I:I,df_extratos!F:F,Conciliacao!BH169,df_extratos!G:G,"DEBITO")</f>
        <v/>
      </c>
      <c r="O169" s="11">
        <f>N169-SUM(J169:M169)</f>
        <v/>
      </c>
      <c r="P169" s="25">
        <f>SUMIFS(df_ajustes_conciliaco!D:D,df_ajustes_conciliaco!C:C,Conciliacao!A169)</f>
        <v/>
      </c>
      <c r="Q169" s="22">
        <f>O169+I169-P169</f>
        <v/>
      </c>
      <c r="BE169" s="20" t="n">
        <v>45825.5</v>
      </c>
      <c r="BF169" s="20" t="n">
        <v>45825.125</v>
      </c>
      <c r="BG169" s="20" t="n">
        <v>45825.54166666666</v>
      </c>
      <c r="BH169" s="20" t="n">
        <v>45825.625</v>
      </c>
    </row>
    <row r="170">
      <c r="A170" s="5">
        <f>A169+1</f>
        <v/>
      </c>
      <c r="B170" s="3">
        <f>-SUMIFS(df_extrato_zig!G:G,df_extrato_zig!E:E,Conciliacao!A170,df_extrato_zig!D:D,"Saque")-SUMIFS(df_extrato_zig!G:G,df_extrato_zig!E:E,Conciliacao!A170,df_extrato_zig!D:D,"Antecipação")</f>
        <v/>
      </c>
      <c r="C170" s="3">
        <f>SUMIFS(df_extrato_zig!E:E,df_extrato_zig!L:L,Conciliacao!A170,df_extrato_zig!F:F,"DINHEIRO")</f>
        <v/>
      </c>
      <c r="D170" s="3">
        <f>SUMIFS(view_parc_agrup!H:H,view_parc_agrup!G:G,Conciliacao!A170)</f>
        <v/>
      </c>
      <c r="E170" s="3">
        <f>SUMIFS(df_eventos!F:F,df_eventos!H:H,Conciliacao!A170)</f>
        <v/>
      </c>
      <c r="F170" s="3">
        <f>SUMIFS(df_mutuos!M:M,df_mutuos!B:B,Conciliacao!A170)</f>
        <v/>
      </c>
      <c r="G170" s="6">
        <f>SUMIFS(df_bloqueios_judiciais!G:G,df_bloqueios_judiciais!D:D,Conciliacao!A170,df_bloqueios_judiciais!G:G,"&gt;0")</f>
        <v/>
      </c>
      <c r="H170" s="7">
        <f>SUMIFS(df_extratos!I:I,df_extratos!F:F,Conciliacao!BE170,df_extratos!G:G,"CREDITO")+SUMIFS(df_extratos!I:I,df_extratos!F:F,Conciliacao!A170,df_extratos!G:G,"CREDITO")+SUMIFS(df_extratos!I:I,df_extratos!F:F,Conciliacao!BF170,df_extratos!G:G,"CREDITO")+SUMIFS(df_extratos!I:I,df_extratos!F:F,Conciliacao!BG170,df_extratos!G:G,"CREDITO")+SUMIFS(df_extratos!I:I,df_extratos!F:F,Conciliacao!BH170,df_extratos!G:G,"CREDITO")</f>
        <v/>
      </c>
      <c r="I170" s="9">
        <f>H170-SUM(B170:G170)</f>
        <v/>
      </c>
      <c r="J170" s="4">
        <f>SUMIFS(df_blueme_sem_parcelamento!E:E,df_blueme_sem_parcelamento!H:H,Conciliacao!A170)*(-1)</f>
        <v/>
      </c>
      <c r="K170" s="4">
        <f>SUMIFS(df_blueme_com_parcelamento!J:J,df_blueme_com_parcelamento!M:M,Conciliacao!A170)*(-1)</f>
        <v/>
      </c>
      <c r="L170" s="4">
        <f>SUMIFS(df_mutuos!N:N,df_mutuos!B:B,Conciliacao!A170)*(-1)</f>
        <v/>
      </c>
      <c r="M170" s="8">
        <f>SUMIFS(df_bloqueios_judiciais!G:G,df_bloqueios_judiciais!D:D,Conciliacao!A170,df_bloqueios_judiciais!G:G,"&lt;0")</f>
        <v/>
      </c>
      <c r="N170" s="10">
        <f>SUMIFS(df_extratos!I:I,df_extratos!F:F,Conciliacao!BE170,df_extratos!G:G,"DEBITO")+SUMIFS(df_extratos!I:I,df_extratos!F:F,Conciliacao!A170,df_extratos!G:G,"DEBITO")+SUMIFS(df_extratos!I:I,df_extratos!F:F,Conciliacao!BF170,df_extratos!G:G,"DEBITO")+SUMIFS(df_extratos!I:I,df_extratos!F:F,Conciliacao!BG170,df_extratos!G:G,"DEBITO")+SUMIFS(df_extratos!I:I,df_extratos!F:F,Conciliacao!BH170,df_extratos!G:G,"DEBITO")</f>
        <v/>
      </c>
      <c r="O170" s="11">
        <f>N170-SUM(J170:M170)</f>
        <v/>
      </c>
      <c r="P170" s="25">
        <f>SUMIFS(df_ajustes_conciliaco!D:D,df_ajustes_conciliaco!C:C,Conciliacao!A170)</f>
        <v/>
      </c>
      <c r="Q170" s="22">
        <f>O170+I170-P170</f>
        <v/>
      </c>
      <c r="BE170" s="20" t="n">
        <v>45826.5</v>
      </c>
      <c r="BF170" s="20" t="n">
        <v>45826.125</v>
      </c>
      <c r="BG170" s="20" t="n">
        <v>45826.54166666666</v>
      </c>
      <c r="BH170" s="20" t="n">
        <v>45826.625</v>
      </c>
    </row>
    <row r="171">
      <c r="A171" s="5">
        <f>A170+1</f>
        <v/>
      </c>
      <c r="B171" s="3">
        <f>-SUMIFS(df_extrato_zig!G:G,df_extrato_zig!E:E,Conciliacao!A171,df_extrato_zig!D:D,"Saque")-SUMIFS(df_extrato_zig!G:G,df_extrato_zig!E:E,Conciliacao!A171,df_extrato_zig!D:D,"Antecipação")</f>
        <v/>
      </c>
      <c r="C171" s="3">
        <f>SUMIFS(df_extrato_zig!E:E,df_extrato_zig!L:L,Conciliacao!A171,df_extrato_zig!F:F,"DINHEIRO")</f>
        <v/>
      </c>
      <c r="D171" s="3">
        <f>SUMIFS(view_parc_agrup!H:H,view_parc_agrup!G:G,Conciliacao!A171)</f>
        <v/>
      </c>
      <c r="E171" s="3">
        <f>SUMIFS(df_eventos!F:F,df_eventos!H:H,Conciliacao!A171)</f>
        <v/>
      </c>
      <c r="F171" s="3">
        <f>SUMIFS(df_mutuos!M:M,df_mutuos!B:B,Conciliacao!A171)</f>
        <v/>
      </c>
      <c r="G171" s="6">
        <f>SUMIFS(df_bloqueios_judiciais!G:G,df_bloqueios_judiciais!D:D,Conciliacao!A171,df_bloqueios_judiciais!G:G,"&gt;0")</f>
        <v/>
      </c>
      <c r="H171" s="7">
        <f>SUMIFS(df_extratos!I:I,df_extratos!F:F,Conciliacao!BE171,df_extratos!G:G,"CREDITO")+SUMIFS(df_extratos!I:I,df_extratos!F:F,Conciliacao!A171,df_extratos!G:G,"CREDITO")+SUMIFS(df_extratos!I:I,df_extratos!F:F,Conciliacao!BF171,df_extratos!G:G,"CREDITO")+SUMIFS(df_extratos!I:I,df_extratos!F:F,Conciliacao!BG171,df_extratos!G:G,"CREDITO")+SUMIFS(df_extratos!I:I,df_extratos!F:F,Conciliacao!BH171,df_extratos!G:G,"CREDITO")</f>
        <v/>
      </c>
      <c r="I171" s="9">
        <f>H171-SUM(B171:G171)</f>
        <v/>
      </c>
      <c r="J171" s="4">
        <f>SUMIFS(df_blueme_sem_parcelamento!E:E,df_blueme_sem_parcelamento!H:H,Conciliacao!A171)*(-1)</f>
        <v/>
      </c>
      <c r="K171" s="4">
        <f>SUMIFS(df_blueme_com_parcelamento!J:J,df_blueme_com_parcelamento!M:M,Conciliacao!A171)*(-1)</f>
        <v/>
      </c>
      <c r="L171" s="4">
        <f>SUMIFS(df_mutuos!N:N,df_mutuos!B:B,Conciliacao!A171)*(-1)</f>
        <v/>
      </c>
      <c r="M171" s="8">
        <f>SUMIFS(df_bloqueios_judiciais!G:G,df_bloqueios_judiciais!D:D,Conciliacao!A171,df_bloqueios_judiciais!G:G,"&lt;0")</f>
        <v/>
      </c>
      <c r="N171" s="10">
        <f>SUMIFS(df_extratos!I:I,df_extratos!F:F,Conciliacao!BE171,df_extratos!G:G,"DEBITO")+SUMIFS(df_extratos!I:I,df_extratos!F:F,Conciliacao!A171,df_extratos!G:G,"DEBITO")+SUMIFS(df_extratos!I:I,df_extratos!F:F,Conciliacao!BF171,df_extratos!G:G,"DEBITO")+SUMIFS(df_extratos!I:I,df_extratos!F:F,Conciliacao!BG171,df_extratos!G:G,"DEBITO")+SUMIFS(df_extratos!I:I,df_extratos!F:F,Conciliacao!BH171,df_extratos!G:G,"DEBITO")</f>
        <v/>
      </c>
      <c r="O171" s="11">
        <f>N171-SUM(J171:M171)</f>
        <v/>
      </c>
      <c r="P171" s="25">
        <f>SUMIFS(df_ajustes_conciliaco!D:D,df_ajustes_conciliaco!C:C,Conciliacao!A171)</f>
        <v/>
      </c>
      <c r="Q171" s="22">
        <f>O171+I171-P171</f>
        <v/>
      </c>
      <c r="BE171" s="20" t="n">
        <v>45827.5</v>
      </c>
      <c r="BF171" s="20" t="n">
        <v>45827.125</v>
      </c>
      <c r="BG171" s="20" t="n">
        <v>45827.54166666666</v>
      </c>
      <c r="BH171" s="20" t="n">
        <v>45827.625</v>
      </c>
    </row>
    <row r="172">
      <c r="A172" s="5">
        <f>A171+1</f>
        <v/>
      </c>
      <c r="B172" s="3">
        <f>-SUMIFS(df_extrato_zig!G:G,df_extrato_zig!E:E,Conciliacao!A172,df_extrato_zig!D:D,"Saque")-SUMIFS(df_extrato_zig!G:G,df_extrato_zig!E:E,Conciliacao!A172,df_extrato_zig!D:D,"Antecipação")</f>
        <v/>
      </c>
      <c r="C172" s="3">
        <f>SUMIFS(df_extrato_zig!E:E,df_extrato_zig!L:L,Conciliacao!A172,df_extrato_zig!F:F,"DINHEIRO")</f>
        <v/>
      </c>
      <c r="D172" s="3">
        <f>SUMIFS(view_parc_agrup!H:H,view_parc_agrup!G:G,Conciliacao!A172)</f>
        <v/>
      </c>
      <c r="E172" s="3">
        <f>SUMIFS(df_eventos!F:F,df_eventos!H:H,Conciliacao!A172)</f>
        <v/>
      </c>
      <c r="F172" s="3">
        <f>SUMIFS(df_mutuos!M:M,df_mutuos!B:B,Conciliacao!A172)</f>
        <v/>
      </c>
      <c r="G172" s="6">
        <f>SUMIFS(df_bloqueios_judiciais!G:G,df_bloqueios_judiciais!D:D,Conciliacao!A172,df_bloqueios_judiciais!G:G,"&gt;0")</f>
        <v/>
      </c>
      <c r="H172" s="7">
        <f>SUMIFS(df_extratos!I:I,df_extratos!F:F,Conciliacao!BE172,df_extratos!G:G,"CREDITO")+SUMIFS(df_extratos!I:I,df_extratos!F:F,Conciliacao!A172,df_extratos!G:G,"CREDITO")+SUMIFS(df_extratos!I:I,df_extratos!F:F,Conciliacao!BF172,df_extratos!G:G,"CREDITO")+SUMIFS(df_extratos!I:I,df_extratos!F:F,Conciliacao!BG172,df_extratos!G:G,"CREDITO")+SUMIFS(df_extratos!I:I,df_extratos!F:F,Conciliacao!BH172,df_extratos!G:G,"CREDITO")</f>
        <v/>
      </c>
      <c r="I172" s="9">
        <f>H172-SUM(B172:G172)</f>
        <v/>
      </c>
      <c r="J172" s="4">
        <f>SUMIFS(df_blueme_sem_parcelamento!E:E,df_blueme_sem_parcelamento!H:H,Conciliacao!A172)*(-1)</f>
        <v/>
      </c>
      <c r="K172" s="4">
        <f>SUMIFS(df_blueme_com_parcelamento!J:J,df_blueme_com_parcelamento!M:M,Conciliacao!A172)*(-1)</f>
        <v/>
      </c>
      <c r="L172" s="4">
        <f>SUMIFS(df_mutuos!N:N,df_mutuos!B:B,Conciliacao!A172)*(-1)</f>
        <v/>
      </c>
      <c r="M172" s="8">
        <f>SUMIFS(df_bloqueios_judiciais!G:G,df_bloqueios_judiciais!D:D,Conciliacao!A172,df_bloqueios_judiciais!G:G,"&lt;0")</f>
        <v/>
      </c>
      <c r="N172" s="10">
        <f>SUMIFS(df_extratos!I:I,df_extratos!F:F,Conciliacao!BE172,df_extratos!G:G,"DEBITO")+SUMIFS(df_extratos!I:I,df_extratos!F:F,Conciliacao!A172,df_extratos!G:G,"DEBITO")+SUMIFS(df_extratos!I:I,df_extratos!F:F,Conciliacao!BF172,df_extratos!G:G,"DEBITO")+SUMIFS(df_extratos!I:I,df_extratos!F:F,Conciliacao!BG172,df_extratos!G:G,"DEBITO")+SUMIFS(df_extratos!I:I,df_extratos!F:F,Conciliacao!BH172,df_extratos!G:G,"DEBITO")</f>
        <v/>
      </c>
      <c r="O172" s="11">
        <f>N172-SUM(J172:M172)</f>
        <v/>
      </c>
      <c r="P172" s="25">
        <f>SUMIFS(df_ajustes_conciliaco!D:D,df_ajustes_conciliaco!C:C,Conciliacao!A172)</f>
        <v/>
      </c>
      <c r="Q172" s="22">
        <f>O172+I172-P172</f>
        <v/>
      </c>
      <c r="BE172" s="20" t="n">
        <v>45828.5</v>
      </c>
      <c r="BF172" s="20" t="n">
        <v>45828.125</v>
      </c>
      <c r="BG172" s="20" t="n">
        <v>45828.54166666666</v>
      </c>
      <c r="BH172" s="20" t="n">
        <v>45828.625</v>
      </c>
    </row>
    <row r="173">
      <c r="A173" s="5">
        <f>A172+1</f>
        <v/>
      </c>
      <c r="B173" s="3">
        <f>-SUMIFS(df_extrato_zig!G:G,df_extrato_zig!E:E,Conciliacao!A173,df_extrato_zig!D:D,"Saque")-SUMIFS(df_extrato_zig!G:G,df_extrato_zig!E:E,Conciliacao!A173,df_extrato_zig!D:D,"Antecipação")</f>
        <v/>
      </c>
      <c r="C173" s="3">
        <f>SUMIFS(df_extrato_zig!E:E,df_extrato_zig!L:L,Conciliacao!A173,df_extrato_zig!F:F,"DINHEIRO")</f>
        <v/>
      </c>
      <c r="D173" s="3">
        <f>SUMIFS(view_parc_agrup!H:H,view_parc_agrup!G:G,Conciliacao!A173)</f>
        <v/>
      </c>
      <c r="E173" s="3">
        <f>SUMIFS(df_eventos!F:F,df_eventos!H:H,Conciliacao!A173)</f>
        <v/>
      </c>
      <c r="F173" s="3">
        <f>SUMIFS(df_mutuos!M:M,df_mutuos!B:B,Conciliacao!A173)</f>
        <v/>
      </c>
      <c r="G173" s="6">
        <f>SUMIFS(df_bloqueios_judiciais!G:G,df_bloqueios_judiciais!D:D,Conciliacao!A173,df_bloqueios_judiciais!G:G,"&gt;0")</f>
        <v/>
      </c>
      <c r="H173" s="7">
        <f>SUMIFS(df_extratos!I:I,df_extratos!F:F,Conciliacao!BE173,df_extratos!G:G,"CREDITO")+SUMIFS(df_extratos!I:I,df_extratos!F:F,Conciliacao!A173,df_extratos!G:G,"CREDITO")+SUMIFS(df_extratos!I:I,df_extratos!F:F,Conciliacao!BF173,df_extratos!G:G,"CREDITO")+SUMIFS(df_extratos!I:I,df_extratos!F:F,Conciliacao!BG173,df_extratos!G:G,"CREDITO")+SUMIFS(df_extratos!I:I,df_extratos!F:F,Conciliacao!BH173,df_extratos!G:G,"CREDITO")</f>
        <v/>
      </c>
      <c r="I173" s="9">
        <f>H173-SUM(B173:G173)</f>
        <v/>
      </c>
      <c r="J173" s="4">
        <f>SUMIFS(df_blueme_sem_parcelamento!E:E,df_blueme_sem_parcelamento!H:H,Conciliacao!A173)*(-1)</f>
        <v/>
      </c>
      <c r="K173" s="4">
        <f>SUMIFS(df_blueme_com_parcelamento!J:J,df_blueme_com_parcelamento!M:M,Conciliacao!A173)*(-1)</f>
        <v/>
      </c>
      <c r="L173" s="4">
        <f>SUMIFS(df_mutuos!N:N,df_mutuos!B:B,Conciliacao!A173)*(-1)</f>
        <v/>
      </c>
      <c r="M173" s="8">
        <f>SUMIFS(df_bloqueios_judiciais!G:G,df_bloqueios_judiciais!D:D,Conciliacao!A173,df_bloqueios_judiciais!G:G,"&lt;0")</f>
        <v/>
      </c>
      <c r="N173" s="10">
        <f>SUMIFS(df_extratos!I:I,df_extratos!F:F,Conciliacao!BE173,df_extratos!G:G,"DEBITO")+SUMIFS(df_extratos!I:I,df_extratos!F:F,Conciliacao!A173,df_extratos!G:G,"DEBITO")+SUMIFS(df_extratos!I:I,df_extratos!F:F,Conciliacao!BF173,df_extratos!G:G,"DEBITO")+SUMIFS(df_extratos!I:I,df_extratos!F:F,Conciliacao!BG173,df_extratos!G:G,"DEBITO")+SUMIFS(df_extratos!I:I,df_extratos!F:F,Conciliacao!BH173,df_extratos!G:G,"DEBITO")</f>
        <v/>
      </c>
      <c r="O173" s="11">
        <f>N173-SUM(J173:M173)</f>
        <v/>
      </c>
      <c r="P173" s="25">
        <f>SUMIFS(df_ajustes_conciliaco!D:D,df_ajustes_conciliaco!C:C,Conciliacao!A173)</f>
        <v/>
      </c>
      <c r="Q173" s="22">
        <f>O173+I173-P173</f>
        <v/>
      </c>
      <c r="BE173" s="20" t="n">
        <v>45829.5</v>
      </c>
      <c r="BF173" s="20" t="n">
        <v>45829.125</v>
      </c>
      <c r="BG173" s="20" t="n">
        <v>45829.54166666666</v>
      </c>
      <c r="BH173" s="20" t="n">
        <v>45829.625</v>
      </c>
    </row>
    <row r="174">
      <c r="A174" s="5">
        <f>A173+1</f>
        <v/>
      </c>
      <c r="B174" s="3">
        <f>-SUMIFS(df_extrato_zig!G:G,df_extrato_zig!E:E,Conciliacao!A174,df_extrato_zig!D:D,"Saque")-SUMIFS(df_extrato_zig!G:G,df_extrato_zig!E:E,Conciliacao!A174,df_extrato_zig!D:D,"Antecipação")</f>
        <v/>
      </c>
      <c r="C174" s="3">
        <f>SUMIFS(df_extrato_zig!E:E,df_extrato_zig!L:L,Conciliacao!A174,df_extrato_zig!F:F,"DINHEIRO")</f>
        <v/>
      </c>
      <c r="D174" s="3">
        <f>SUMIFS(view_parc_agrup!H:H,view_parc_agrup!G:G,Conciliacao!A174)</f>
        <v/>
      </c>
      <c r="E174" s="3">
        <f>SUMIFS(df_eventos!F:F,df_eventos!H:H,Conciliacao!A174)</f>
        <v/>
      </c>
      <c r="F174" s="3">
        <f>SUMIFS(df_mutuos!M:M,df_mutuos!B:B,Conciliacao!A174)</f>
        <v/>
      </c>
      <c r="G174" s="6">
        <f>SUMIFS(df_bloqueios_judiciais!G:G,df_bloqueios_judiciais!D:D,Conciliacao!A174,df_bloqueios_judiciais!G:G,"&gt;0")</f>
        <v/>
      </c>
      <c r="H174" s="7">
        <f>SUMIFS(df_extratos!I:I,df_extratos!F:F,Conciliacao!BE174,df_extratos!G:G,"CREDITO")+SUMIFS(df_extratos!I:I,df_extratos!F:F,Conciliacao!A174,df_extratos!G:G,"CREDITO")+SUMIFS(df_extratos!I:I,df_extratos!F:F,Conciliacao!BF174,df_extratos!G:G,"CREDITO")+SUMIFS(df_extratos!I:I,df_extratos!F:F,Conciliacao!BG174,df_extratos!G:G,"CREDITO")+SUMIFS(df_extratos!I:I,df_extratos!F:F,Conciliacao!BH174,df_extratos!G:G,"CREDITO")</f>
        <v/>
      </c>
      <c r="I174" s="9">
        <f>H174-SUM(B174:G174)</f>
        <v/>
      </c>
      <c r="J174" s="4">
        <f>SUMIFS(df_blueme_sem_parcelamento!E:E,df_blueme_sem_parcelamento!H:H,Conciliacao!A174)*(-1)</f>
        <v/>
      </c>
      <c r="K174" s="4">
        <f>SUMIFS(df_blueme_com_parcelamento!J:J,df_blueme_com_parcelamento!M:M,Conciliacao!A174)*(-1)</f>
        <v/>
      </c>
      <c r="L174" s="4">
        <f>SUMIFS(df_mutuos!N:N,df_mutuos!B:B,Conciliacao!A174)*(-1)</f>
        <v/>
      </c>
      <c r="M174" s="8">
        <f>SUMIFS(df_bloqueios_judiciais!G:G,df_bloqueios_judiciais!D:D,Conciliacao!A174,df_bloqueios_judiciais!G:G,"&lt;0")</f>
        <v/>
      </c>
      <c r="N174" s="10">
        <f>SUMIFS(df_extratos!I:I,df_extratos!F:F,Conciliacao!BE174,df_extratos!G:G,"DEBITO")+SUMIFS(df_extratos!I:I,df_extratos!F:F,Conciliacao!A174,df_extratos!G:G,"DEBITO")+SUMIFS(df_extratos!I:I,df_extratos!F:F,Conciliacao!BF174,df_extratos!G:G,"DEBITO")+SUMIFS(df_extratos!I:I,df_extratos!F:F,Conciliacao!BG174,df_extratos!G:G,"DEBITO")+SUMIFS(df_extratos!I:I,df_extratos!F:F,Conciliacao!BH174,df_extratos!G:G,"DEBITO")</f>
        <v/>
      </c>
      <c r="O174" s="11">
        <f>N174-SUM(J174:M174)</f>
        <v/>
      </c>
      <c r="P174" s="25">
        <f>SUMIFS(df_ajustes_conciliaco!D:D,df_ajustes_conciliaco!C:C,Conciliacao!A174)</f>
        <v/>
      </c>
      <c r="Q174" s="22">
        <f>O174+I174-P174</f>
        <v/>
      </c>
      <c r="BE174" s="20" t="n">
        <v>45830.5</v>
      </c>
      <c r="BF174" s="20" t="n">
        <v>45830.125</v>
      </c>
      <c r="BG174" s="20" t="n">
        <v>45830.54166666666</v>
      </c>
      <c r="BH174" s="20" t="n">
        <v>45830.625</v>
      </c>
    </row>
    <row r="175">
      <c r="A175" s="5">
        <f>A174+1</f>
        <v/>
      </c>
      <c r="B175" s="3">
        <f>-SUMIFS(df_extrato_zig!G:G,df_extrato_zig!E:E,Conciliacao!A175,df_extrato_zig!D:D,"Saque")-SUMIFS(df_extrato_zig!G:G,df_extrato_zig!E:E,Conciliacao!A175,df_extrato_zig!D:D,"Antecipação")</f>
        <v/>
      </c>
      <c r="C175" s="3">
        <f>SUMIFS(df_extrato_zig!E:E,df_extrato_zig!L:L,Conciliacao!A175,df_extrato_zig!F:F,"DINHEIRO")</f>
        <v/>
      </c>
      <c r="D175" s="3">
        <f>SUMIFS(view_parc_agrup!H:H,view_parc_agrup!G:G,Conciliacao!A175)</f>
        <v/>
      </c>
      <c r="E175" s="3">
        <f>SUMIFS(df_eventos!F:F,df_eventos!H:H,Conciliacao!A175)</f>
        <v/>
      </c>
      <c r="F175" s="3">
        <f>SUMIFS(df_mutuos!M:M,df_mutuos!B:B,Conciliacao!A175)</f>
        <v/>
      </c>
      <c r="G175" s="6">
        <f>SUMIFS(df_bloqueios_judiciais!G:G,df_bloqueios_judiciais!D:D,Conciliacao!A175,df_bloqueios_judiciais!G:G,"&gt;0")</f>
        <v/>
      </c>
      <c r="H175" s="7">
        <f>SUMIFS(df_extratos!I:I,df_extratos!F:F,Conciliacao!BE175,df_extratos!G:G,"CREDITO")+SUMIFS(df_extratos!I:I,df_extratos!F:F,Conciliacao!A175,df_extratos!G:G,"CREDITO")+SUMIFS(df_extratos!I:I,df_extratos!F:F,Conciliacao!BF175,df_extratos!G:G,"CREDITO")+SUMIFS(df_extratos!I:I,df_extratos!F:F,Conciliacao!BG175,df_extratos!G:G,"CREDITO")+SUMIFS(df_extratos!I:I,df_extratos!F:F,Conciliacao!BH175,df_extratos!G:G,"CREDITO")</f>
        <v/>
      </c>
      <c r="I175" s="9">
        <f>H175-SUM(B175:G175)</f>
        <v/>
      </c>
      <c r="J175" s="4">
        <f>SUMIFS(df_blueme_sem_parcelamento!E:E,df_blueme_sem_parcelamento!H:H,Conciliacao!A175)*(-1)</f>
        <v/>
      </c>
      <c r="K175" s="4">
        <f>SUMIFS(df_blueme_com_parcelamento!J:J,df_blueme_com_parcelamento!M:M,Conciliacao!A175)*(-1)</f>
        <v/>
      </c>
      <c r="L175" s="4">
        <f>SUMIFS(df_mutuos!N:N,df_mutuos!B:B,Conciliacao!A175)*(-1)</f>
        <v/>
      </c>
      <c r="M175" s="8">
        <f>SUMIFS(df_bloqueios_judiciais!G:G,df_bloqueios_judiciais!D:D,Conciliacao!A175,df_bloqueios_judiciais!G:G,"&lt;0")</f>
        <v/>
      </c>
      <c r="N175" s="10">
        <f>SUMIFS(df_extratos!I:I,df_extratos!F:F,Conciliacao!BE175,df_extratos!G:G,"DEBITO")+SUMIFS(df_extratos!I:I,df_extratos!F:F,Conciliacao!A175,df_extratos!G:G,"DEBITO")+SUMIFS(df_extratos!I:I,df_extratos!F:F,Conciliacao!BF175,df_extratos!G:G,"DEBITO")+SUMIFS(df_extratos!I:I,df_extratos!F:F,Conciliacao!BG175,df_extratos!G:G,"DEBITO")+SUMIFS(df_extratos!I:I,df_extratos!F:F,Conciliacao!BH175,df_extratos!G:G,"DEBITO")</f>
        <v/>
      </c>
      <c r="O175" s="11">
        <f>N175-SUM(J175:M175)</f>
        <v/>
      </c>
      <c r="P175" s="25">
        <f>SUMIFS(df_ajustes_conciliaco!D:D,df_ajustes_conciliaco!C:C,Conciliacao!A175)</f>
        <v/>
      </c>
      <c r="Q175" s="22">
        <f>O175+I175-P175</f>
        <v/>
      </c>
      <c r="BE175" s="20" t="n">
        <v>45831.5</v>
      </c>
      <c r="BF175" s="20" t="n">
        <v>45831.125</v>
      </c>
      <c r="BG175" s="20" t="n">
        <v>45831.54166666666</v>
      </c>
      <c r="BH175" s="20" t="n">
        <v>45831.625</v>
      </c>
    </row>
    <row r="176">
      <c r="A176" s="5">
        <f>A175+1</f>
        <v/>
      </c>
      <c r="B176" s="3">
        <f>-SUMIFS(df_extrato_zig!G:G,df_extrato_zig!E:E,Conciliacao!A176,df_extrato_zig!D:D,"Saque")-SUMIFS(df_extrato_zig!G:G,df_extrato_zig!E:E,Conciliacao!A176,df_extrato_zig!D:D,"Antecipação")</f>
        <v/>
      </c>
      <c r="C176" s="3">
        <f>SUMIFS(df_extrato_zig!E:E,df_extrato_zig!L:L,Conciliacao!A176,df_extrato_zig!F:F,"DINHEIRO")</f>
        <v/>
      </c>
      <c r="D176" s="3">
        <f>SUMIFS(view_parc_agrup!H:H,view_parc_agrup!G:G,Conciliacao!A176)</f>
        <v/>
      </c>
      <c r="E176" s="3">
        <f>SUMIFS(df_eventos!F:F,df_eventos!H:H,Conciliacao!A176)</f>
        <v/>
      </c>
      <c r="F176" s="3">
        <f>SUMIFS(df_mutuos!M:M,df_mutuos!B:B,Conciliacao!A176)</f>
        <v/>
      </c>
      <c r="G176" s="6">
        <f>SUMIFS(df_bloqueios_judiciais!G:G,df_bloqueios_judiciais!D:D,Conciliacao!A176,df_bloqueios_judiciais!G:G,"&gt;0")</f>
        <v/>
      </c>
      <c r="H176" s="7">
        <f>SUMIFS(df_extratos!I:I,df_extratos!F:F,Conciliacao!BE176,df_extratos!G:G,"CREDITO")+SUMIFS(df_extratos!I:I,df_extratos!F:F,Conciliacao!A176,df_extratos!G:G,"CREDITO")+SUMIFS(df_extratos!I:I,df_extratos!F:F,Conciliacao!BF176,df_extratos!G:G,"CREDITO")+SUMIFS(df_extratos!I:I,df_extratos!F:F,Conciliacao!BG176,df_extratos!G:G,"CREDITO")+SUMIFS(df_extratos!I:I,df_extratos!F:F,Conciliacao!BH176,df_extratos!G:G,"CREDITO")</f>
        <v/>
      </c>
      <c r="I176" s="9">
        <f>H176-SUM(B176:G176)</f>
        <v/>
      </c>
      <c r="J176" s="4">
        <f>SUMIFS(df_blueme_sem_parcelamento!E:E,df_blueme_sem_parcelamento!H:H,Conciliacao!A176)*(-1)</f>
        <v/>
      </c>
      <c r="K176" s="4">
        <f>SUMIFS(df_blueme_com_parcelamento!J:J,df_blueme_com_parcelamento!M:M,Conciliacao!A176)*(-1)</f>
        <v/>
      </c>
      <c r="L176" s="4">
        <f>SUMIFS(df_mutuos!N:N,df_mutuos!B:B,Conciliacao!A176)*(-1)</f>
        <v/>
      </c>
      <c r="M176" s="8">
        <f>SUMIFS(df_bloqueios_judiciais!G:G,df_bloqueios_judiciais!D:D,Conciliacao!A176,df_bloqueios_judiciais!G:G,"&lt;0")</f>
        <v/>
      </c>
      <c r="N176" s="10">
        <f>SUMIFS(df_extratos!I:I,df_extratos!F:F,Conciliacao!BE176,df_extratos!G:G,"DEBITO")+SUMIFS(df_extratos!I:I,df_extratos!F:F,Conciliacao!A176,df_extratos!G:G,"DEBITO")+SUMIFS(df_extratos!I:I,df_extratos!F:F,Conciliacao!BF176,df_extratos!G:G,"DEBITO")+SUMIFS(df_extratos!I:I,df_extratos!F:F,Conciliacao!BG176,df_extratos!G:G,"DEBITO")+SUMIFS(df_extratos!I:I,df_extratos!F:F,Conciliacao!BH176,df_extratos!G:G,"DEBITO")</f>
        <v/>
      </c>
      <c r="O176" s="11">
        <f>N176-SUM(J176:M176)</f>
        <v/>
      </c>
      <c r="P176" s="25">
        <f>SUMIFS(df_ajustes_conciliaco!D:D,df_ajustes_conciliaco!C:C,Conciliacao!A176)</f>
        <v/>
      </c>
      <c r="Q176" s="22">
        <f>O176+I176-P176</f>
        <v/>
      </c>
      <c r="BE176" s="20" t="n">
        <v>45832.5</v>
      </c>
      <c r="BF176" s="20" t="n">
        <v>45832.125</v>
      </c>
      <c r="BG176" s="20" t="n">
        <v>45832.54166666666</v>
      </c>
      <c r="BH176" s="20" t="n">
        <v>45832.625</v>
      </c>
    </row>
    <row r="177">
      <c r="A177" s="5">
        <f>A176+1</f>
        <v/>
      </c>
      <c r="B177" s="3">
        <f>-SUMIFS(df_extrato_zig!G:G,df_extrato_zig!E:E,Conciliacao!A177,df_extrato_zig!D:D,"Saque")-SUMIFS(df_extrato_zig!G:G,df_extrato_zig!E:E,Conciliacao!A177,df_extrato_zig!D:D,"Antecipação")</f>
        <v/>
      </c>
      <c r="C177" s="3">
        <f>SUMIFS(df_extrato_zig!E:E,df_extrato_zig!L:L,Conciliacao!A177,df_extrato_zig!F:F,"DINHEIRO")</f>
        <v/>
      </c>
      <c r="D177" s="3">
        <f>SUMIFS(view_parc_agrup!H:H,view_parc_agrup!G:G,Conciliacao!A177)</f>
        <v/>
      </c>
      <c r="E177" s="3">
        <f>SUMIFS(df_eventos!F:F,df_eventos!H:H,Conciliacao!A177)</f>
        <v/>
      </c>
      <c r="F177" s="3">
        <f>SUMIFS(df_mutuos!M:M,df_mutuos!B:B,Conciliacao!A177)</f>
        <v/>
      </c>
      <c r="G177" s="6">
        <f>SUMIFS(df_bloqueios_judiciais!G:G,df_bloqueios_judiciais!D:D,Conciliacao!A177,df_bloqueios_judiciais!G:G,"&gt;0")</f>
        <v/>
      </c>
      <c r="H177" s="7">
        <f>SUMIFS(df_extratos!I:I,df_extratos!F:F,Conciliacao!BE177,df_extratos!G:G,"CREDITO")+SUMIFS(df_extratos!I:I,df_extratos!F:F,Conciliacao!A177,df_extratos!G:G,"CREDITO")+SUMIFS(df_extratos!I:I,df_extratos!F:F,Conciliacao!BF177,df_extratos!G:G,"CREDITO")+SUMIFS(df_extratos!I:I,df_extratos!F:F,Conciliacao!BG177,df_extratos!G:G,"CREDITO")+SUMIFS(df_extratos!I:I,df_extratos!F:F,Conciliacao!BH177,df_extratos!G:G,"CREDITO")</f>
        <v/>
      </c>
      <c r="I177" s="9">
        <f>H177-SUM(B177:G177)</f>
        <v/>
      </c>
      <c r="J177" s="4">
        <f>SUMIFS(df_blueme_sem_parcelamento!E:E,df_blueme_sem_parcelamento!H:H,Conciliacao!A177)*(-1)</f>
        <v/>
      </c>
      <c r="K177" s="4">
        <f>SUMIFS(df_blueme_com_parcelamento!J:J,df_blueme_com_parcelamento!M:M,Conciliacao!A177)*(-1)</f>
        <v/>
      </c>
      <c r="L177" s="4">
        <f>SUMIFS(df_mutuos!N:N,df_mutuos!B:B,Conciliacao!A177)*(-1)</f>
        <v/>
      </c>
      <c r="M177" s="8">
        <f>SUMIFS(df_bloqueios_judiciais!G:G,df_bloqueios_judiciais!D:D,Conciliacao!A177,df_bloqueios_judiciais!G:G,"&lt;0")</f>
        <v/>
      </c>
      <c r="N177" s="10">
        <f>SUMIFS(df_extratos!I:I,df_extratos!F:F,Conciliacao!BE177,df_extratos!G:G,"DEBITO")+SUMIFS(df_extratos!I:I,df_extratos!F:F,Conciliacao!A177,df_extratos!G:G,"DEBITO")+SUMIFS(df_extratos!I:I,df_extratos!F:F,Conciliacao!BF177,df_extratos!G:G,"DEBITO")+SUMIFS(df_extratos!I:I,df_extratos!F:F,Conciliacao!BG177,df_extratos!G:G,"DEBITO")+SUMIFS(df_extratos!I:I,df_extratos!F:F,Conciliacao!BH177,df_extratos!G:G,"DEBITO")</f>
        <v/>
      </c>
      <c r="O177" s="11">
        <f>N177-SUM(J177:M177)</f>
        <v/>
      </c>
      <c r="P177" s="25">
        <f>SUMIFS(df_ajustes_conciliaco!D:D,df_ajustes_conciliaco!C:C,Conciliacao!A177)</f>
        <v/>
      </c>
      <c r="Q177" s="22">
        <f>O177+I177-P177</f>
        <v/>
      </c>
      <c r="BE177" s="20" t="n">
        <v>45833.5</v>
      </c>
      <c r="BF177" s="20" t="n">
        <v>45833.125</v>
      </c>
      <c r="BG177" s="20" t="n">
        <v>45833.54166666666</v>
      </c>
      <c r="BH177" s="20" t="n">
        <v>45833.625</v>
      </c>
    </row>
    <row r="178">
      <c r="A178" s="5">
        <f>A177+1</f>
        <v/>
      </c>
      <c r="B178" s="3">
        <f>-SUMIFS(df_extrato_zig!G:G,df_extrato_zig!E:E,Conciliacao!A178,df_extrato_zig!D:D,"Saque")-SUMIFS(df_extrato_zig!G:G,df_extrato_zig!E:E,Conciliacao!A178,df_extrato_zig!D:D,"Antecipação")</f>
        <v/>
      </c>
      <c r="C178" s="3">
        <f>SUMIFS(df_extrato_zig!E:E,df_extrato_zig!L:L,Conciliacao!A178,df_extrato_zig!F:F,"DINHEIRO")</f>
        <v/>
      </c>
      <c r="D178" s="3">
        <f>SUMIFS(view_parc_agrup!H:H,view_parc_agrup!G:G,Conciliacao!A178)</f>
        <v/>
      </c>
      <c r="E178" s="3">
        <f>SUMIFS(df_eventos!F:F,df_eventos!H:H,Conciliacao!A178)</f>
        <v/>
      </c>
      <c r="F178" s="3">
        <f>SUMIFS(df_mutuos!M:M,df_mutuos!B:B,Conciliacao!A178)</f>
        <v/>
      </c>
      <c r="G178" s="6">
        <f>SUMIFS(df_bloqueios_judiciais!G:G,df_bloqueios_judiciais!D:D,Conciliacao!A178,df_bloqueios_judiciais!G:G,"&gt;0")</f>
        <v/>
      </c>
      <c r="H178" s="7">
        <f>SUMIFS(df_extratos!I:I,df_extratos!F:F,Conciliacao!BE178,df_extratos!G:G,"CREDITO")+SUMIFS(df_extratos!I:I,df_extratos!F:F,Conciliacao!A178,df_extratos!G:G,"CREDITO")+SUMIFS(df_extratos!I:I,df_extratos!F:F,Conciliacao!BF178,df_extratos!G:G,"CREDITO")+SUMIFS(df_extratos!I:I,df_extratos!F:F,Conciliacao!BG178,df_extratos!G:G,"CREDITO")+SUMIFS(df_extratos!I:I,df_extratos!F:F,Conciliacao!BH178,df_extratos!G:G,"CREDITO")</f>
        <v/>
      </c>
      <c r="I178" s="9">
        <f>H178-SUM(B178:G178)</f>
        <v/>
      </c>
      <c r="J178" s="4">
        <f>SUMIFS(df_blueme_sem_parcelamento!E:E,df_blueme_sem_parcelamento!H:H,Conciliacao!A178)*(-1)</f>
        <v/>
      </c>
      <c r="K178" s="4">
        <f>SUMIFS(df_blueme_com_parcelamento!J:J,df_blueme_com_parcelamento!M:M,Conciliacao!A178)*(-1)</f>
        <v/>
      </c>
      <c r="L178" s="4">
        <f>SUMIFS(df_mutuos!N:N,df_mutuos!B:B,Conciliacao!A178)*(-1)</f>
        <v/>
      </c>
      <c r="M178" s="8">
        <f>SUMIFS(df_bloqueios_judiciais!G:G,df_bloqueios_judiciais!D:D,Conciliacao!A178,df_bloqueios_judiciais!G:G,"&lt;0")</f>
        <v/>
      </c>
      <c r="N178" s="10">
        <f>SUMIFS(df_extratos!I:I,df_extratos!F:F,Conciliacao!BE178,df_extratos!G:G,"DEBITO")+SUMIFS(df_extratos!I:I,df_extratos!F:F,Conciliacao!A178,df_extratos!G:G,"DEBITO")+SUMIFS(df_extratos!I:I,df_extratos!F:F,Conciliacao!BF178,df_extratos!G:G,"DEBITO")+SUMIFS(df_extratos!I:I,df_extratos!F:F,Conciliacao!BG178,df_extratos!G:G,"DEBITO")+SUMIFS(df_extratos!I:I,df_extratos!F:F,Conciliacao!BH178,df_extratos!G:G,"DEBITO")</f>
        <v/>
      </c>
      <c r="O178" s="11">
        <f>N178-SUM(J178:M178)</f>
        <v/>
      </c>
      <c r="P178" s="25">
        <f>SUMIFS(df_ajustes_conciliaco!D:D,df_ajustes_conciliaco!C:C,Conciliacao!A178)</f>
        <v/>
      </c>
      <c r="Q178" s="22">
        <f>O178+I178-P178</f>
        <v/>
      </c>
      <c r="BE178" s="20" t="n">
        <v>45834.5</v>
      </c>
      <c r="BF178" s="20" t="n">
        <v>45834.125</v>
      </c>
      <c r="BG178" s="20" t="n">
        <v>45834.54166666666</v>
      </c>
      <c r="BH178" s="20" t="n">
        <v>45834.625</v>
      </c>
    </row>
    <row r="179">
      <c r="A179" s="5">
        <f>A178+1</f>
        <v/>
      </c>
      <c r="B179" s="3">
        <f>-SUMIFS(df_extrato_zig!G:G,df_extrato_zig!E:E,Conciliacao!A179,df_extrato_zig!D:D,"Saque")-SUMIFS(df_extrato_zig!G:G,df_extrato_zig!E:E,Conciliacao!A179,df_extrato_zig!D:D,"Antecipação")</f>
        <v/>
      </c>
      <c r="C179" s="3">
        <f>SUMIFS(df_extrato_zig!E:E,df_extrato_zig!L:L,Conciliacao!A179,df_extrato_zig!F:F,"DINHEIRO")</f>
        <v/>
      </c>
      <c r="D179" s="3">
        <f>SUMIFS(view_parc_agrup!H:H,view_parc_agrup!G:G,Conciliacao!A179)</f>
        <v/>
      </c>
      <c r="E179" s="3">
        <f>SUMIFS(df_eventos!F:F,df_eventos!H:H,Conciliacao!A179)</f>
        <v/>
      </c>
      <c r="F179" s="3">
        <f>SUMIFS(df_mutuos!M:M,df_mutuos!B:B,Conciliacao!A179)</f>
        <v/>
      </c>
      <c r="G179" s="6">
        <f>SUMIFS(df_bloqueios_judiciais!G:G,df_bloqueios_judiciais!D:D,Conciliacao!A179,df_bloqueios_judiciais!G:G,"&gt;0")</f>
        <v/>
      </c>
      <c r="H179" s="7">
        <f>SUMIFS(df_extratos!I:I,df_extratos!F:F,Conciliacao!BE179,df_extratos!G:G,"CREDITO")+SUMIFS(df_extratos!I:I,df_extratos!F:F,Conciliacao!A179,df_extratos!G:G,"CREDITO")+SUMIFS(df_extratos!I:I,df_extratos!F:F,Conciliacao!BF179,df_extratos!G:G,"CREDITO")+SUMIFS(df_extratos!I:I,df_extratos!F:F,Conciliacao!BG179,df_extratos!G:G,"CREDITO")+SUMIFS(df_extratos!I:I,df_extratos!F:F,Conciliacao!BH179,df_extratos!G:G,"CREDITO")</f>
        <v/>
      </c>
      <c r="I179" s="9">
        <f>H179-SUM(B179:G179)</f>
        <v/>
      </c>
      <c r="J179" s="4">
        <f>SUMIFS(df_blueme_sem_parcelamento!E:E,df_blueme_sem_parcelamento!H:H,Conciliacao!A179)*(-1)</f>
        <v/>
      </c>
      <c r="K179" s="4">
        <f>SUMIFS(df_blueme_com_parcelamento!J:J,df_blueme_com_parcelamento!M:M,Conciliacao!A179)*(-1)</f>
        <v/>
      </c>
      <c r="L179" s="4">
        <f>SUMIFS(df_mutuos!N:N,df_mutuos!B:B,Conciliacao!A179)*(-1)</f>
        <v/>
      </c>
      <c r="M179" s="8">
        <f>SUMIFS(df_bloqueios_judiciais!G:G,df_bloqueios_judiciais!D:D,Conciliacao!A179,df_bloqueios_judiciais!G:G,"&lt;0")</f>
        <v/>
      </c>
      <c r="N179" s="10">
        <f>SUMIFS(df_extratos!I:I,df_extratos!F:F,Conciliacao!BE179,df_extratos!G:G,"DEBITO")+SUMIFS(df_extratos!I:I,df_extratos!F:F,Conciliacao!A179,df_extratos!G:G,"DEBITO")+SUMIFS(df_extratos!I:I,df_extratos!F:F,Conciliacao!BF179,df_extratos!G:G,"DEBITO")+SUMIFS(df_extratos!I:I,df_extratos!F:F,Conciliacao!BG179,df_extratos!G:G,"DEBITO")+SUMIFS(df_extratos!I:I,df_extratos!F:F,Conciliacao!BH179,df_extratos!G:G,"DEBITO")</f>
        <v/>
      </c>
      <c r="O179" s="11">
        <f>N179-SUM(J179:M179)</f>
        <v/>
      </c>
      <c r="P179" s="25">
        <f>SUMIFS(df_ajustes_conciliaco!D:D,df_ajustes_conciliaco!C:C,Conciliacao!A179)</f>
        <v/>
      </c>
      <c r="Q179" s="22">
        <f>O179+I179-P179</f>
        <v/>
      </c>
      <c r="BE179" s="20" t="n">
        <v>45835.5</v>
      </c>
      <c r="BF179" s="20" t="n">
        <v>45835.125</v>
      </c>
      <c r="BG179" s="20" t="n">
        <v>45835.54166666666</v>
      </c>
      <c r="BH179" s="20" t="n">
        <v>45835.625</v>
      </c>
    </row>
    <row r="180">
      <c r="A180" s="5">
        <f>A179+1</f>
        <v/>
      </c>
      <c r="B180" s="3">
        <f>-SUMIFS(df_extrato_zig!G:G,df_extrato_zig!E:E,Conciliacao!A180,df_extrato_zig!D:D,"Saque")-SUMIFS(df_extrato_zig!G:G,df_extrato_zig!E:E,Conciliacao!A180,df_extrato_zig!D:D,"Antecipação")</f>
        <v/>
      </c>
      <c r="C180" s="3">
        <f>SUMIFS(df_extrato_zig!E:E,df_extrato_zig!L:L,Conciliacao!A180,df_extrato_zig!F:F,"DINHEIRO")</f>
        <v/>
      </c>
      <c r="D180" s="3">
        <f>SUMIFS(view_parc_agrup!H:H,view_parc_agrup!G:G,Conciliacao!A180)</f>
        <v/>
      </c>
      <c r="E180" s="3">
        <f>SUMIFS(df_eventos!F:F,df_eventos!H:H,Conciliacao!A180)</f>
        <v/>
      </c>
      <c r="F180" s="3">
        <f>SUMIFS(df_mutuos!M:M,df_mutuos!B:B,Conciliacao!A180)</f>
        <v/>
      </c>
      <c r="G180" s="6">
        <f>SUMIFS(df_bloqueios_judiciais!G:G,df_bloqueios_judiciais!D:D,Conciliacao!A180,df_bloqueios_judiciais!G:G,"&gt;0")</f>
        <v/>
      </c>
      <c r="H180" s="7">
        <f>SUMIFS(df_extratos!I:I,df_extratos!F:F,Conciliacao!BE180,df_extratos!G:G,"CREDITO")+SUMIFS(df_extratos!I:I,df_extratos!F:F,Conciliacao!A180,df_extratos!G:G,"CREDITO")+SUMIFS(df_extratos!I:I,df_extratos!F:F,Conciliacao!BF180,df_extratos!G:G,"CREDITO")+SUMIFS(df_extratos!I:I,df_extratos!F:F,Conciliacao!BG180,df_extratos!G:G,"CREDITO")+SUMIFS(df_extratos!I:I,df_extratos!F:F,Conciliacao!BH180,df_extratos!G:G,"CREDITO")</f>
        <v/>
      </c>
      <c r="I180" s="9">
        <f>H180-SUM(B180:G180)</f>
        <v/>
      </c>
      <c r="J180" s="4">
        <f>SUMIFS(df_blueme_sem_parcelamento!E:E,df_blueme_sem_parcelamento!H:H,Conciliacao!A180)*(-1)</f>
        <v/>
      </c>
      <c r="K180" s="4">
        <f>SUMIFS(df_blueme_com_parcelamento!J:J,df_blueme_com_parcelamento!M:M,Conciliacao!A180)*(-1)</f>
        <v/>
      </c>
      <c r="L180" s="4">
        <f>SUMIFS(df_mutuos!N:N,df_mutuos!B:B,Conciliacao!A180)*(-1)</f>
        <v/>
      </c>
      <c r="M180" s="8">
        <f>SUMIFS(df_bloqueios_judiciais!G:G,df_bloqueios_judiciais!D:D,Conciliacao!A180,df_bloqueios_judiciais!G:G,"&lt;0")</f>
        <v/>
      </c>
      <c r="N180" s="10">
        <f>SUMIFS(df_extratos!I:I,df_extratos!F:F,Conciliacao!BE180,df_extratos!G:G,"DEBITO")+SUMIFS(df_extratos!I:I,df_extratos!F:F,Conciliacao!A180,df_extratos!G:G,"DEBITO")+SUMIFS(df_extratos!I:I,df_extratos!F:F,Conciliacao!BF180,df_extratos!G:G,"DEBITO")+SUMIFS(df_extratos!I:I,df_extratos!F:F,Conciliacao!BG180,df_extratos!G:G,"DEBITO")+SUMIFS(df_extratos!I:I,df_extratos!F:F,Conciliacao!BH180,df_extratos!G:G,"DEBITO")</f>
        <v/>
      </c>
      <c r="O180" s="11">
        <f>N180-SUM(J180:M180)</f>
        <v/>
      </c>
      <c r="P180" s="25">
        <f>SUMIFS(df_ajustes_conciliaco!D:D,df_ajustes_conciliaco!C:C,Conciliacao!A180)</f>
        <v/>
      </c>
      <c r="Q180" s="22">
        <f>O180+I180-P180</f>
        <v/>
      </c>
      <c r="BE180" s="20" t="n">
        <v>45836.5</v>
      </c>
      <c r="BF180" s="20" t="n">
        <v>45836.125</v>
      </c>
      <c r="BG180" s="20" t="n">
        <v>45836.54166666666</v>
      </c>
      <c r="BH180" s="20" t="n">
        <v>45836.625</v>
      </c>
    </row>
    <row r="181">
      <c r="A181" s="5">
        <f>A180+1</f>
        <v/>
      </c>
      <c r="B181" s="3">
        <f>-SUMIFS(df_extrato_zig!G:G,df_extrato_zig!E:E,Conciliacao!A181,df_extrato_zig!D:D,"Saque")-SUMIFS(df_extrato_zig!G:G,df_extrato_zig!E:E,Conciliacao!A181,df_extrato_zig!D:D,"Antecipação")</f>
        <v/>
      </c>
      <c r="C181" s="3">
        <f>SUMIFS(df_extrato_zig!E:E,df_extrato_zig!L:L,Conciliacao!A181,df_extrato_zig!F:F,"DINHEIRO")</f>
        <v/>
      </c>
      <c r="D181" s="3">
        <f>SUMIFS(view_parc_agrup!H:H,view_parc_agrup!G:G,Conciliacao!A181)</f>
        <v/>
      </c>
      <c r="E181" s="3">
        <f>SUMIFS(df_eventos!F:F,df_eventos!H:H,Conciliacao!A181)</f>
        <v/>
      </c>
      <c r="F181" s="3">
        <f>SUMIFS(df_mutuos!M:M,df_mutuos!B:B,Conciliacao!A181)</f>
        <v/>
      </c>
      <c r="G181" s="6">
        <f>SUMIFS(df_bloqueios_judiciais!G:G,df_bloqueios_judiciais!D:D,Conciliacao!A181,df_bloqueios_judiciais!G:G,"&gt;0")</f>
        <v/>
      </c>
      <c r="H181" s="7">
        <f>SUMIFS(df_extratos!I:I,df_extratos!F:F,Conciliacao!BE181,df_extratos!G:G,"CREDITO")+SUMIFS(df_extratos!I:I,df_extratos!F:F,Conciliacao!A181,df_extratos!G:G,"CREDITO")+SUMIFS(df_extratos!I:I,df_extratos!F:F,Conciliacao!BF181,df_extratos!G:G,"CREDITO")+SUMIFS(df_extratos!I:I,df_extratos!F:F,Conciliacao!BG181,df_extratos!G:G,"CREDITO")+SUMIFS(df_extratos!I:I,df_extratos!F:F,Conciliacao!BH181,df_extratos!G:G,"CREDITO")</f>
        <v/>
      </c>
      <c r="I181" s="9">
        <f>H181-SUM(B181:G181)</f>
        <v/>
      </c>
      <c r="J181" s="4">
        <f>SUMIFS(df_blueme_sem_parcelamento!E:E,df_blueme_sem_parcelamento!H:H,Conciliacao!A181)*(-1)</f>
        <v/>
      </c>
      <c r="K181" s="4">
        <f>SUMIFS(df_blueme_com_parcelamento!J:J,df_blueme_com_parcelamento!M:M,Conciliacao!A181)*(-1)</f>
        <v/>
      </c>
      <c r="L181" s="4">
        <f>SUMIFS(df_mutuos!N:N,df_mutuos!B:B,Conciliacao!A181)*(-1)</f>
        <v/>
      </c>
      <c r="M181" s="8">
        <f>SUMIFS(df_bloqueios_judiciais!G:G,df_bloqueios_judiciais!D:D,Conciliacao!A181,df_bloqueios_judiciais!G:G,"&lt;0")</f>
        <v/>
      </c>
      <c r="N181" s="10">
        <f>SUMIFS(df_extratos!I:I,df_extratos!F:F,Conciliacao!BE181,df_extratos!G:G,"DEBITO")+SUMIFS(df_extratos!I:I,df_extratos!F:F,Conciliacao!A181,df_extratos!G:G,"DEBITO")+SUMIFS(df_extratos!I:I,df_extratos!F:F,Conciliacao!BF181,df_extratos!G:G,"DEBITO")+SUMIFS(df_extratos!I:I,df_extratos!F:F,Conciliacao!BG181,df_extratos!G:G,"DEBITO")+SUMIFS(df_extratos!I:I,df_extratos!F:F,Conciliacao!BH181,df_extratos!G:G,"DEBITO")</f>
        <v/>
      </c>
      <c r="O181" s="11">
        <f>N181-SUM(J181:M181)</f>
        <v/>
      </c>
      <c r="P181" s="25">
        <f>SUMIFS(df_ajustes_conciliaco!D:D,df_ajustes_conciliaco!C:C,Conciliacao!A181)</f>
        <v/>
      </c>
      <c r="Q181" s="22">
        <f>O181+I181-P181</f>
        <v/>
      </c>
      <c r="BE181" s="20" t="n">
        <v>45837.5</v>
      </c>
      <c r="BF181" s="20" t="n">
        <v>45837.125</v>
      </c>
      <c r="BG181" s="20" t="n">
        <v>45837.54166666666</v>
      </c>
      <c r="BH181" s="20" t="n">
        <v>45837.625</v>
      </c>
    </row>
    <row r="182">
      <c r="A182" s="5">
        <f>A181+1</f>
        <v/>
      </c>
      <c r="B182" s="3">
        <f>-SUMIFS(df_extrato_zig!G:G,df_extrato_zig!E:E,Conciliacao!A182,df_extrato_zig!D:D,"Saque")-SUMIFS(df_extrato_zig!G:G,df_extrato_zig!E:E,Conciliacao!A182,df_extrato_zig!D:D,"Antecipação")</f>
        <v/>
      </c>
      <c r="C182" s="3">
        <f>SUMIFS(df_extrato_zig!E:E,df_extrato_zig!L:L,Conciliacao!A182,df_extrato_zig!F:F,"DINHEIRO")</f>
        <v/>
      </c>
      <c r="D182" s="3">
        <f>SUMIFS(view_parc_agrup!H:H,view_parc_agrup!G:G,Conciliacao!A182)</f>
        <v/>
      </c>
      <c r="E182" s="3">
        <f>SUMIFS(df_eventos!F:F,df_eventos!H:H,Conciliacao!A182)</f>
        <v/>
      </c>
      <c r="F182" s="3">
        <f>SUMIFS(df_mutuos!M:M,df_mutuos!B:B,Conciliacao!A182)</f>
        <v/>
      </c>
      <c r="G182" s="6">
        <f>SUMIFS(df_bloqueios_judiciais!G:G,df_bloqueios_judiciais!D:D,Conciliacao!A182,df_bloqueios_judiciais!G:G,"&gt;0")</f>
        <v/>
      </c>
      <c r="H182" s="7">
        <f>SUMIFS(df_extratos!I:I,df_extratos!F:F,Conciliacao!BE182,df_extratos!G:G,"CREDITO")+SUMIFS(df_extratos!I:I,df_extratos!F:F,Conciliacao!A182,df_extratos!G:G,"CREDITO")+SUMIFS(df_extratos!I:I,df_extratos!F:F,Conciliacao!BF182,df_extratos!G:G,"CREDITO")+SUMIFS(df_extratos!I:I,df_extratos!F:F,Conciliacao!BG182,df_extratos!G:G,"CREDITO")+SUMIFS(df_extratos!I:I,df_extratos!F:F,Conciliacao!BH182,df_extratos!G:G,"CREDITO")</f>
        <v/>
      </c>
      <c r="I182" s="9">
        <f>H182-SUM(B182:G182)</f>
        <v/>
      </c>
      <c r="J182" s="4">
        <f>SUMIFS(df_blueme_sem_parcelamento!E:E,df_blueme_sem_parcelamento!H:H,Conciliacao!A182)*(-1)</f>
        <v/>
      </c>
      <c r="K182" s="4">
        <f>SUMIFS(df_blueme_com_parcelamento!J:J,df_blueme_com_parcelamento!M:M,Conciliacao!A182)*(-1)</f>
        <v/>
      </c>
      <c r="L182" s="4">
        <f>SUMIFS(df_mutuos!N:N,df_mutuos!B:B,Conciliacao!A182)*(-1)</f>
        <v/>
      </c>
      <c r="M182" s="8">
        <f>SUMIFS(df_bloqueios_judiciais!G:G,df_bloqueios_judiciais!D:D,Conciliacao!A182,df_bloqueios_judiciais!G:G,"&lt;0")</f>
        <v/>
      </c>
      <c r="N182" s="10">
        <f>SUMIFS(df_extratos!I:I,df_extratos!F:F,Conciliacao!BE182,df_extratos!G:G,"DEBITO")+SUMIFS(df_extratos!I:I,df_extratos!F:F,Conciliacao!A182,df_extratos!G:G,"DEBITO")+SUMIFS(df_extratos!I:I,df_extratos!F:F,Conciliacao!BF182,df_extratos!G:G,"DEBITO")+SUMIFS(df_extratos!I:I,df_extratos!F:F,Conciliacao!BG182,df_extratos!G:G,"DEBITO")+SUMIFS(df_extratos!I:I,df_extratos!F:F,Conciliacao!BH182,df_extratos!G:G,"DEBITO")</f>
        <v/>
      </c>
      <c r="O182" s="11">
        <f>N182-SUM(J182:M182)</f>
        <v/>
      </c>
      <c r="P182" s="25">
        <f>SUMIFS(df_ajustes_conciliaco!D:D,df_ajustes_conciliaco!C:C,Conciliacao!A182)</f>
        <v/>
      </c>
      <c r="Q182" s="22">
        <f>O182+I182-P182</f>
        <v/>
      </c>
      <c r="BE182" s="20" t="n">
        <v>45838.5</v>
      </c>
      <c r="BF182" s="20" t="n">
        <v>45838.125</v>
      </c>
      <c r="BG182" s="20" t="n">
        <v>45838.54166666666</v>
      </c>
      <c r="BH182" s="20" t="n">
        <v>45838.625</v>
      </c>
    </row>
    <row r="183">
      <c r="A183" s="5">
        <f>A182+1</f>
        <v/>
      </c>
      <c r="B183" s="3">
        <f>-SUMIFS(df_extrato_zig!G:G,df_extrato_zig!E:E,Conciliacao!A183,df_extrato_zig!D:D,"Saque")-SUMIFS(df_extrato_zig!G:G,df_extrato_zig!E:E,Conciliacao!A183,df_extrato_zig!D:D,"Antecipação")</f>
        <v/>
      </c>
      <c r="C183" s="3">
        <f>SUMIFS(df_extrato_zig!E:E,df_extrato_zig!L:L,Conciliacao!A183,df_extrato_zig!F:F,"DINHEIRO")</f>
        <v/>
      </c>
      <c r="D183" s="3">
        <f>SUMIFS(view_parc_agrup!H:H,view_parc_agrup!G:G,Conciliacao!A183)</f>
        <v/>
      </c>
      <c r="E183" s="3">
        <f>SUMIFS(df_eventos!F:F,df_eventos!H:H,Conciliacao!A183)</f>
        <v/>
      </c>
      <c r="F183" s="3">
        <f>SUMIFS(df_mutuos!M:M,df_mutuos!B:B,Conciliacao!A183)</f>
        <v/>
      </c>
      <c r="G183" s="6">
        <f>SUMIFS(df_bloqueios_judiciais!G:G,df_bloqueios_judiciais!D:D,Conciliacao!A183,df_bloqueios_judiciais!G:G,"&gt;0")</f>
        <v/>
      </c>
      <c r="H183" s="7">
        <f>SUMIFS(df_extratos!I:I,df_extratos!F:F,Conciliacao!BE183,df_extratos!G:G,"CREDITO")+SUMIFS(df_extratos!I:I,df_extratos!F:F,Conciliacao!A183,df_extratos!G:G,"CREDITO")+SUMIFS(df_extratos!I:I,df_extratos!F:F,Conciliacao!BF183,df_extratos!G:G,"CREDITO")+SUMIFS(df_extratos!I:I,df_extratos!F:F,Conciliacao!BG183,df_extratos!G:G,"CREDITO")+SUMIFS(df_extratos!I:I,df_extratos!F:F,Conciliacao!BH183,df_extratos!G:G,"CREDITO")</f>
        <v/>
      </c>
      <c r="I183" s="9">
        <f>H183-SUM(B183:G183)</f>
        <v/>
      </c>
      <c r="J183" s="4">
        <f>SUMIFS(df_blueme_sem_parcelamento!E:E,df_blueme_sem_parcelamento!H:H,Conciliacao!A183)*(-1)</f>
        <v/>
      </c>
      <c r="K183" s="4">
        <f>SUMIFS(df_blueme_com_parcelamento!J:J,df_blueme_com_parcelamento!M:M,Conciliacao!A183)*(-1)</f>
        <v/>
      </c>
      <c r="L183" s="4">
        <f>SUMIFS(df_mutuos!N:N,df_mutuos!B:B,Conciliacao!A183)*(-1)</f>
        <v/>
      </c>
      <c r="M183" s="8">
        <f>SUMIFS(df_bloqueios_judiciais!G:G,df_bloqueios_judiciais!D:D,Conciliacao!A183,df_bloqueios_judiciais!G:G,"&lt;0")</f>
        <v/>
      </c>
      <c r="N183" s="10">
        <f>SUMIFS(df_extratos!I:I,df_extratos!F:F,Conciliacao!BE183,df_extratos!G:G,"DEBITO")+SUMIFS(df_extratos!I:I,df_extratos!F:F,Conciliacao!A183,df_extratos!G:G,"DEBITO")+SUMIFS(df_extratos!I:I,df_extratos!F:F,Conciliacao!BF183,df_extratos!G:G,"DEBITO")+SUMIFS(df_extratos!I:I,df_extratos!F:F,Conciliacao!BG183,df_extratos!G:G,"DEBITO")+SUMIFS(df_extratos!I:I,df_extratos!F:F,Conciliacao!BH183,df_extratos!G:G,"DEBITO")</f>
        <v/>
      </c>
      <c r="O183" s="11">
        <f>N183-SUM(J183:M183)</f>
        <v/>
      </c>
      <c r="P183" s="25">
        <f>SUMIFS(df_ajustes_conciliaco!D:D,df_ajustes_conciliaco!C:C,Conciliacao!A183)</f>
        <v/>
      </c>
      <c r="Q183" s="22">
        <f>O183+I183-P183</f>
        <v/>
      </c>
      <c r="BE183" s="20" t="n">
        <v>45839.5</v>
      </c>
      <c r="BF183" s="20" t="n">
        <v>45839.125</v>
      </c>
      <c r="BG183" s="20" t="n">
        <v>45839.54166666666</v>
      </c>
      <c r="BH183" s="20" t="n">
        <v>45839.625</v>
      </c>
    </row>
    <row r="184">
      <c r="A184" s="5">
        <f>A183+1</f>
        <v/>
      </c>
      <c r="B184" s="3">
        <f>-SUMIFS(df_extrato_zig!G:G,df_extrato_zig!E:E,Conciliacao!A184,df_extrato_zig!D:D,"Saque")-SUMIFS(df_extrato_zig!G:G,df_extrato_zig!E:E,Conciliacao!A184,df_extrato_zig!D:D,"Antecipação")</f>
        <v/>
      </c>
      <c r="C184" s="3">
        <f>SUMIFS(df_extrato_zig!E:E,df_extrato_zig!L:L,Conciliacao!A184,df_extrato_zig!F:F,"DINHEIRO")</f>
        <v/>
      </c>
      <c r="D184" s="3">
        <f>SUMIFS(view_parc_agrup!H:H,view_parc_agrup!G:G,Conciliacao!A184)</f>
        <v/>
      </c>
      <c r="E184" s="3">
        <f>SUMIFS(df_eventos!F:F,df_eventos!H:H,Conciliacao!A184)</f>
        <v/>
      </c>
      <c r="F184" s="3">
        <f>SUMIFS(df_mutuos!M:M,df_mutuos!B:B,Conciliacao!A184)</f>
        <v/>
      </c>
      <c r="G184" s="6">
        <f>SUMIFS(df_bloqueios_judiciais!G:G,df_bloqueios_judiciais!D:D,Conciliacao!A184,df_bloqueios_judiciais!G:G,"&gt;0")</f>
        <v/>
      </c>
      <c r="H184" s="7">
        <f>SUMIFS(df_extratos!I:I,df_extratos!F:F,Conciliacao!BE184,df_extratos!G:G,"CREDITO")+SUMIFS(df_extratos!I:I,df_extratos!F:F,Conciliacao!A184,df_extratos!G:G,"CREDITO")+SUMIFS(df_extratos!I:I,df_extratos!F:F,Conciliacao!BF184,df_extratos!G:G,"CREDITO")+SUMIFS(df_extratos!I:I,df_extratos!F:F,Conciliacao!BG184,df_extratos!G:G,"CREDITO")+SUMIFS(df_extratos!I:I,df_extratos!F:F,Conciliacao!BH184,df_extratos!G:G,"CREDITO")</f>
        <v/>
      </c>
      <c r="I184" s="9">
        <f>H184-SUM(B184:G184)</f>
        <v/>
      </c>
      <c r="J184" s="4">
        <f>SUMIFS(df_blueme_sem_parcelamento!E:E,df_blueme_sem_parcelamento!H:H,Conciliacao!A184)*(-1)</f>
        <v/>
      </c>
      <c r="K184" s="4">
        <f>SUMIFS(df_blueme_com_parcelamento!J:J,df_blueme_com_parcelamento!M:M,Conciliacao!A184)*(-1)</f>
        <v/>
      </c>
      <c r="L184" s="4">
        <f>SUMIFS(df_mutuos!N:N,df_mutuos!B:B,Conciliacao!A184)*(-1)</f>
        <v/>
      </c>
      <c r="M184" s="8">
        <f>SUMIFS(df_bloqueios_judiciais!G:G,df_bloqueios_judiciais!D:D,Conciliacao!A184,df_bloqueios_judiciais!G:G,"&lt;0")</f>
        <v/>
      </c>
      <c r="N184" s="10">
        <f>SUMIFS(df_extratos!I:I,df_extratos!F:F,Conciliacao!BE184,df_extratos!G:G,"DEBITO")+SUMIFS(df_extratos!I:I,df_extratos!F:F,Conciliacao!A184,df_extratos!G:G,"DEBITO")+SUMIFS(df_extratos!I:I,df_extratos!F:F,Conciliacao!BF184,df_extratos!G:G,"DEBITO")+SUMIFS(df_extratos!I:I,df_extratos!F:F,Conciliacao!BG184,df_extratos!G:G,"DEBITO")+SUMIFS(df_extratos!I:I,df_extratos!F:F,Conciliacao!BH184,df_extratos!G:G,"DEBITO")</f>
        <v/>
      </c>
      <c r="O184" s="11">
        <f>N184-SUM(J184:M184)</f>
        <v/>
      </c>
      <c r="P184" s="25">
        <f>SUMIFS(df_ajustes_conciliaco!D:D,df_ajustes_conciliaco!C:C,Conciliacao!A184)</f>
        <v/>
      </c>
      <c r="Q184" s="22">
        <f>O184+I184-P184</f>
        <v/>
      </c>
      <c r="BE184" s="20" t="n">
        <v>45840.5</v>
      </c>
      <c r="BF184" s="20" t="n">
        <v>45840.125</v>
      </c>
      <c r="BG184" s="20" t="n">
        <v>45840.54166666666</v>
      </c>
      <c r="BH184" s="20" t="n">
        <v>45840.625</v>
      </c>
    </row>
    <row r="185">
      <c r="A185" s="5">
        <f>A184+1</f>
        <v/>
      </c>
      <c r="B185" s="3">
        <f>-SUMIFS(df_extrato_zig!G:G,df_extrato_zig!E:E,Conciliacao!A185,df_extrato_zig!D:D,"Saque")-SUMIFS(df_extrato_zig!G:G,df_extrato_zig!E:E,Conciliacao!A185,df_extrato_zig!D:D,"Antecipação")</f>
        <v/>
      </c>
      <c r="C185" s="3">
        <f>SUMIFS(df_extrato_zig!E:E,df_extrato_zig!L:L,Conciliacao!A185,df_extrato_zig!F:F,"DINHEIRO")</f>
        <v/>
      </c>
      <c r="D185" s="3">
        <f>SUMIFS(view_parc_agrup!H:H,view_parc_agrup!G:G,Conciliacao!A185)</f>
        <v/>
      </c>
      <c r="E185" s="3">
        <f>SUMIFS(df_eventos!F:F,df_eventos!H:H,Conciliacao!A185)</f>
        <v/>
      </c>
      <c r="F185" s="3">
        <f>SUMIFS(df_mutuos!M:M,df_mutuos!B:B,Conciliacao!A185)</f>
        <v/>
      </c>
      <c r="G185" s="6">
        <f>SUMIFS(df_bloqueios_judiciais!G:G,df_bloqueios_judiciais!D:D,Conciliacao!A185,df_bloqueios_judiciais!G:G,"&gt;0")</f>
        <v/>
      </c>
      <c r="H185" s="7">
        <f>SUMIFS(df_extratos!I:I,df_extratos!F:F,Conciliacao!BE185,df_extratos!G:G,"CREDITO")+SUMIFS(df_extratos!I:I,df_extratos!F:F,Conciliacao!A185,df_extratos!G:G,"CREDITO")+SUMIFS(df_extratos!I:I,df_extratos!F:F,Conciliacao!BF185,df_extratos!G:G,"CREDITO")+SUMIFS(df_extratos!I:I,df_extratos!F:F,Conciliacao!BG185,df_extratos!G:G,"CREDITO")+SUMIFS(df_extratos!I:I,df_extratos!F:F,Conciliacao!BH185,df_extratos!G:G,"CREDITO")</f>
        <v/>
      </c>
      <c r="I185" s="9">
        <f>H185-SUM(B185:G185)</f>
        <v/>
      </c>
      <c r="J185" s="4">
        <f>SUMIFS(df_blueme_sem_parcelamento!E:E,df_blueme_sem_parcelamento!H:H,Conciliacao!A185)*(-1)</f>
        <v/>
      </c>
      <c r="K185" s="4">
        <f>SUMIFS(df_blueme_com_parcelamento!J:J,df_blueme_com_parcelamento!M:M,Conciliacao!A185)*(-1)</f>
        <v/>
      </c>
      <c r="L185" s="4">
        <f>SUMIFS(df_mutuos!N:N,df_mutuos!B:B,Conciliacao!A185)*(-1)</f>
        <v/>
      </c>
      <c r="M185" s="8">
        <f>SUMIFS(df_bloqueios_judiciais!G:G,df_bloqueios_judiciais!D:D,Conciliacao!A185,df_bloqueios_judiciais!G:G,"&lt;0")</f>
        <v/>
      </c>
      <c r="N185" s="10">
        <f>SUMIFS(df_extratos!I:I,df_extratos!F:F,Conciliacao!BE185,df_extratos!G:G,"DEBITO")+SUMIFS(df_extratos!I:I,df_extratos!F:F,Conciliacao!A185,df_extratos!G:G,"DEBITO")+SUMIFS(df_extratos!I:I,df_extratos!F:F,Conciliacao!BF185,df_extratos!G:G,"DEBITO")+SUMIFS(df_extratos!I:I,df_extratos!F:F,Conciliacao!BG185,df_extratos!G:G,"DEBITO")+SUMIFS(df_extratos!I:I,df_extratos!F:F,Conciliacao!BH185,df_extratos!G:G,"DEBITO")</f>
        <v/>
      </c>
      <c r="O185" s="11">
        <f>N185-SUM(J185:M185)</f>
        <v/>
      </c>
      <c r="P185" s="25">
        <f>SUMIFS(df_ajustes_conciliaco!D:D,df_ajustes_conciliaco!C:C,Conciliacao!A185)</f>
        <v/>
      </c>
      <c r="Q185" s="22">
        <f>O185+I185-P185</f>
        <v/>
      </c>
      <c r="BE185" s="20" t="n">
        <v>45841.5</v>
      </c>
      <c r="BF185" s="20" t="n">
        <v>45841.125</v>
      </c>
      <c r="BG185" s="20" t="n">
        <v>45841.54166666666</v>
      </c>
      <c r="BH185" s="20" t="n">
        <v>45841.625</v>
      </c>
    </row>
    <row r="186">
      <c r="A186" s="5">
        <f>A185+1</f>
        <v/>
      </c>
      <c r="B186" s="3">
        <f>-SUMIFS(df_extrato_zig!G:G,df_extrato_zig!E:E,Conciliacao!A186,df_extrato_zig!D:D,"Saque")-SUMIFS(df_extrato_zig!G:G,df_extrato_zig!E:E,Conciliacao!A186,df_extrato_zig!D:D,"Antecipação")</f>
        <v/>
      </c>
      <c r="C186" s="3">
        <f>SUMIFS(df_extrato_zig!E:E,df_extrato_zig!L:L,Conciliacao!A186,df_extrato_zig!F:F,"DINHEIRO")</f>
        <v/>
      </c>
      <c r="D186" s="3">
        <f>SUMIFS(view_parc_agrup!H:H,view_parc_agrup!G:G,Conciliacao!A186)</f>
        <v/>
      </c>
      <c r="E186" s="3">
        <f>SUMIFS(df_eventos!F:F,df_eventos!H:H,Conciliacao!A186)</f>
        <v/>
      </c>
      <c r="F186" s="3">
        <f>SUMIFS(df_mutuos!M:M,df_mutuos!B:B,Conciliacao!A186)</f>
        <v/>
      </c>
      <c r="G186" s="6">
        <f>SUMIFS(df_bloqueios_judiciais!G:G,df_bloqueios_judiciais!D:D,Conciliacao!A186,df_bloqueios_judiciais!G:G,"&gt;0")</f>
        <v/>
      </c>
      <c r="H186" s="7">
        <f>SUMIFS(df_extratos!I:I,df_extratos!F:F,Conciliacao!BE186,df_extratos!G:G,"CREDITO")+SUMIFS(df_extratos!I:I,df_extratos!F:F,Conciliacao!A186,df_extratos!G:G,"CREDITO")+SUMIFS(df_extratos!I:I,df_extratos!F:F,Conciliacao!BF186,df_extratos!G:G,"CREDITO")+SUMIFS(df_extratos!I:I,df_extratos!F:F,Conciliacao!BG186,df_extratos!G:G,"CREDITO")+SUMIFS(df_extratos!I:I,df_extratos!F:F,Conciliacao!BH186,df_extratos!G:G,"CREDITO")</f>
        <v/>
      </c>
      <c r="I186" s="9">
        <f>H186-SUM(B186:G186)</f>
        <v/>
      </c>
      <c r="J186" s="4">
        <f>SUMIFS(df_blueme_sem_parcelamento!E:E,df_blueme_sem_parcelamento!H:H,Conciliacao!A186)*(-1)</f>
        <v/>
      </c>
      <c r="K186" s="4">
        <f>SUMIFS(df_blueme_com_parcelamento!J:J,df_blueme_com_parcelamento!M:M,Conciliacao!A186)*(-1)</f>
        <v/>
      </c>
      <c r="L186" s="4">
        <f>SUMIFS(df_mutuos!N:N,df_mutuos!B:B,Conciliacao!A186)*(-1)</f>
        <v/>
      </c>
      <c r="M186" s="8">
        <f>SUMIFS(df_bloqueios_judiciais!G:G,df_bloqueios_judiciais!D:D,Conciliacao!A186,df_bloqueios_judiciais!G:G,"&lt;0")</f>
        <v/>
      </c>
      <c r="N186" s="10">
        <f>SUMIFS(df_extratos!I:I,df_extratos!F:F,Conciliacao!BE186,df_extratos!G:G,"DEBITO")+SUMIFS(df_extratos!I:I,df_extratos!F:F,Conciliacao!A186,df_extratos!G:G,"DEBITO")+SUMIFS(df_extratos!I:I,df_extratos!F:F,Conciliacao!BF186,df_extratos!G:G,"DEBITO")+SUMIFS(df_extratos!I:I,df_extratos!F:F,Conciliacao!BG186,df_extratos!G:G,"DEBITO")+SUMIFS(df_extratos!I:I,df_extratos!F:F,Conciliacao!BH186,df_extratos!G:G,"DEBITO")</f>
        <v/>
      </c>
      <c r="O186" s="11">
        <f>N186-SUM(J186:M186)</f>
        <v/>
      </c>
      <c r="P186" s="25">
        <f>SUMIFS(df_ajustes_conciliaco!D:D,df_ajustes_conciliaco!C:C,Conciliacao!A186)</f>
        <v/>
      </c>
      <c r="Q186" s="22">
        <f>O186+I186-P186</f>
        <v/>
      </c>
      <c r="BE186" s="20" t="n">
        <v>45842.5</v>
      </c>
      <c r="BF186" s="20" t="n">
        <v>45842.125</v>
      </c>
      <c r="BG186" s="20" t="n">
        <v>45842.54166666666</v>
      </c>
      <c r="BH186" s="20" t="n">
        <v>45842.625</v>
      </c>
    </row>
    <row r="187">
      <c r="A187" s="5">
        <f>A186+1</f>
        <v/>
      </c>
      <c r="B187" s="3">
        <f>-SUMIFS(df_extrato_zig!G:G,df_extrato_zig!E:E,Conciliacao!A187,df_extrato_zig!D:D,"Saque")-SUMIFS(df_extrato_zig!G:G,df_extrato_zig!E:E,Conciliacao!A187,df_extrato_zig!D:D,"Antecipação")</f>
        <v/>
      </c>
      <c r="C187" s="3">
        <f>SUMIFS(df_extrato_zig!E:E,df_extrato_zig!L:L,Conciliacao!A187,df_extrato_zig!F:F,"DINHEIRO")</f>
        <v/>
      </c>
      <c r="D187" s="3">
        <f>SUMIFS(view_parc_agrup!H:H,view_parc_agrup!G:G,Conciliacao!A187)</f>
        <v/>
      </c>
      <c r="E187" s="3">
        <f>SUMIFS(df_eventos!F:F,df_eventos!H:H,Conciliacao!A187)</f>
        <v/>
      </c>
      <c r="F187" s="3">
        <f>SUMIFS(df_mutuos!M:M,df_mutuos!B:B,Conciliacao!A187)</f>
        <v/>
      </c>
      <c r="G187" s="6">
        <f>SUMIFS(df_bloqueios_judiciais!G:G,df_bloqueios_judiciais!D:D,Conciliacao!A187,df_bloqueios_judiciais!G:G,"&gt;0")</f>
        <v/>
      </c>
      <c r="H187" s="7">
        <f>SUMIFS(df_extratos!I:I,df_extratos!F:F,Conciliacao!BE187,df_extratos!G:G,"CREDITO")+SUMIFS(df_extratos!I:I,df_extratos!F:F,Conciliacao!A187,df_extratos!G:G,"CREDITO")+SUMIFS(df_extratos!I:I,df_extratos!F:F,Conciliacao!BF187,df_extratos!G:G,"CREDITO")+SUMIFS(df_extratos!I:I,df_extratos!F:F,Conciliacao!BG187,df_extratos!G:G,"CREDITO")+SUMIFS(df_extratos!I:I,df_extratos!F:F,Conciliacao!BH187,df_extratos!G:G,"CREDITO")</f>
        <v/>
      </c>
      <c r="I187" s="9">
        <f>H187-SUM(B187:G187)</f>
        <v/>
      </c>
      <c r="J187" s="4">
        <f>SUMIFS(df_blueme_sem_parcelamento!E:E,df_blueme_sem_parcelamento!H:H,Conciliacao!A187)*(-1)</f>
        <v/>
      </c>
      <c r="K187" s="4">
        <f>SUMIFS(df_blueme_com_parcelamento!J:J,df_blueme_com_parcelamento!M:M,Conciliacao!A187)*(-1)</f>
        <v/>
      </c>
      <c r="L187" s="4">
        <f>SUMIFS(df_mutuos!N:N,df_mutuos!B:B,Conciliacao!A187)*(-1)</f>
        <v/>
      </c>
      <c r="M187" s="8">
        <f>SUMIFS(df_bloqueios_judiciais!G:G,df_bloqueios_judiciais!D:D,Conciliacao!A187,df_bloqueios_judiciais!G:G,"&lt;0")</f>
        <v/>
      </c>
      <c r="N187" s="10">
        <f>SUMIFS(df_extratos!I:I,df_extratos!F:F,Conciliacao!BE187,df_extratos!G:G,"DEBITO")+SUMIFS(df_extratos!I:I,df_extratos!F:F,Conciliacao!A187,df_extratos!G:G,"DEBITO")+SUMIFS(df_extratos!I:I,df_extratos!F:F,Conciliacao!BF187,df_extratos!G:G,"DEBITO")+SUMIFS(df_extratos!I:I,df_extratos!F:F,Conciliacao!BG187,df_extratos!G:G,"DEBITO")+SUMIFS(df_extratos!I:I,df_extratos!F:F,Conciliacao!BH187,df_extratos!G:G,"DEBITO")</f>
        <v/>
      </c>
      <c r="O187" s="11">
        <f>N187-SUM(J187:M187)</f>
        <v/>
      </c>
      <c r="P187" s="25">
        <f>SUMIFS(df_ajustes_conciliaco!D:D,df_ajustes_conciliaco!C:C,Conciliacao!A187)</f>
        <v/>
      </c>
      <c r="Q187" s="22">
        <f>O187+I187-P187</f>
        <v/>
      </c>
      <c r="BE187" s="20" t="n">
        <v>45843.5</v>
      </c>
      <c r="BF187" s="20" t="n">
        <v>45843.125</v>
      </c>
      <c r="BG187" s="20" t="n">
        <v>45843.54166666666</v>
      </c>
      <c r="BH187" s="20" t="n">
        <v>45843.625</v>
      </c>
    </row>
    <row r="188">
      <c r="A188" s="5">
        <f>A187+1</f>
        <v/>
      </c>
      <c r="B188" s="3">
        <f>-SUMIFS(df_extrato_zig!G:G,df_extrato_zig!E:E,Conciliacao!A188,df_extrato_zig!D:D,"Saque")-SUMIFS(df_extrato_zig!G:G,df_extrato_zig!E:E,Conciliacao!A188,df_extrato_zig!D:D,"Antecipação")</f>
        <v/>
      </c>
      <c r="C188" s="3">
        <f>SUMIFS(df_extrato_zig!E:E,df_extrato_zig!L:L,Conciliacao!A188,df_extrato_zig!F:F,"DINHEIRO")</f>
        <v/>
      </c>
      <c r="D188" s="3">
        <f>SUMIFS(view_parc_agrup!H:H,view_parc_agrup!G:G,Conciliacao!A188)</f>
        <v/>
      </c>
      <c r="E188" s="3">
        <f>SUMIFS(df_eventos!F:F,df_eventos!H:H,Conciliacao!A188)</f>
        <v/>
      </c>
      <c r="F188" s="3">
        <f>SUMIFS(df_mutuos!M:M,df_mutuos!B:B,Conciliacao!A188)</f>
        <v/>
      </c>
      <c r="G188" s="6">
        <f>SUMIFS(df_bloqueios_judiciais!G:G,df_bloqueios_judiciais!D:D,Conciliacao!A188,df_bloqueios_judiciais!G:G,"&gt;0")</f>
        <v/>
      </c>
      <c r="H188" s="7">
        <f>SUMIFS(df_extratos!I:I,df_extratos!F:F,Conciliacao!BE188,df_extratos!G:G,"CREDITO")+SUMIFS(df_extratos!I:I,df_extratos!F:F,Conciliacao!A188,df_extratos!G:G,"CREDITO")+SUMIFS(df_extratos!I:I,df_extratos!F:F,Conciliacao!BF188,df_extratos!G:G,"CREDITO")+SUMIFS(df_extratos!I:I,df_extratos!F:F,Conciliacao!BG188,df_extratos!G:G,"CREDITO")+SUMIFS(df_extratos!I:I,df_extratos!F:F,Conciliacao!BH188,df_extratos!G:G,"CREDITO")</f>
        <v/>
      </c>
      <c r="I188" s="9">
        <f>H188-SUM(B188:G188)</f>
        <v/>
      </c>
      <c r="J188" s="4">
        <f>SUMIFS(df_blueme_sem_parcelamento!E:E,df_blueme_sem_parcelamento!H:H,Conciliacao!A188)*(-1)</f>
        <v/>
      </c>
      <c r="K188" s="4">
        <f>SUMIFS(df_blueme_com_parcelamento!J:J,df_blueme_com_parcelamento!M:M,Conciliacao!A188)*(-1)</f>
        <v/>
      </c>
      <c r="L188" s="4">
        <f>SUMIFS(df_mutuos!N:N,df_mutuos!B:B,Conciliacao!A188)*(-1)</f>
        <v/>
      </c>
      <c r="M188" s="8">
        <f>SUMIFS(df_bloqueios_judiciais!G:G,df_bloqueios_judiciais!D:D,Conciliacao!A188,df_bloqueios_judiciais!G:G,"&lt;0")</f>
        <v/>
      </c>
      <c r="N188" s="10">
        <f>SUMIFS(df_extratos!I:I,df_extratos!F:F,Conciliacao!BE188,df_extratos!G:G,"DEBITO")+SUMIFS(df_extratos!I:I,df_extratos!F:F,Conciliacao!A188,df_extratos!G:G,"DEBITO")+SUMIFS(df_extratos!I:I,df_extratos!F:F,Conciliacao!BF188,df_extratos!G:G,"DEBITO")+SUMIFS(df_extratos!I:I,df_extratos!F:F,Conciliacao!BG188,df_extratos!G:G,"DEBITO")+SUMIFS(df_extratos!I:I,df_extratos!F:F,Conciliacao!BH188,df_extratos!G:G,"DEBITO")</f>
        <v/>
      </c>
      <c r="O188" s="11">
        <f>N188-SUM(J188:M188)</f>
        <v/>
      </c>
      <c r="P188" s="25">
        <f>SUMIFS(df_ajustes_conciliaco!D:D,df_ajustes_conciliaco!C:C,Conciliacao!A188)</f>
        <v/>
      </c>
      <c r="Q188" s="22">
        <f>O188+I188-P188</f>
        <v/>
      </c>
      <c r="BE188" s="20" t="n">
        <v>45844.5</v>
      </c>
      <c r="BF188" s="20" t="n">
        <v>45844.125</v>
      </c>
      <c r="BG188" s="20" t="n">
        <v>45844.54166666666</v>
      </c>
      <c r="BH188" s="20" t="n">
        <v>45844.625</v>
      </c>
    </row>
    <row r="189">
      <c r="A189" s="5">
        <f>A188+1</f>
        <v/>
      </c>
      <c r="B189" s="3">
        <f>-SUMIFS(df_extrato_zig!G:G,df_extrato_zig!E:E,Conciliacao!A189,df_extrato_zig!D:D,"Saque")-SUMIFS(df_extrato_zig!G:G,df_extrato_zig!E:E,Conciliacao!A189,df_extrato_zig!D:D,"Antecipação")</f>
        <v/>
      </c>
      <c r="C189" s="3">
        <f>SUMIFS(df_extrato_zig!E:E,df_extrato_zig!L:L,Conciliacao!A189,df_extrato_zig!F:F,"DINHEIRO")</f>
        <v/>
      </c>
      <c r="D189" s="3">
        <f>SUMIFS(view_parc_agrup!H:H,view_parc_agrup!G:G,Conciliacao!A189)</f>
        <v/>
      </c>
      <c r="E189" s="3">
        <f>SUMIFS(df_eventos!F:F,df_eventos!H:H,Conciliacao!A189)</f>
        <v/>
      </c>
      <c r="F189" s="3">
        <f>SUMIFS(df_mutuos!M:M,df_mutuos!B:B,Conciliacao!A189)</f>
        <v/>
      </c>
      <c r="G189" s="6">
        <f>SUMIFS(df_bloqueios_judiciais!G:G,df_bloqueios_judiciais!D:D,Conciliacao!A189,df_bloqueios_judiciais!G:G,"&gt;0")</f>
        <v/>
      </c>
      <c r="H189" s="7">
        <f>SUMIFS(df_extratos!I:I,df_extratos!F:F,Conciliacao!BE189,df_extratos!G:G,"CREDITO")+SUMIFS(df_extratos!I:I,df_extratos!F:F,Conciliacao!A189,df_extratos!G:G,"CREDITO")+SUMIFS(df_extratos!I:I,df_extratos!F:F,Conciliacao!BF189,df_extratos!G:G,"CREDITO")+SUMIFS(df_extratos!I:I,df_extratos!F:F,Conciliacao!BG189,df_extratos!G:G,"CREDITO")+SUMIFS(df_extratos!I:I,df_extratos!F:F,Conciliacao!BH189,df_extratos!G:G,"CREDITO")</f>
        <v/>
      </c>
      <c r="I189" s="9">
        <f>H189-SUM(B189:G189)</f>
        <v/>
      </c>
      <c r="J189" s="4">
        <f>SUMIFS(df_blueme_sem_parcelamento!E:E,df_blueme_sem_parcelamento!H:H,Conciliacao!A189)*(-1)</f>
        <v/>
      </c>
      <c r="K189" s="4">
        <f>SUMIFS(df_blueme_com_parcelamento!J:J,df_blueme_com_parcelamento!M:M,Conciliacao!A189)*(-1)</f>
        <v/>
      </c>
      <c r="L189" s="4">
        <f>SUMIFS(df_mutuos!N:N,df_mutuos!B:B,Conciliacao!A189)*(-1)</f>
        <v/>
      </c>
      <c r="M189" s="8">
        <f>SUMIFS(df_bloqueios_judiciais!G:G,df_bloqueios_judiciais!D:D,Conciliacao!A189,df_bloqueios_judiciais!G:G,"&lt;0")</f>
        <v/>
      </c>
      <c r="N189" s="10">
        <f>SUMIFS(df_extratos!I:I,df_extratos!F:F,Conciliacao!BE189,df_extratos!G:G,"DEBITO")+SUMIFS(df_extratos!I:I,df_extratos!F:F,Conciliacao!A189,df_extratos!G:G,"DEBITO")+SUMIFS(df_extratos!I:I,df_extratos!F:F,Conciliacao!BF189,df_extratos!G:G,"DEBITO")+SUMIFS(df_extratos!I:I,df_extratos!F:F,Conciliacao!BG189,df_extratos!G:G,"DEBITO")+SUMIFS(df_extratos!I:I,df_extratos!F:F,Conciliacao!BH189,df_extratos!G:G,"DEBITO")</f>
        <v/>
      </c>
      <c r="O189" s="11">
        <f>N189-SUM(J189:M189)</f>
        <v/>
      </c>
      <c r="P189" s="25">
        <f>SUMIFS(df_ajustes_conciliaco!D:D,df_ajustes_conciliaco!C:C,Conciliacao!A189)</f>
        <v/>
      </c>
      <c r="Q189" s="22">
        <f>O189+I189-P189</f>
        <v/>
      </c>
      <c r="BE189" s="20" t="n">
        <v>45845.5</v>
      </c>
      <c r="BF189" s="20" t="n">
        <v>45845.125</v>
      </c>
      <c r="BG189" s="20" t="n">
        <v>45845.54166666666</v>
      </c>
      <c r="BH189" s="20" t="n">
        <v>45845.625</v>
      </c>
    </row>
    <row r="190">
      <c r="A190" s="5">
        <f>A189+1</f>
        <v/>
      </c>
      <c r="B190" s="3">
        <f>-SUMIFS(df_extrato_zig!G:G,df_extrato_zig!E:E,Conciliacao!A190,df_extrato_zig!D:D,"Saque")-SUMIFS(df_extrato_zig!G:G,df_extrato_zig!E:E,Conciliacao!A190,df_extrato_zig!D:D,"Antecipação")</f>
        <v/>
      </c>
      <c r="C190" s="3">
        <f>SUMIFS(df_extrato_zig!E:E,df_extrato_zig!L:L,Conciliacao!A190,df_extrato_zig!F:F,"DINHEIRO")</f>
        <v/>
      </c>
      <c r="D190" s="3">
        <f>SUMIFS(view_parc_agrup!H:H,view_parc_agrup!G:G,Conciliacao!A190)</f>
        <v/>
      </c>
      <c r="E190" s="3">
        <f>SUMIFS(df_eventos!F:F,df_eventos!H:H,Conciliacao!A190)</f>
        <v/>
      </c>
      <c r="F190" s="3">
        <f>SUMIFS(df_mutuos!M:M,df_mutuos!B:B,Conciliacao!A190)</f>
        <v/>
      </c>
      <c r="G190" s="6">
        <f>SUMIFS(df_bloqueios_judiciais!G:G,df_bloqueios_judiciais!D:D,Conciliacao!A190,df_bloqueios_judiciais!G:G,"&gt;0")</f>
        <v/>
      </c>
      <c r="H190" s="7">
        <f>SUMIFS(df_extratos!I:I,df_extratos!F:F,Conciliacao!BE190,df_extratos!G:G,"CREDITO")+SUMIFS(df_extratos!I:I,df_extratos!F:F,Conciliacao!A190,df_extratos!G:G,"CREDITO")+SUMIFS(df_extratos!I:I,df_extratos!F:F,Conciliacao!BF190,df_extratos!G:G,"CREDITO")+SUMIFS(df_extratos!I:I,df_extratos!F:F,Conciliacao!BG190,df_extratos!G:G,"CREDITO")+SUMIFS(df_extratos!I:I,df_extratos!F:F,Conciliacao!BH190,df_extratos!G:G,"CREDITO")</f>
        <v/>
      </c>
      <c r="I190" s="9">
        <f>H190-SUM(B190:G190)</f>
        <v/>
      </c>
      <c r="J190" s="4">
        <f>SUMIFS(df_blueme_sem_parcelamento!E:E,df_blueme_sem_parcelamento!H:H,Conciliacao!A190)*(-1)</f>
        <v/>
      </c>
      <c r="K190" s="4">
        <f>SUMIFS(df_blueme_com_parcelamento!J:J,df_blueme_com_parcelamento!M:M,Conciliacao!A190)*(-1)</f>
        <v/>
      </c>
      <c r="L190" s="4">
        <f>SUMIFS(df_mutuos!N:N,df_mutuos!B:B,Conciliacao!A190)*(-1)</f>
        <v/>
      </c>
      <c r="M190" s="8">
        <f>SUMIFS(df_bloqueios_judiciais!G:G,df_bloqueios_judiciais!D:D,Conciliacao!A190,df_bloqueios_judiciais!G:G,"&lt;0")</f>
        <v/>
      </c>
      <c r="N190" s="10">
        <f>SUMIFS(df_extratos!I:I,df_extratos!F:F,Conciliacao!BE190,df_extratos!G:G,"DEBITO")+SUMIFS(df_extratos!I:I,df_extratos!F:F,Conciliacao!A190,df_extratos!G:G,"DEBITO")+SUMIFS(df_extratos!I:I,df_extratos!F:F,Conciliacao!BF190,df_extratos!G:G,"DEBITO")+SUMIFS(df_extratos!I:I,df_extratos!F:F,Conciliacao!BG190,df_extratos!G:G,"DEBITO")+SUMIFS(df_extratos!I:I,df_extratos!F:F,Conciliacao!BH190,df_extratos!G:G,"DEBITO")</f>
        <v/>
      </c>
      <c r="O190" s="11">
        <f>N190-SUM(J190:M190)</f>
        <v/>
      </c>
      <c r="P190" s="25">
        <f>SUMIFS(df_ajustes_conciliaco!D:D,df_ajustes_conciliaco!C:C,Conciliacao!A190)</f>
        <v/>
      </c>
      <c r="Q190" s="22">
        <f>O190+I190-P190</f>
        <v/>
      </c>
      <c r="BE190" s="20" t="n">
        <v>45846.5</v>
      </c>
      <c r="BF190" s="20" t="n">
        <v>45846.125</v>
      </c>
      <c r="BG190" s="20" t="n">
        <v>45846.54166666666</v>
      </c>
      <c r="BH190" s="20" t="n">
        <v>45846.625</v>
      </c>
    </row>
    <row r="191">
      <c r="A191" s="5">
        <f>A190+1</f>
        <v/>
      </c>
      <c r="B191" s="3">
        <f>-SUMIFS(df_extrato_zig!G:G,df_extrato_zig!E:E,Conciliacao!A191,df_extrato_zig!D:D,"Saque")-SUMIFS(df_extrato_zig!G:G,df_extrato_zig!E:E,Conciliacao!A191,df_extrato_zig!D:D,"Antecipação")</f>
        <v/>
      </c>
      <c r="C191" s="3">
        <f>SUMIFS(df_extrato_zig!E:E,df_extrato_zig!L:L,Conciliacao!A191,df_extrato_zig!F:F,"DINHEIRO")</f>
        <v/>
      </c>
      <c r="D191" s="3">
        <f>SUMIFS(view_parc_agrup!H:H,view_parc_agrup!G:G,Conciliacao!A191)</f>
        <v/>
      </c>
      <c r="E191" s="3">
        <f>SUMIFS(df_eventos!F:F,df_eventos!H:H,Conciliacao!A191)</f>
        <v/>
      </c>
      <c r="F191" s="3">
        <f>SUMIFS(df_mutuos!M:M,df_mutuos!B:B,Conciliacao!A191)</f>
        <v/>
      </c>
      <c r="G191" s="6">
        <f>SUMIFS(df_bloqueios_judiciais!G:G,df_bloqueios_judiciais!D:D,Conciliacao!A191,df_bloqueios_judiciais!G:G,"&gt;0")</f>
        <v/>
      </c>
      <c r="H191" s="7">
        <f>SUMIFS(df_extratos!I:I,df_extratos!F:F,Conciliacao!BE191,df_extratos!G:G,"CREDITO")+SUMIFS(df_extratos!I:I,df_extratos!F:F,Conciliacao!A191,df_extratos!G:G,"CREDITO")+SUMIFS(df_extratos!I:I,df_extratos!F:F,Conciliacao!BF191,df_extratos!G:G,"CREDITO")+SUMIFS(df_extratos!I:I,df_extratos!F:F,Conciliacao!BG191,df_extratos!G:G,"CREDITO")+SUMIFS(df_extratos!I:I,df_extratos!F:F,Conciliacao!BH191,df_extratos!G:G,"CREDITO")</f>
        <v/>
      </c>
      <c r="I191" s="9">
        <f>H191-SUM(B191:G191)</f>
        <v/>
      </c>
      <c r="J191" s="4">
        <f>SUMIFS(df_blueme_sem_parcelamento!E:E,df_blueme_sem_parcelamento!H:H,Conciliacao!A191)*(-1)</f>
        <v/>
      </c>
      <c r="K191" s="4">
        <f>SUMIFS(df_blueme_com_parcelamento!J:J,df_blueme_com_parcelamento!M:M,Conciliacao!A191)*(-1)</f>
        <v/>
      </c>
      <c r="L191" s="4">
        <f>SUMIFS(df_mutuos!N:N,df_mutuos!B:B,Conciliacao!A191)*(-1)</f>
        <v/>
      </c>
      <c r="M191" s="8">
        <f>SUMIFS(df_bloqueios_judiciais!G:G,df_bloqueios_judiciais!D:D,Conciliacao!A191,df_bloqueios_judiciais!G:G,"&lt;0")</f>
        <v/>
      </c>
      <c r="N191" s="10">
        <f>SUMIFS(df_extratos!I:I,df_extratos!F:F,Conciliacao!BE191,df_extratos!G:G,"DEBITO")+SUMIFS(df_extratos!I:I,df_extratos!F:F,Conciliacao!A191,df_extratos!G:G,"DEBITO")+SUMIFS(df_extratos!I:I,df_extratos!F:F,Conciliacao!BF191,df_extratos!G:G,"DEBITO")+SUMIFS(df_extratos!I:I,df_extratos!F:F,Conciliacao!BG191,df_extratos!G:G,"DEBITO")+SUMIFS(df_extratos!I:I,df_extratos!F:F,Conciliacao!BH191,df_extratos!G:G,"DEBITO")</f>
        <v/>
      </c>
      <c r="O191" s="11">
        <f>N191-SUM(J191:M191)</f>
        <v/>
      </c>
      <c r="P191" s="25">
        <f>SUMIFS(df_ajustes_conciliaco!D:D,df_ajustes_conciliaco!C:C,Conciliacao!A191)</f>
        <v/>
      </c>
      <c r="Q191" s="22">
        <f>O191+I191-P191</f>
        <v/>
      </c>
      <c r="BE191" s="20" t="n">
        <v>45847.5</v>
      </c>
      <c r="BF191" s="20" t="n">
        <v>45847.125</v>
      </c>
      <c r="BG191" s="20" t="n">
        <v>45847.54166666666</v>
      </c>
      <c r="BH191" s="20" t="n">
        <v>45847.625</v>
      </c>
    </row>
    <row r="192">
      <c r="A192" s="5">
        <f>A191+1</f>
        <v/>
      </c>
      <c r="B192" s="3">
        <f>-SUMIFS(df_extrato_zig!G:G,df_extrato_zig!E:E,Conciliacao!A192,df_extrato_zig!D:D,"Saque")-SUMIFS(df_extrato_zig!G:G,df_extrato_zig!E:E,Conciliacao!A192,df_extrato_zig!D:D,"Antecipação")</f>
        <v/>
      </c>
      <c r="C192" s="3">
        <f>SUMIFS(df_extrato_zig!E:E,df_extrato_zig!L:L,Conciliacao!A192,df_extrato_zig!F:F,"DINHEIRO")</f>
        <v/>
      </c>
      <c r="D192" s="3">
        <f>SUMIFS(view_parc_agrup!H:H,view_parc_agrup!G:G,Conciliacao!A192)</f>
        <v/>
      </c>
      <c r="E192" s="3">
        <f>SUMIFS(df_eventos!F:F,df_eventos!H:H,Conciliacao!A192)</f>
        <v/>
      </c>
      <c r="F192" s="3">
        <f>SUMIFS(df_mutuos!M:M,df_mutuos!B:B,Conciliacao!A192)</f>
        <v/>
      </c>
      <c r="G192" s="6">
        <f>SUMIFS(df_bloqueios_judiciais!G:G,df_bloqueios_judiciais!D:D,Conciliacao!A192,df_bloqueios_judiciais!G:G,"&gt;0")</f>
        <v/>
      </c>
      <c r="H192" s="7">
        <f>SUMIFS(df_extratos!I:I,df_extratos!F:F,Conciliacao!BE192,df_extratos!G:G,"CREDITO")+SUMIFS(df_extratos!I:I,df_extratos!F:F,Conciliacao!A192,df_extratos!G:G,"CREDITO")+SUMIFS(df_extratos!I:I,df_extratos!F:F,Conciliacao!BF192,df_extratos!G:G,"CREDITO")+SUMIFS(df_extratos!I:I,df_extratos!F:F,Conciliacao!BG192,df_extratos!G:G,"CREDITO")+SUMIFS(df_extratos!I:I,df_extratos!F:F,Conciliacao!BH192,df_extratos!G:G,"CREDITO")</f>
        <v/>
      </c>
      <c r="I192" s="9">
        <f>H192-SUM(B192:G192)</f>
        <v/>
      </c>
      <c r="J192" s="4">
        <f>SUMIFS(df_blueme_sem_parcelamento!E:E,df_blueme_sem_parcelamento!H:H,Conciliacao!A192)*(-1)</f>
        <v/>
      </c>
      <c r="K192" s="4">
        <f>SUMIFS(df_blueme_com_parcelamento!J:J,df_blueme_com_parcelamento!M:M,Conciliacao!A192)*(-1)</f>
        <v/>
      </c>
      <c r="L192" s="4">
        <f>SUMIFS(df_mutuos!N:N,df_mutuos!B:B,Conciliacao!A192)*(-1)</f>
        <v/>
      </c>
      <c r="M192" s="8">
        <f>SUMIFS(df_bloqueios_judiciais!G:G,df_bloqueios_judiciais!D:D,Conciliacao!A192,df_bloqueios_judiciais!G:G,"&lt;0")</f>
        <v/>
      </c>
      <c r="N192" s="10">
        <f>SUMIFS(df_extratos!I:I,df_extratos!F:F,Conciliacao!BE192,df_extratos!G:G,"DEBITO")+SUMIFS(df_extratos!I:I,df_extratos!F:F,Conciliacao!A192,df_extratos!G:G,"DEBITO")+SUMIFS(df_extratos!I:I,df_extratos!F:F,Conciliacao!BF192,df_extratos!G:G,"DEBITO")+SUMIFS(df_extratos!I:I,df_extratos!F:F,Conciliacao!BG192,df_extratos!G:G,"DEBITO")+SUMIFS(df_extratos!I:I,df_extratos!F:F,Conciliacao!BH192,df_extratos!G:G,"DEBITO")</f>
        <v/>
      </c>
      <c r="O192" s="11">
        <f>N192-SUM(J192:M192)</f>
        <v/>
      </c>
      <c r="P192" s="25">
        <f>SUMIFS(df_ajustes_conciliaco!D:D,df_ajustes_conciliaco!C:C,Conciliacao!A192)</f>
        <v/>
      </c>
      <c r="Q192" s="22">
        <f>O192+I192-P192</f>
        <v/>
      </c>
      <c r="BE192" s="20" t="n">
        <v>45848.5</v>
      </c>
      <c r="BF192" s="20" t="n">
        <v>45848.125</v>
      </c>
      <c r="BG192" s="20" t="n">
        <v>45848.54166666666</v>
      </c>
      <c r="BH192" s="20" t="n">
        <v>45848.625</v>
      </c>
    </row>
    <row r="193">
      <c r="A193" s="5">
        <f>A192+1</f>
        <v/>
      </c>
      <c r="B193" s="3">
        <f>-SUMIFS(df_extrato_zig!G:G,df_extrato_zig!E:E,Conciliacao!A193,df_extrato_zig!D:D,"Saque")-SUMIFS(df_extrato_zig!G:G,df_extrato_zig!E:E,Conciliacao!A193,df_extrato_zig!D:D,"Antecipação")</f>
        <v/>
      </c>
      <c r="C193" s="3">
        <f>SUMIFS(df_extrato_zig!E:E,df_extrato_zig!L:L,Conciliacao!A193,df_extrato_zig!F:F,"DINHEIRO")</f>
        <v/>
      </c>
      <c r="D193" s="3">
        <f>SUMIFS(view_parc_agrup!H:H,view_parc_agrup!G:G,Conciliacao!A193)</f>
        <v/>
      </c>
      <c r="E193" s="3">
        <f>SUMIFS(df_eventos!F:F,df_eventos!H:H,Conciliacao!A193)</f>
        <v/>
      </c>
      <c r="F193" s="3">
        <f>SUMIFS(df_mutuos!M:M,df_mutuos!B:B,Conciliacao!A193)</f>
        <v/>
      </c>
      <c r="G193" s="6">
        <f>SUMIFS(df_bloqueios_judiciais!G:G,df_bloqueios_judiciais!D:D,Conciliacao!A193,df_bloqueios_judiciais!G:G,"&gt;0")</f>
        <v/>
      </c>
      <c r="H193" s="7">
        <f>SUMIFS(df_extratos!I:I,df_extratos!F:F,Conciliacao!BE193,df_extratos!G:G,"CREDITO")+SUMIFS(df_extratos!I:I,df_extratos!F:F,Conciliacao!A193,df_extratos!G:G,"CREDITO")+SUMIFS(df_extratos!I:I,df_extratos!F:F,Conciliacao!BF193,df_extratos!G:G,"CREDITO")+SUMIFS(df_extratos!I:I,df_extratos!F:F,Conciliacao!BG193,df_extratos!G:G,"CREDITO")+SUMIFS(df_extratos!I:I,df_extratos!F:F,Conciliacao!BH193,df_extratos!G:G,"CREDITO")</f>
        <v/>
      </c>
      <c r="I193" s="9">
        <f>H193-SUM(B193:G193)</f>
        <v/>
      </c>
      <c r="J193" s="4">
        <f>SUMIFS(df_blueme_sem_parcelamento!E:E,df_blueme_sem_parcelamento!H:H,Conciliacao!A193)*(-1)</f>
        <v/>
      </c>
      <c r="K193" s="4">
        <f>SUMIFS(df_blueme_com_parcelamento!J:J,df_blueme_com_parcelamento!M:M,Conciliacao!A193)*(-1)</f>
        <v/>
      </c>
      <c r="L193" s="4">
        <f>SUMIFS(df_mutuos!N:N,df_mutuos!B:B,Conciliacao!A193)*(-1)</f>
        <v/>
      </c>
      <c r="M193" s="8">
        <f>SUMIFS(df_bloqueios_judiciais!G:G,df_bloqueios_judiciais!D:D,Conciliacao!A193,df_bloqueios_judiciais!G:G,"&lt;0")</f>
        <v/>
      </c>
      <c r="N193" s="10">
        <f>SUMIFS(df_extratos!I:I,df_extratos!F:F,Conciliacao!BE193,df_extratos!G:G,"DEBITO")+SUMIFS(df_extratos!I:I,df_extratos!F:F,Conciliacao!A193,df_extratos!G:G,"DEBITO")+SUMIFS(df_extratos!I:I,df_extratos!F:F,Conciliacao!BF193,df_extratos!G:G,"DEBITO")+SUMIFS(df_extratos!I:I,df_extratos!F:F,Conciliacao!BG193,df_extratos!G:G,"DEBITO")+SUMIFS(df_extratos!I:I,df_extratos!F:F,Conciliacao!BH193,df_extratos!G:G,"DEBITO")</f>
        <v/>
      </c>
      <c r="O193" s="11">
        <f>N193-SUM(J193:M193)</f>
        <v/>
      </c>
      <c r="P193" s="25">
        <f>SUMIFS(df_ajustes_conciliaco!D:D,df_ajustes_conciliaco!C:C,Conciliacao!A193)</f>
        <v/>
      </c>
      <c r="Q193" s="22">
        <f>O193+I193-P193</f>
        <v/>
      </c>
      <c r="BE193" s="20" t="n">
        <v>45849.5</v>
      </c>
      <c r="BF193" s="20" t="n">
        <v>45849.125</v>
      </c>
      <c r="BG193" s="20" t="n">
        <v>45849.54166666666</v>
      </c>
      <c r="BH193" s="20" t="n">
        <v>45849.625</v>
      </c>
    </row>
    <row r="194">
      <c r="A194" s="5">
        <f>A193+1</f>
        <v/>
      </c>
      <c r="B194" s="3">
        <f>-SUMIFS(df_extrato_zig!G:G,df_extrato_zig!E:E,Conciliacao!A194,df_extrato_zig!D:D,"Saque")-SUMIFS(df_extrato_zig!G:G,df_extrato_zig!E:E,Conciliacao!A194,df_extrato_zig!D:D,"Antecipação")</f>
        <v/>
      </c>
      <c r="C194" s="3">
        <f>SUMIFS(df_extrato_zig!E:E,df_extrato_zig!L:L,Conciliacao!A194,df_extrato_zig!F:F,"DINHEIRO")</f>
        <v/>
      </c>
      <c r="D194" s="3">
        <f>SUMIFS(view_parc_agrup!H:H,view_parc_agrup!G:G,Conciliacao!A194)</f>
        <v/>
      </c>
      <c r="E194" s="3">
        <f>SUMIFS(df_eventos!F:F,df_eventos!H:H,Conciliacao!A194)</f>
        <v/>
      </c>
      <c r="F194" s="3">
        <f>SUMIFS(df_mutuos!M:M,df_mutuos!B:B,Conciliacao!A194)</f>
        <v/>
      </c>
      <c r="G194" s="6">
        <f>SUMIFS(df_bloqueios_judiciais!G:G,df_bloqueios_judiciais!D:D,Conciliacao!A194,df_bloqueios_judiciais!G:G,"&gt;0")</f>
        <v/>
      </c>
      <c r="H194" s="7">
        <f>SUMIFS(df_extratos!I:I,df_extratos!F:F,Conciliacao!BE194,df_extratos!G:G,"CREDITO")+SUMIFS(df_extratos!I:I,df_extratos!F:F,Conciliacao!A194,df_extratos!G:G,"CREDITO")+SUMIFS(df_extratos!I:I,df_extratos!F:F,Conciliacao!BF194,df_extratos!G:G,"CREDITO")+SUMIFS(df_extratos!I:I,df_extratos!F:F,Conciliacao!BG194,df_extratos!G:G,"CREDITO")+SUMIFS(df_extratos!I:I,df_extratos!F:F,Conciliacao!BH194,df_extratos!G:G,"CREDITO")</f>
        <v/>
      </c>
      <c r="I194" s="9">
        <f>H194-SUM(B194:G194)</f>
        <v/>
      </c>
      <c r="J194" s="4">
        <f>SUMIFS(df_blueme_sem_parcelamento!E:E,df_blueme_sem_parcelamento!H:H,Conciliacao!A194)*(-1)</f>
        <v/>
      </c>
      <c r="K194" s="4">
        <f>SUMIFS(df_blueme_com_parcelamento!J:J,df_blueme_com_parcelamento!M:M,Conciliacao!A194)*(-1)</f>
        <v/>
      </c>
      <c r="L194" s="4">
        <f>SUMIFS(df_mutuos!N:N,df_mutuos!B:B,Conciliacao!A194)*(-1)</f>
        <v/>
      </c>
      <c r="M194" s="8">
        <f>SUMIFS(df_bloqueios_judiciais!G:G,df_bloqueios_judiciais!D:D,Conciliacao!A194,df_bloqueios_judiciais!G:G,"&lt;0")</f>
        <v/>
      </c>
      <c r="N194" s="10">
        <f>SUMIFS(df_extratos!I:I,df_extratos!F:F,Conciliacao!BE194,df_extratos!G:G,"DEBITO")+SUMIFS(df_extratos!I:I,df_extratos!F:F,Conciliacao!A194,df_extratos!G:G,"DEBITO")+SUMIFS(df_extratos!I:I,df_extratos!F:F,Conciliacao!BF194,df_extratos!G:G,"DEBITO")+SUMIFS(df_extratos!I:I,df_extratos!F:F,Conciliacao!BG194,df_extratos!G:G,"DEBITO")+SUMIFS(df_extratos!I:I,df_extratos!F:F,Conciliacao!BH194,df_extratos!G:G,"DEBITO")</f>
        <v/>
      </c>
      <c r="O194" s="11">
        <f>N194-SUM(J194:M194)</f>
        <v/>
      </c>
      <c r="P194" s="25">
        <f>SUMIFS(df_ajustes_conciliaco!D:D,df_ajustes_conciliaco!C:C,Conciliacao!A194)</f>
        <v/>
      </c>
      <c r="Q194" s="22">
        <f>O194+I194-P194</f>
        <v/>
      </c>
      <c r="BE194" s="20" t="n">
        <v>45850.5</v>
      </c>
      <c r="BF194" s="20" t="n">
        <v>45850.125</v>
      </c>
      <c r="BG194" s="20" t="n">
        <v>45850.54166666666</v>
      </c>
      <c r="BH194" s="20" t="n">
        <v>45850.625</v>
      </c>
    </row>
    <row r="195">
      <c r="A195" s="5">
        <f>A194+1</f>
        <v/>
      </c>
      <c r="B195" s="3">
        <f>-SUMIFS(df_extrato_zig!G:G,df_extrato_zig!E:E,Conciliacao!A195,df_extrato_zig!D:D,"Saque")-SUMIFS(df_extrato_zig!G:G,df_extrato_zig!E:E,Conciliacao!A195,df_extrato_zig!D:D,"Antecipação")</f>
        <v/>
      </c>
      <c r="C195" s="3">
        <f>SUMIFS(df_extrato_zig!E:E,df_extrato_zig!L:L,Conciliacao!A195,df_extrato_zig!F:F,"DINHEIRO")</f>
        <v/>
      </c>
      <c r="D195" s="3">
        <f>SUMIFS(view_parc_agrup!H:H,view_parc_agrup!G:G,Conciliacao!A195)</f>
        <v/>
      </c>
      <c r="E195" s="3">
        <f>SUMIFS(df_eventos!F:F,df_eventos!H:H,Conciliacao!A195)</f>
        <v/>
      </c>
      <c r="F195" s="3">
        <f>SUMIFS(df_mutuos!M:M,df_mutuos!B:B,Conciliacao!A195)</f>
        <v/>
      </c>
      <c r="G195" s="6">
        <f>SUMIFS(df_bloqueios_judiciais!G:G,df_bloqueios_judiciais!D:D,Conciliacao!A195,df_bloqueios_judiciais!G:G,"&gt;0")</f>
        <v/>
      </c>
      <c r="H195" s="7">
        <f>SUMIFS(df_extratos!I:I,df_extratos!F:F,Conciliacao!BE195,df_extratos!G:G,"CREDITO")+SUMIFS(df_extratos!I:I,df_extratos!F:F,Conciliacao!A195,df_extratos!G:G,"CREDITO")+SUMIFS(df_extratos!I:I,df_extratos!F:F,Conciliacao!BF195,df_extratos!G:G,"CREDITO")+SUMIFS(df_extratos!I:I,df_extratos!F:F,Conciliacao!BG195,df_extratos!G:G,"CREDITO")+SUMIFS(df_extratos!I:I,df_extratos!F:F,Conciliacao!BH195,df_extratos!G:G,"CREDITO")</f>
        <v/>
      </c>
      <c r="I195" s="9">
        <f>H195-SUM(B195:G195)</f>
        <v/>
      </c>
      <c r="J195" s="4">
        <f>SUMIFS(df_blueme_sem_parcelamento!E:E,df_blueme_sem_parcelamento!H:H,Conciliacao!A195)*(-1)</f>
        <v/>
      </c>
      <c r="K195" s="4">
        <f>SUMIFS(df_blueme_com_parcelamento!J:J,df_blueme_com_parcelamento!M:M,Conciliacao!A195)*(-1)</f>
        <v/>
      </c>
      <c r="L195" s="4">
        <f>SUMIFS(df_mutuos!N:N,df_mutuos!B:B,Conciliacao!A195)*(-1)</f>
        <v/>
      </c>
      <c r="M195" s="8">
        <f>SUMIFS(df_bloqueios_judiciais!G:G,df_bloqueios_judiciais!D:D,Conciliacao!A195,df_bloqueios_judiciais!G:G,"&lt;0")</f>
        <v/>
      </c>
      <c r="N195" s="10">
        <f>SUMIFS(df_extratos!I:I,df_extratos!F:F,Conciliacao!BE195,df_extratos!G:G,"DEBITO")+SUMIFS(df_extratos!I:I,df_extratos!F:F,Conciliacao!A195,df_extratos!G:G,"DEBITO")+SUMIFS(df_extratos!I:I,df_extratos!F:F,Conciliacao!BF195,df_extratos!G:G,"DEBITO")+SUMIFS(df_extratos!I:I,df_extratos!F:F,Conciliacao!BG195,df_extratos!G:G,"DEBITO")+SUMIFS(df_extratos!I:I,df_extratos!F:F,Conciliacao!BH195,df_extratos!G:G,"DEBITO")</f>
        <v/>
      </c>
      <c r="O195" s="11">
        <f>N195-SUM(J195:M195)</f>
        <v/>
      </c>
      <c r="P195" s="25">
        <f>SUMIFS(df_ajustes_conciliaco!D:D,df_ajustes_conciliaco!C:C,Conciliacao!A195)</f>
        <v/>
      </c>
      <c r="Q195" s="22">
        <f>O195+I195-P195</f>
        <v/>
      </c>
      <c r="BE195" s="20" t="n">
        <v>45851.5</v>
      </c>
      <c r="BF195" s="20" t="n">
        <v>45851.125</v>
      </c>
      <c r="BG195" s="20" t="n">
        <v>45851.54166666666</v>
      </c>
      <c r="BH195" s="20" t="n">
        <v>45851.625</v>
      </c>
    </row>
    <row r="196">
      <c r="A196" s="5">
        <f>A195+1</f>
        <v/>
      </c>
      <c r="B196" s="3">
        <f>-SUMIFS(df_extrato_zig!G:G,df_extrato_zig!E:E,Conciliacao!A196,df_extrato_zig!D:D,"Saque")-SUMIFS(df_extrato_zig!G:G,df_extrato_zig!E:E,Conciliacao!A196,df_extrato_zig!D:D,"Antecipação")</f>
        <v/>
      </c>
      <c r="C196" s="3">
        <f>SUMIFS(df_extrato_zig!E:E,df_extrato_zig!L:L,Conciliacao!A196,df_extrato_zig!F:F,"DINHEIRO")</f>
        <v/>
      </c>
      <c r="D196" s="3">
        <f>SUMIFS(view_parc_agrup!H:H,view_parc_agrup!G:G,Conciliacao!A196)</f>
        <v/>
      </c>
      <c r="E196" s="3">
        <f>SUMIFS(df_eventos!F:F,df_eventos!H:H,Conciliacao!A196)</f>
        <v/>
      </c>
      <c r="F196" s="3">
        <f>SUMIFS(df_mutuos!M:M,df_mutuos!B:B,Conciliacao!A196)</f>
        <v/>
      </c>
      <c r="G196" s="6">
        <f>SUMIFS(df_bloqueios_judiciais!G:G,df_bloqueios_judiciais!D:D,Conciliacao!A196,df_bloqueios_judiciais!G:G,"&gt;0")</f>
        <v/>
      </c>
      <c r="H196" s="7">
        <f>SUMIFS(df_extratos!I:I,df_extratos!F:F,Conciliacao!BE196,df_extratos!G:G,"CREDITO")+SUMIFS(df_extratos!I:I,df_extratos!F:F,Conciliacao!A196,df_extratos!G:G,"CREDITO")+SUMIFS(df_extratos!I:I,df_extratos!F:F,Conciliacao!BF196,df_extratos!G:G,"CREDITO")+SUMIFS(df_extratos!I:I,df_extratos!F:F,Conciliacao!BG196,df_extratos!G:G,"CREDITO")+SUMIFS(df_extratos!I:I,df_extratos!F:F,Conciliacao!BH196,df_extratos!G:G,"CREDITO")</f>
        <v/>
      </c>
      <c r="I196" s="9">
        <f>H196-SUM(B196:G196)</f>
        <v/>
      </c>
      <c r="J196" s="4">
        <f>SUMIFS(df_blueme_sem_parcelamento!E:E,df_blueme_sem_parcelamento!H:H,Conciliacao!A196)*(-1)</f>
        <v/>
      </c>
      <c r="K196" s="4">
        <f>SUMIFS(df_blueme_com_parcelamento!J:J,df_blueme_com_parcelamento!M:M,Conciliacao!A196)*(-1)</f>
        <v/>
      </c>
      <c r="L196" s="4">
        <f>SUMIFS(df_mutuos!N:N,df_mutuos!B:B,Conciliacao!A196)*(-1)</f>
        <v/>
      </c>
      <c r="M196" s="8">
        <f>SUMIFS(df_bloqueios_judiciais!G:G,df_bloqueios_judiciais!D:D,Conciliacao!A196,df_bloqueios_judiciais!G:G,"&lt;0")</f>
        <v/>
      </c>
      <c r="N196" s="10">
        <f>SUMIFS(df_extratos!I:I,df_extratos!F:F,Conciliacao!BE196,df_extratos!G:G,"DEBITO")+SUMIFS(df_extratos!I:I,df_extratos!F:F,Conciliacao!A196,df_extratos!G:G,"DEBITO")+SUMIFS(df_extratos!I:I,df_extratos!F:F,Conciliacao!BF196,df_extratos!G:G,"DEBITO")+SUMIFS(df_extratos!I:I,df_extratos!F:F,Conciliacao!BG196,df_extratos!G:G,"DEBITO")+SUMIFS(df_extratos!I:I,df_extratos!F:F,Conciliacao!BH196,df_extratos!G:G,"DEBITO")</f>
        <v/>
      </c>
      <c r="O196" s="11">
        <f>N196-SUM(J196:M196)</f>
        <v/>
      </c>
      <c r="P196" s="25">
        <f>SUMIFS(df_ajustes_conciliaco!D:D,df_ajustes_conciliaco!C:C,Conciliacao!A196)</f>
        <v/>
      </c>
      <c r="Q196" s="22">
        <f>O196+I196-P196</f>
        <v/>
      </c>
      <c r="BE196" s="20" t="n">
        <v>45852.5</v>
      </c>
      <c r="BF196" s="20" t="n">
        <v>45852.125</v>
      </c>
      <c r="BG196" s="20" t="n">
        <v>45852.54166666666</v>
      </c>
      <c r="BH196" s="20" t="n">
        <v>45852.625</v>
      </c>
    </row>
    <row r="197">
      <c r="A197" s="5">
        <f>A196+1</f>
        <v/>
      </c>
      <c r="B197" s="3">
        <f>-SUMIFS(df_extrato_zig!G:G,df_extrato_zig!E:E,Conciliacao!A197,df_extrato_zig!D:D,"Saque")-SUMIFS(df_extrato_zig!G:G,df_extrato_zig!E:E,Conciliacao!A197,df_extrato_zig!D:D,"Antecipação")</f>
        <v/>
      </c>
      <c r="C197" s="3">
        <f>SUMIFS(df_extrato_zig!E:E,df_extrato_zig!L:L,Conciliacao!A197,df_extrato_zig!F:F,"DINHEIRO")</f>
        <v/>
      </c>
      <c r="D197" s="3">
        <f>SUMIFS(view_parc_agrup!H:H,view_parc_agrup!G:G,Conciliacao!A197)</f>
        <v/>
      </c>
      <c r="E197" s="3">
        <f>SUMIFS(df_eventos!F:F,df_eventos!H:H,Conciliacao!A197)</f>
        <v/>
      </c>
      <c r="F197" s="3">
        <f>SUMIFS(df_mutuos!M:M,df_mutuos!B:B,Conciliacao!A197)</f>
        <v/>
      </c>
      <c r="G197" s="6">
        <f>SUMIFS(df_bloqueios_judiciais!G:G,df_bloqueios_judiciais!D:D,Conciliacao!A197,df_bloqueios_judiciais!G:G,"&gt;0")</f>
        <v/>
      </c>
      <c r="H197" s="7">
        <f>SUMIFS(df_extratos!I:I,df_extratos!F:F,Conciliacao!BE197,df_extratos!G:G,"CREDITO")+SUMIFS(df_extratos!I:I,df_extratos!F:F,Conciliacao!A197,df_extratos!G:G,"CREDITO")+SUMIFS(df_extratos!I:I,df_extratos!F:F,Conciliacao!BF197,df_extratos!G:G,"CREDITO")+SUMIFS(df_extratos!I:I,df_extratos!F:F,Conciliacao!BG197,df_extratos!G:G,"CREDITO")+SUMIFS(df_extratos!I:I,df_extratos!F:F,Conciliacao!BH197,df_extratos!G:G,"CREDITO")</f>
        <v/>
      </c>
      <c r="I197" s="9">
        <f>H197-SUM(B197:G197)</f>
        <v/>
      </c>
      <c r="J197" s="4">
        <f>SUMIFS(df_blueme_sem_parcelamento!E:E,df_blueme_sem_parcelamento!H:H,Conciliacao!A197)*(-1)</f>
        <v/>
      </c>
      <c r="K197" s="4">
        <f>SUMIFS(df_blueme_com_parcelamento!J:J,df_blueme_com_parcelamento!M:M,Conciliacao!A197)*(-1)</f>
        <v/>
      </c>
      <c r="L197" s="4">
        <f>SUMIFS(df_mutuos!N:N,df_mutuos!B:B,Conciliacao!A197)*(-1)</f>
        <v/>
      </c>
      <c r="M197" s="8">
        <f>SUMIFS(df_bloqueios_judiciais!G:G,df_bloqueios_judiciais!D:D,Conciliacao!A197,df_bloqueios_judiciais!G:G,"&lt;0")</f>
        <v/>
      </c>
      <c r="N197" s="10">
        <f>SUMIFS(df_extratos!I:I,df_extratos!F:F,Conciliacao!BE197,df_extratos!G:G,"DEBITO")+SUMIFS(df_extratos!I:I,df_extratos!F:F,Conciliacao!A197,df_extratos!G:G,"DEBITO")+SUMIFS(df_extratos!I:I,df_extratos!F:F,Conciliacao!BF197,df_extratos!G:G,"DEBITO")+SUMIFS(df_extratos!I:I,df_extratos!F:F,Conciliacao!BG197,df_extratos!G:G,"DEBITO")+SUMIFS(df_extratos!I:I,df_extratos!F:F,Conciliacao!BH197,df_extratos!G:G,"DEBITO")</f>
        <v/>
      </c>
      <c r="O197" s="11">
        <f>N197-SUM(J197:M197)</f>
        <v/>
      </c>
      <c r="P197" s="25">
        <f>SUMIFS(df_ajustes_conciliaco!D:D,df_ajustes_conciliaco!C:C,Conciliacao!A197)</f>
        <v/>
      </c>
      <c r="Q197" s="22">
        <f>O197+I197-P197</f>
        <v/>
      </c>
      <c r="BE197" s="20" t="n">
        <v>45853.5</v>
      </c>
      <c r="BF197" s="20" t="n">
        <v>45853.125</v>
      </c>
      <c r="BG197" s="20" t="n">
        <v>45853.54166666666</v>
      </c>
      <c r="BH197" s="20" t="n">
        <v>45853.625</v>
      </c>
    </row>
    <row r="198">
      <c r="A198" s="5">
        <f>A197+1</f>
        <v/>
      </c>
      <c r="B198" s="3">
        <f>-SUMIFS(df_extrato_zig!G:G,df_extrato_zig!E:E,Conciliacao!A198,df_extrato_zig!D:D,"Saque")-SUMIFS(df_extrato_zig!G:G,df_extrato_zig!E:E,Conciliacao!A198,df_extrato_zig!D:D,"Antecipação")</f>
        <v/>
      </c>
      <c r="C198" s="3">
        <f>SUMIFS(df_extrato_zig!E:E,df_extrato_zig!L:L,Conciliacao!A198,df_extrato_zig!F:F,"DINHEIRO")</f>
        <v/>
      </c>
      <c r="D198" s="3">
        <f>SUMIFS(view_parc_agrup!H:H,view_parc_agrup!G:G,Conciliacao!A198)</f>
        <v/>
      </c>
      <c r="E198" s="3">
        <f>SUMIFS(df_eventos!F:F,df_eventos!H:H,Conciliacao!A198)</f>
        <v/>
      </c>
      <c r="F198" s="3">
        <f>SUMIFS(df_mutuos!M:M,df_mutuos!B:B,Conciliacao!A198)</f>
        <v/>
      </c>
      <c r="G198" s="6">
        <f>SUMIFS(df_bloqueios_judiciais!G:G,df_bloqueios_judiciais!D:D,Conciliacao!A198,df_bloqueios_judiciais!G:G,"&gt;0")</f>
        <v/>
      </c>
      <c r="H198" s="7">
        <f>SUMIFS(df_extratos!I:I,df_extratos!F:F,Conciliacao!BE198,df_extratos!G:G,"CREDITO")+SUMIFS(df_extratos!I:I,df_extratos!F:F,Conciliacao!A198,df_extratos!G:G,"CREDITO")+SUMIFS(df_extratos!I:I,df_extratos!F:F,Conciliacao!BF198,df_extratos!G:G,"CREDITO")+SUMIFS(df_extratos!I:I,df_extratos!F:F,Conciliacao!BG198,df_extratos!G:G,"CREDITO")+SUMIFS(df_extratos!I:I,df_extratos!F:F,Conciliacao!BH198,df_extratos!G:G,"CREDITO")</f>
        <v/>
      </c>
      <c r="I198" s="9">
        <f>H198-SUM(B198:G198)</f>
        <v/>
      </c>
      <c r="J198" s="4">
        <f>SUMIFS(df_blueme_sem_parcelamento!E:E,df_blueme_sem_parcelamento!H:H,Conciliacao!A198)*(-1)</f>
        <v/>
      </c>
      <c r="K198" s="4">
        <f>SUMIFS(df_blueme_com_parcelamento!J:J,df_blueme_com_parcelamento!M:M,Conciliacao!A198)*(-1)</f>
        <v/>
      </c>
      <c r="L198" s="4">
        <f>SUMIFS(df_mutuos!N:N,df_mutuos!B:B,Conciliacao!A198)*(-1)</f>
        <v/>
      </c>
      <c r="M198" s="8">
        <f>SUMIFS(df_bloqueios_judiciais!G:G,df_bloqueios_judiciais!D:D,Conciliacao!A198,df_bloqueios_judiciais!G:G,"&lt;0")</f>
        <v/>
      </c>
      <c r="N198" s="10">
        <f>SUMIFS(df_extratos!I:I,df_extratos!F:F,Conciliacao!BE198,df_extratos!G:G,"DEBITO")+SUMIFS(df_extratos!I:I,df_extratos!F:F,Conciliacao!A198,df_extratos!G:G,"DEBITO")+SUMIFS(df_extratos!I:I,df_extratos!F:F,Conciliacao!BF198,df_extratos!G:G,"DEBITO")+SUMIFS(df_extratos!I:I,df_extratos!F:F,Conciliacao!BG198,df_extratos!G:G,"DEBITO")+SUMIFS(df_extratos!I:I,df_extratos!F:F,Conciliacao!BH198,df_extratos!G:G,"DEBITO")</f>
        <v/>
      </c>
      <c r="O198" s="11">
        <f>N198-SUM(J198:M198)</f>
        <v/>
      </c>
      <c r="P198" s="25">
        <f>SUMIFS(df_ajustes_conciliaco!D:D,df_ajustes_conciliaco!C:C,Conciliacao!A198)</f>
        <v/>
      </c>
      <c r="Q198" s="22">
        <f>O198+I198-P198</f>
        <v/>
      </c>
      <c r="BE198" s="20" t="n">
        <v>45854.5</v>
      </c>
      <c r="BF198" s="20" t="n">
        <v>45854.125</v>
      </c>
      <c r="BG198" s="20" t="n">
        <v>45854.54166666666</v>
      </c>
      <c r="BH198" s="20" t="n">
        <v>45854.625</v>
      </c>
    </row>
    <row r="199">
      <c r="A199" s="5">
        <f>A198+1</f>
        <v/>
      </c>
      <c r="B199" s="3">
        <f>-SUMIFS(df_extrato_zig!G:G,df_extrato_zig!E:E,Conciliacao!A199,df_extrato_zig!D:D,"Saque")-SUMIFS(df_extrato_zig!G:G,df_extrato_zig!E:E,Conciliacao!A199,df_extrato_zig!D:D,"Antecipação")</f>
        <v/>
      </c>
      <c r="C199" s="3">
        <f>SUMIFS(df_extrato_zig!E:E,df_extrato_zig!L:L,Conciliacao!A199,df_extrato_zig!F:F,"DINHEIRO")</f>
        <v/>
      </c>
      <c r="D199" s="3">
        <f>SUMIFS(view_parc_agrup!H:H,view_parc_agrup!G:G,Conciliacao!A199)</f>
        <v/>
      </c>
      <c r="E199" s="3">
        <f>SUMIFS(df_eventos!F:F,df_eventos!H:H,Conciliacao!A199)</f>
        <v/>
      </c>
      <c r="F199" s="3">
        <f>SUMIFS(df_mutuos!M:M,df_mutuos!B:B,Conciliacao!A199)</f>
        <v/>
      </c>
      <c r="G199" s="6">
        <f>SUMIFS(df_bloqueios_judiciais!G:G,df_bloqueios_judiciais!D:D,Conciliacao!A199,df_bloqueios_judiciais!G:G,"&gt;0")</f>
        <v/>
      </c>
      <c r="H199" s="7">
        <f>SUMIFS(df_extratos!I:I,df_extratos!F:F,Conciliacao!BE199,df_extratos!G:G,"CREDITO")+SUMIFS(df_extratos!I:I,df_extratos!F:F,Conciliacao!A199,df_extratos!G:G,"CREDITO")+SUMIFS(df_extratos!I:I,df_extratos!F:F,Conciliacao!BF199,df_extratos!G:G,"CREDITO")+SUMIFS(df_extratos!I:I,df_extratos!F:F,Conciliacao!BG199,df_extratos!G:G,"CREDITO")+SUMIFS(df_extratos!I:I,df_extratos!F:F,Conciliacao!BH199,df_extratos!G:G,"CREDITO")</f>
        <v/>
      </c>
      <c r="I199" s="9">
        <f>H199-SUM(B199:G199)</f>
        <v/>
      </c>
      <c r="J199" s="4">
        <f>SUMIFS(df_blueme_sem_parcelamento!E:E,df_blueme_sem_parcelamento!H:H,Conciliacao!A199)*(-1)</f>
        <v/>
      </c>
      <c r="K199" s="4">
        <f>SUMIFS(df_blueme_com_parcelamento!J:J,df_blueme_com_parcelamento!M:M,Conciliacao!A199)*(-1)</f>
        <v/>
      </c>
      <c r="L199" s="4">
        <f>SUMIFS(df_mutuos!N:N,df_mutuos!B:B,Conciliacao!A199)*(-1)</f>
        <v/>
      </c>
      <c r="M199" s="8">
        <f>SUMIFS(df_bloqueios_judiciais!G:G,df_bloqueios_judiciais!D:D,Conciliacao!A199,df_bloqueios_judiciais!G:G,"&lt;0")</f>
        <v/>
      </c>
      <c r="N199" s="10">
        <f>SUMIFS(df_extratos!I:I,df_extratos!F:F,Conciliacao!BE199,df_extratos!G:G,"DEBITO")+SUMIFS(df_extratos!I:I,df_extratos!F:F,Conciliacao!A199,df_extratos!G:G,"DEBITO")+SUMIFS(df_extratos!I:I,df_extratos!F:F,Conciliacao!BF199,df_extratos!G:G,"DEBITO")+SUMIFS(df_extratos!I:I,df_extratos!F:F,Conciliacao!BG199,df_extratos!G:G,"DEBITO")+SUMIFS(df_extratos!I:I,df_extratos!F:F,Conciliacao!BH199,df_extratos!G:G,"DEBITO")</f>
        <v/>
      </c>
      <c r="O199" s="11">
        <f>N199-SUM(J199:M199)</f>
        <v/>
      </c>
      <c r="P199" s="25">
        <f>SUMIFS(df_ajustes_conciliaco!D:D,df_ajustes_conciliaco!C:C,Conciliacao!A199)</f>
        <v/>
      </c>
      <c r="Q199" s="22">
        <f>O199+I199-P199</f>
        <v/>
      </c>
      <c r="BE199" s="20" t="n">
        <v>45855.5</v>
      </c>
      <c r="BF199" s="20" t="n">
        <v>45855.125</v>
      </c>
      <c r="BG199" s="20" t="n">
        <v>45855.54166666666</v>
      </c>
      <c r="BH199" s="20" t="n">
        <v>45855.625</v>
      </c>
    </row>
    <row r="200">
      <c r="A200" s="5">
        <f>A199+1</f>
        <v/>
      </c>
      <c r="B200" s="3">
        <f>-SUMIFS(df_extrato_zig!G:G,df_extrato_zig!E:E,Conciliacao!A200,df_extrato_zig!D:D,"Saque")-SUMIFS(df_extrato_zig!G:G,df_extrato_zig!E:E,Conciliacao!A200,df_extrato_zig!D:D,"Antecipação")</f>
        <v/>
      </c>
      <c r="C200" s="3">
        <f>SUMIFS(df_extrato_zig!E:E,df_extrato_zig!L:L,Conciliacao!A200,df_extrato_zig!F:F,"DINHEIRO")</f>
        <v/>
      </c>
      <c r="D200" s="3">
        <f>SUMIFS(view_parc_agrup!H:H,view_parc_agrup!G:G,Conciliacao!A200)</f>
        <v/>
      </c>
      <c r="E200" s="3">
        <f>SUMIFS(df_eventos!F:F,df_eventos!H:H,Conciliacao!A200)</f>
        <v/>
      </c>
      <c r="F200" s="3">
        <f>SUMIFS(df_mutuos!M:M,df_mutuos!B:B,Conciliacao!A200)</f>
        <v/>
      </c>
      <c r="G200" s="6">
        <f>SUMIFS(df_bloqueios_judiciais!G:G,df_bloqueios_judiciais!D:D,Conciliacao!A200,df_bloqueios_judiciais!G:G,"&gt;0")</f>
        <v/>
      </c>
      <c r="H200" s="7">
        <f>SUMIFS(df_extratos!I:I,df_extratos!F:F,Conciliacao!BE200,df_extratos!G:G,"CREDITO")+SUMIFS(df_extratos!I:I,df_extratos!F:F,Conciliacao!A200,df_extratos!G:G,"CREDITO")+SUMIFS(df_extratos!I:I,df_extratos!F:F,Conciliacao!BF200,df_extratos!G:G,"CREDITO")+SUMIFS(df_extratos!I:I,df_extratos!F:F,Conciliacao!BG200,df_extratos!G:G,"CREDITO")+SUMIFS(df_extratos!I:I,df_extratos!F:F,Conciliacao!BH200,df_extratos!G:G,"CREDITO")</f>
        <v/>
      </c>
      <c r="I200" s="9">
        <f>H200-SUM(B200:G200)</f>
        <v/>
      </c>
      <c r="J200" s="4">
        <f>SUMIFS(df_blueme_sem_parcelamento!E:E,df_blueme_sem_parcelamento!H:H,Conciliacao!A200)*(-1)</f>
        <v/>
      </c>
      <c r="K200" s="4">
        <f>SUMIFS(df_blueme_com_parcelamento!J:J,df_blueme_com_parcelamento!M:M,Conciliacao!A200)*(-1)</f>
        <v/>
      </c>
      <c r="L200" s="4">
        <f>SUMIFS(df_mutuos!N:N,df_mutuos!B:B,Conciliacao!A200)*(-1)</f>
        <v/>
      </c>
      <c r="M200" s="8">
        <f>SUMIFS(df_bloqueios_judiciais!G:G,df_bloqueios_judiciais!D:D,Conciliacao!A200,df_bloqueios_judiciais!G:G,"&lt;0")</f>
        <v/>
      </c>
      <c r="N200" s="10">
        <f>SUMIFS(df_extratos!I:I,df_extratos!F:F,Conciliacao!BE200,df_extratos!G:G,"DEBITO")+SUMIFS(df_extratos!I:I,df_extratos!F:F,Conciliacao!A200,df_extratos!G:G,"DEBITO")+SUMIFS(df_extratos!I:I,df_extratos!F:F,Conciliacao!BF200,df_extratos!G:G,"DEBITO")+SUMIFS(df_extratos!I:I,df_extratos!F:F,Conciliacao!BG200,df_extratos!G:G,"DEBITO")+SUMIFS(df_extratos!I:I,df_extratos!F:F,Conciliacao!BH200,df_extratos!G:G,"DEBITO")</f>
        <v/>
      </c>
      <c r="O200" s="11">
        <f>N200-SUM(J200:M200)</f>
        <v/>
      </c>
      <c r="P200" s="25">
        <f>SUMIFS(df_ajustes_conciliaco!D:D,df_ajustes_conciliaco!C:C,Conciliacao!A200)</f>
        <v/>
      </c>
      <c r="Q200" s="22">
        <f>O200+I200-P200</f>
        <v/>
      </c>
      <c r="BE200" s="20" t="n">
        <v>45856.5</v>
      </c>
      <c r="BF200" s="20" t="n">
        <v>45856.125</v>
      </c>
      <c r="BG200" s="20" t="n">
        <v>45856.54166666666</v>
      </c>
      <c r="BH200" s="20" t="n">
        <v>45856.625</v>
      </c>
    </row>
    <row r="201">
      <c r="A201" s="5">
        <f>A200+1</f>
        <v/>
      </c>
      <c r="B201" s="3">
        <f>-SUMIFS(df_extrato_zig!G:G,df_extrato_zig!E:E,Conciliacao!A201,df_extrato_zig!D:D,"Saque")-SUMIFS(df_extrato_zig!G:G,df_extrato_zig!E:E,Conciliacao!A201,df_extrato_zig!D:D,"Antecipação")</f>
        <v/>
      </c>
      <c r="C201" s="3">
        <f>SUMIFS(df_extrato_zig!E:E,df_extrato_zig!L:L,Conciliacao!A201,df_extrato_zig!F:F,"DINHEIRO")</f>
        <v/>
      </c>
      <c r="D201" s="3">
        <f>SUMIFS(view_parc_agrup!H:H,view_parc_agrup!G:G,Conciliacao!A201)</f>
        <v/>
      </c>
      <c r="E201" s="3">
        <f>SUMIFS(df_eventos!F:F,df_eventos!H:H,Conciliacao!A201)</f>
        <v/>
      </c>
      <c r="F201" s="3">
        <f>SUMIFS(df_mutuos!M:M,df_mutuos!B:B,Conciliacao!A201)</f>
        <v/>
      </c>
      <c r="G201" s="6">
        <f>SUMIFS(df_bloqueios_judiciais!G:G,df_bloqueios_judiciais!D:D,Conciliacao!A201,df_bloqueios_judiciais!G:G,"&gt;0")</f>
        <v/>
      </c>
      <c r="H201" s="7">
        <f>SUMIFS(df_extratos!I:I,df_extratos!F:F,Conciliacao!BE201,df_extratos!G:G,"CREDITO")+SUMIFS(df_extratos!I:I,df_extratos!F:F,Conciliacao!A201,df_extratos!G:G,"CREDITO")+SUMIFS(df_extratos!I:I,df_extratos!F:F,Conciliacao!BF201,df_extratos!G:G,"CREDITO")+SUMIFS(df_extratos!I:I,df_extratos!F:F,Conciliacao!BG201,df_extratos!G:G,"CREDITO")+SUMIFS(df_extratos!I:I,df_extratos!F:F,Conciliacao!BH201,df_extratos!G:G,"CREDITO")</f>
        <v/>
      </c>
      <c r="I201" s="9">
        <f>H201-SUM(B201:G201)</f>
        <v/>
      </c>
      <c r="J201" s="4">
        <f>SUMIFS(df_blueme_sem_parcelamento!E:E,df_blueme_sem_parcelamento!H:H,Conciliacao!A201)*(-1)</f>
        <v/>
      </c>
      <c r="K201" s="4">
        <f>SUMIFS(df_blueme_com_parcelamento!J:J,df_blueme_com_parcelamento!M:M,Conciliacao!A201)*(-1)</f>
        <v/>
      </c>
      <c r="L201" s="4">
        <f>SUMIFS(df_mutuos!N:N,df_mutuos!B:B,Conciliacao!A201)*(-1)</f>
        <v/>
      </c>
      <c r="M201" s="8">
        <f>SUMIFS(df_bloqueios_judiciais!G:G,df_bloqueios_judiciais!D:D,Conciliacao!A201,df_bloqueios_judiciais!G:G,"&lt;0")</f>
        <v/>
      </c>
      <c r="N201" s="10">
        <f>SUMIFS(df_extratos!I:I,df_extratos!F:F,Conciliacao!BE201,df_extratos!G:G,"DEBITO")+SUMIFS(df_extratos!I:I,df_extratos!F:F,Conciliacao!A201,df_extratos!G:G,"DEBITO")+SUMIFS(df_extratos!I:I,df_extratos!F:F,Conciliacao!BF201,df_extratos!G:G,"DEBITO")+SUMIFS(df_extratos!I:I,df_extratos!F:F,Conciliacao!BG201,df_extratos!G:G,"DEBITO")+SUMIFS(df_extratos!I:I,df_extratos!F:F,Conciliacao!BH201,df_extratos!G:G,"DEBITO")</f>
        <v/>
      </c>
      <c r="O201" s="11">
        <f>N201-SUM(J201:M201)</f>
        <v/>
      </c>
      <c r="P201" s="25">
        <f>SUMIFS(df_ajustes_conciliaco!D:D,df_ajustes_conciliaco!C:C,Conciliacao!A201)</f>
        <v/>
      </c>
      <c r="Q201" s="22">
        <f>O201+I201-P201</f>
        <v/>
      </c>
      <c r="BE201" s="20" t="n">
        <v>45857.5</v>
      </c>
      <c r="BF201" s="20" t="n">
        <v>45857.125</v>
      </c>
      <c r="BG201" s="20" t="n">
        <v>45857.54166666666</v>
      </c>
      <c r="BH201" s="20" t="n">
        <v>45857.625</v>
      </c>
    </row>
    <row r="202">
      <c r="A202" s="5">
        <f>A201+1</f>
        <v/>
      </c>
      <c r="B202" s="3">
        <f>-SUMIFS(df_extrato_zig!G:G,df_extrato_zig!E:E,Conciliacao!A202,df_extrato_zig!D:D,"Saque")-SUMIFS(df_extrato_zig!G:G,df_extrato_zig!E:E,Conciliacao!A202,df_extrato_zig!D:D,"Antecipação")</f>
        <v/>
      </c>
      <c r="C202" s="3">
        <f>SUMIFS(df_extrato_zig!E:E,df_extrato_zig!L:L,Conciliacao!A202,df_extrato_zig!F:F,"DINHEIRO")</f>
        <v/>
      </c>
      <c r="D202" s="3">
        <f>SUMIFS(view_parc_agrup!H:H,view_parc_agrup!G:G,Conciliacao!A202)</f>
        <v/>
      </c>
      <c r="E202" s="3">
        <f>SUMIFS(df_eventos!F:F,df_eventos!H:H,Conciliacao!A202)</f>
        <v/>
      </c>
      <c r="F202" s="3">
        <f>SUMIFS(df_mutuos!M:M,df_mutuos!B:B,Conciliacao!A202)</f>
        <v/>
      </c>
      <c r="G202" s="6">
        <f>SUMIFS(df_bloqueios_judiciais!G:G,df_bloqueios_judiciais!D:D,Conciliacao!A202,df_bloqueios_judiciais!G:G,"&gt;0")</f>
        <v/>
      </c>
      <c r="H202" s="7">
        <f>SUMIFS(df_extratos!I:I,df_extratos!F:F,Conciliacao!BE202,df_extratos!G:G,"CREDITO")+SUMIFS(df_extratos!I:I,df_extratos!F:F,Conciliacao!A202,df_extratos!G:G,"CREDITO")+SUMIFS(df_extratos!I:I,df_extratos!F:F,Conciliacao!BF202,df_extratos!G:G,"CREDITO")+SUMIFS(df_extratos!I:I,df_extratos!F:F,Conciliacao!BG202,df_extratos!G:G,"CREDITO")+SUMIFS(df_extratos!I:I,df_extratos!F:F,Conciliacao!BH202,df_extratos!G:G,"CREDITO")</f>
        <v/>
      </c>
      <c r="I202" s="9">
        <f>H202-SUM(B202:G202)</f>
        <v/>
      </c>
      <c r="J202" s="4">
        <f>SUMIFS(df_blueme_sem_parcelamento!E:E,df_blueme_sem_parcelamento!H:H,Conciliacao!A202)*(-1)</f>
        <v/>
      </c>
      <c r="K202" s="4">
        <f>SUMIFS(df_blueme_com_parcelamento!J:J,df_blueme_com_parcelamento!M:M,Conciliacao!A202)*(-1)</f>
        <v/>
      </c>
      <c r="L202" s="4">
        <f>SUMIFS(df_mutuos!N:N,df_mutuos!B:B,Conciliacao!A202)*(-1)</f>
        <v/>
      </c>
      <c r="M202" s="8">
        <f>SUMIFS(df_bloqueios_judiciais!G:G,df_bloqueios_judiciais!D:D,Conciliacao!A202,df_bloqueios_judiciais!G:G,"&lt;0")</f>
        <v/>
      </c>
      <c r="N202" s="10">
        <f>SUMIFS(df_extratos!I:I,df_extratos!F:F,Conciliacao!BE202,df_extratos!G:G,"DEBITO")+SUMIFS(df_extratos!I:I,df_extratos!F:F,Conciliacao!A202,df_extratos!G:G,"DEBITO")+SUMIFS(df_extratos!I:I,df_extratos!F:F,Conciliacao!BF202,df_extratos!G:G,"DEBITO")+SUMIFS(df_extratos!I:I,df_extratos!F:F,Conciliacao!BG202,df_extratos!G:G,"DEBITO")+SUMIFS(df_extratos!I:I,df_extratos!F:F,Conciliacao!BH202,df_extratos!G:G,"DEBITO")</f>
        <v/>
      </c>
      <c r="O202" s="11">
        <f>N202-SUM(J202:M202)</f>
        <v/>
      </c>
      <c r="P202" s="25">
        <f>SUMIFS(df_ajustes_conciliaco!D:D,df_ajustes_conciliaco!C:C,Conciliacao!A202)</f>
        <v/>
      </c>
      <c r="Q202" s="22">
        <f>O202+I202-P202</f>
        <v/>
      </c>
      <c r="BE202" s="20" t="n">
        <v>45858.5</v>
      </c>
      <c r="BF202" s="20" t="n">
        <v>45858.125</v>
      </c>
      <c r="BG202" s="20" t="n">
        <v>45858.54166666666</v>
      </c>
      <c r="BH202" s="20" t="n">
        <v>45858.625</v>
      </c>
    </row>
    <row r="203">
      <c r="A203" s="5">
        <f>A202+1</f>
        <v/>
      </c>
      <c r="B203" s="3">
        <f>-SUMIFS(df_extrato_zig!G:G,df_extrato_zig!E:E,Conciliacao!A203,df_extrato_zig!D:D,"Saque")-SUMIFS(df_extrato_zig!G:G,df_extrato_zig!E:E,Conciliacao!A203,df_extrato_zig!D:D,"Antecipação")</f>
        <v/>
      </c>
      <c r="C203" s="3">
        <f>SUMIFS(df_extrato_zig!E:E,df_extrato_zig!L:L,Conciliacao!A203,df_extrato_zig!F:F,"DINHEIRO")</f>
        <v/>
      </c>
      <c r="D203" s="3">
        <f>SUMIFS(view_parc_agrup!H:H,view_parc_agrup!G:G,Conciliacao!A203)</f>
        <v/>
      </c>
      <c r="E203" s="3">
        <f>SUMIFS(df_eventos!F:F,df_eventos!H:H,Conciliacao!A203)</f>
        <v/>
      </c>
      <c r="F203" s="3">
        <f>SUMIFS(df_mutuos!M:M,df_mutuos!B:B,Conciliacao!A203)</f>
        <v/>
      </c>
      <c r="G203" s="6">
        <f>SUMIFS(df_bloqueios_judiciais!G:G,df_bloqueios_judiciais!D:D,Conciliacao!A203,df_bloqueios_judiciais!G:G,"&gt;0")</f>
        <v/>
      </c>
      <c r="H203" s="7">
        <f>SUMIFS(df_extratos!I:I,df_extratos!F:F,Conciliacao!BE203,df_extratos!G:G,"CREDITO")+SUMIFS(df_extratos!I:I,df_extratos!F:F,Conciliacao!A203,df_extratos!G:G,"CREDITO")+SUMIFS(df_extratos!I:I,df_extratos!F:F,Conciliacao!BF203,df_extratos!G:G,"CREDITO")+SUMIFS(df_extratos!I:I,df_extratos!F:F,Conciliacao!BG203,df_extratos!G:G,"CREDITO")+SUMIFS(df_extratos!I:I,df_extratos!F:F,Conciliacao!BH203,df_extratos!G:G,"CREDITO")</f>
        <v/>
      </c>
      <c r="I203" s="9">
        <f>H203-SUM(B203:G203)</f>
        <v/>
      </c>
      <c r="J203" s="4">
        <f>SUMIFS(df_blueme_sem_parcelamento!E:E,df_blueme_sem_parcelamento!H:H,Conciliacao!A203)*(-1)</f>
        <v/>
      </c>
      <c r="K203" s="4">
        <f>SUMIFS(df_blueme_com_parcelamento!J:J,df_blueme_com_parcelamento!M:M,Conciliacao!A203)*(-1)</f>
        <v/>
      </c>
      <c r="L203" s="4">
        <f>SUMIFS(df_mutuos!N:N,df_mutuos!B:B,Conciliacao!A203)*(-1)</f>
        <v/>
      </c>
      <c r="M203" s="8">
        <f>SUMIFS(df_bloqueios_judiciais!G:G,df_bloqueios_judiciais!D:D,Conciliacao!A203,df_bloqueios_judiciais!G:G,"&lt;0")</f>
        <v/>
      </c>
      <c r="N203" s="10">
        <f>SUMIFS(df_extratos!I:I,df_extratos!F:F,Conciliacao!BE203,df_extratos!G:G,"DEBITO")+SUMIFS(df_extratos!I:I,df_extratos!F:F,Conciliacao!A203,df_extratos!G:G,"DEBITO")+SUMIFS(df_extratos!I:I,df_extratos!F:F,Conciliacao!BF203,df_extratos!G:G,"DEBITO")+SUMIFS(df_extratos!I:I,df_extratos!F:F,Conciliacao!BG203,df_extratos!G:G,"DEBITO")+SUMIFS(df_extratos!I:I,df_extratos!F:F,Conciliacao!BH203,df_extratos!G:G,"DEBITO")</f>
        <v/>
      </c>
      <c r="O203" s="11">
        <f>N203-SUM(J203:M203)</f>
        <v/>
      </c>
      <c r="P203" s="25">
        <f>SUMIFS(df_ajustes_conciliaco!D:D,df_ajustes_conciliaco!C:C,Conciliacao!A203)</f>
        <v/>
      </c>
      <c r="Q203" s="22">
        <f>O203+I203-P203</f>
        <v/>
      </c>
      <c r="BE203" s="20" t="n">
        <v>45859.5</v>
      </c>
      <c r="BF203" s="20" t="n">
        <v>45859.125</v>
      </c>
      <c r="BG203" s="20" t="n">
        <v>45859.54166666666</v>
      </c>
      <c r="BH203" s="20" t="n">
        <v>45859.625</v>
      </c>
    </row>
    <row r="204">
      <c r="A204" s="5">
        <f>A203+1</f>
        <v/>
      </c>
      <c r="B204" s="3">
        <f>-SUMIFS(df_extrato_zig!G:G,df_extrato_zig!E:E,Conciliacao!A204,df_extrato_zig!D:D,"Saque")-SUMIFS(df_extrato_zig!G:G,df_extrato_zig!E:E,Conciliacao!A204,df_extrato_zig!D:D,"Antecipação")</f>
        <v/>
      </c>
      <c r="C204" s="3">
        <f>SUMIFS(df_extrato_zig!E:E,df_extrato_zig!L:L,Conciliacao!A204,df_extrato_zig!F:F,"DINHEIRO")</f>
        <v/>
      </c>
      <c r="D204" s="3">
        <f>SUMIFS(view_parc_agrup!H:H,view_parc_agrup!G:G,Conciliacao!A204)</f>
        <v/>
      </c>
      <c r="E204" s="3">
        <f>SUMIFS(df_eventos!F:F,df_eventos!H:H,Conciliacao!A204)</f>
        <v/>
      </c>
      <c r="F204" s="3">
        <f>SUMIFS(df_mutuos!M:M,df_mutuos!B:B,Conciliacao!A204)</f>
        <v/>
      </c>
      <c r="G204" s="6">
        <f>SUMIFS(df_bloqueios_judiciais!G:G,df_bloqueios_judiciais!D:D,Conciliacao!A204,df_bloqueios_judiciais!G:G,"&gt;0")</f>
        <v/>
      </c>
      <c r="H204" s="7">
        <f>SUMIFS(df_extratos!I:I,df_extratos!F:F,Conciliacao!BE204,df_extratos!G:G,"CREDITO")+SUMIFS(df_extratos!I:I,df_extratos!F:F,Conciliacao!A204,df_extratos!G:G,"CREDITO")+SUMIFS(df_extratos!I:I,df_extratos!F:F,Conciliacao!BF204,df_extratos!G:G,"CREDITO")+SUMIFS(df_extratos!I:I,df_extratos!F:F,Conciliacao!BG204,df_extratos!G:G,"CREDITO")+SUMIFS(df_extratos!I:I,df_extratos!F:F,Conciliacao!BH204,df_extratos!G:G,"CREDITO")</f>
        <v/>
      </c>
      <c r="I204" s="9">
        <f>H204-SUM(B204:G204)</f>
        <v/>
      </c>
      <c r="J204" s="4">
        <f>SUMIFS(df_blueme_sem_parcelamento!E:E,df_blueme_sem_parcelamento!H:H,Conciliacao!A204)*(-1)</f>
        <v/>
      </c>
      <c r="K204" s="4">
        <f>SUMIFS(df_blueme_com_parcelamento!J:J,df_blueme_com_parcelamento!M:M,Conciliacao!A204)*(-1)</f>
        <v/>
      </c>
      <c r="L204" s="4">
        <f>SUMIFS(df_mutuos!N:N,df_mutuos!B:B,Conciliacao!A204)*(-1)</f>
        <v/>
      </c>
      <c r="M204" s="8">
        <f>SUMIFS(df_bloqueios_judiciais!G:G,df_bloqueios_judiciais!D:D,Conciliacao!A204,df_bloqueios_judiciais!G:G,"&lt;0")</f>
        <v/>
      </c>
      <c r="N204" s="10">
        <f>SUMIFS(df_extratos!I:I,df_extratos!F:F,Conciliacao!BE204,df_extratos!G:G,"DEBITO")+SUMIFS(df_extratos!I:I,df_extratos!F:F,Conciliacao!A204,df_extratos!G:G,"DEBITO")+SUMIFS(df_extratos!I:I,df_extratos!F:F,Conciliacao!BF204,df_extratos!G:G,"DEBITO")+SUMIFS(df_extratos!I:I,df_extratos!F:F,Conciliacao!BG204,df_extratos!G:G,"DEBITO")+SUMIFS(df_extratos!I:I,df_extratos!F:F,Conciliacao!BH204,df_extratos!G:G,"DEBITO")</f>
        <v/>
      </c>
      <c r="O204" s="11">
        <f>N204-SUM(J204:M204)</f>
        <v/>
      </c>
      <c r="P204" s="25">
        <f>SUMIFS(df_ajustes_conciliaco!D:D,df_ajustes_conciliaco!C:C,Conciliacao!A204)</f>
        <v/>
      </c>
      <c r="Q204" s="22">
        <f>O204+I204-P204</f>
        <v/>
      </c>
      <c r="BE204" s="20" t="n">
        <v>45860.5</v>
      </c>
      <c r="BF204" s="20" t="n">
        <v>45860.125</v>
      </c>
      <c r="BG204" s="20" t="n">
        <v>45860.54166666666</v>
      </c>
      <c r="BH204" s="20" t="n">
        <v>45860.625</v>
      </c>
    </row>
    <row r="205">
      <c r="A205" s="5">
        <f>A204+1</f>
        <v/>
      </c>
      <c r="B205" s="3">
        <f>-SUMIFS(df_extrato_zig!G:G,df_extrato_zig!E:E,Conciliacao!A205,df_extrato_zig!D:D,"Saque")-SUMIFS(df_extrato_zig!G:G,df_extrato_zig!E:E,Conciliacao!A205,df_extrato_zig!D:D,"Antecipação")</f>
        <v/>
      </c>
      <c r="C205" s="3">
        <f>SUMIFS(df_extrato_zig!E:E,df_extrato_zig!L:L,Conciliacao!A205,df_extrato_zig!F:F,"DINHEIRO")</f>
        <v/>
      </c>
      <c r="D205" s="3">
        <f>SUMIFS(view_parc_agrup!H:H,view_parc_agrup!G:G,Conciliacao!A205)</f>
        <v/>
      </c>
      <c r="E205" s="3">
        <f>SUMIFS(df_eventos!F:F,df_eventos!H:H,Conciliacao!A205)</f>
        <v/>
      </c>
      <c r="F205" s="3">
        <f>SUMIFS(df_mutuos!M:M,df_mutuos!B:B,Conciliacao!A205)</f>
        <v/>
      </c>
      <c r="G205" s="6">
        <f>SUMIFS(df_bloqueios_judiciais!G:G,df_bloqueios_judiciais!D:D,Conciliacao!A205,df_bloqueios_judiciais!G:G,"&gt;0")</f>
        <v/>
      </c>
      <c r="H205" s="7">
        <f>SUMIFS(df_extratos!I:I,df_extratos!F:F,Conciliacao!BE205,df_extratos!G:G,"CREDITO")+SUMIFS(df_extratos!I:I,df_extratos!F:F,Conciliacao!A205,df_extratos!G:G,"CREDITO")+SUMIFS(df_extratos!I:I,df_extratos!F:F,Conciliacao!BF205,df_extratos!G:G,"CREDITO")+SUMIFS(df_extratos!I:I,df_extratos!F:F,Conciliacao!BG205,df_extratos!G:G,"CREDITO")+SUMIFS(df_extratos!I:I,df_extratos!F:F,Conciliacao!BH205,df_extratos!G:G,"CREDITO")</f>
        <v/>
      </c>
      <c r="I205" s="9">
        <f>H205-SUM(B205:G205)</f>
        <v/>
      </c>
      <c r="J205" s="4">
        <f>SUMIFS(df_blueme_sem_parcelamento!E:E,df_blueme_sem_parcelamento!H:H,Conciliacao!A205)*(-1)</f>
        <v/>
      </c>
      <c r="K205" s="4">
        <f>SUMIFS(df_blueme_com_parcelamento!J:J,df_blueme_com_parcelamento!M:M,Conciliacao!A205)*(-1)</f>
        <v/>
      </c>
      <c r="L205" s="4">
        <f>SUMIFS(df_mutuos!N:N,df_mutuos!B:B,Conciliacao!A205)*(-1)</f>
        <v/>
      </c>
      <c r="M205" s="8">
        <f>SUMIFS(df_bloqueios_judiciais!G:G,df_bloqueios_judiciais!D:D,Conciliacao!A205,df_bloqueios_judiciais!G:G,"&lt;0")</f>
        <v/>
      </c>
      <c r="N205" s="10">
        <f>SUMIFS(df_extratos!I:I,df_extratos!F:F,Conciliacao!BE205,df_extratos!G:G,"DEBITO")+SUMIFS(df_extratos!I:I,df_extratos!F:F,Conciliacao!A205,df_extratos!G:G,"DEBITO")+SUMIFS(df_extratos!I:I,df_extratos!F:F,Conciliacao!BF205,df_extratos!G:G,"DEBITO")+SUMIFS(df_extratos!I:I,df_extratos!F:F,Conciliacao!BG205,df_extratos!G:G,"DEBITO")+SUMIFS(df_extratos!I:I,df_extratos!F:F,Conciliacao!BH205,df_extratos!G:G,"DEBITO")</f>
        <v/>
      </c>
      <c r="O205" s="11">
        <f>N205-SUM(J205:M205)</f>
        <v/>
      </c>
      <c r="P205" s="25">
        <f>SUMIFS(df_ajustes_conciliaco!D:D,df_ajustes_conciliaco!C:C,Conciliacao!A205)</f>
        <v/>
      </c>
      <c r="Q205" s="22">
        <f>O205+I205-P205</f>
        <v/>
      </c>
      <c r="BE205" s="20" t="n">
        <v>45861.5</v>
      </c>
      <c r="BF205" s="20" t="n">
        <v>45861.125</v>
      </c>
      <c r="BG205" s="20" t="n">
        <v>45861.54166666666</v>
      </c>
      <c r="BH205" s="20" t="n">
        <v>45861.625</v>
      </c>
    </row>
    <row r="206">
      <c r="A206" s="5">
        <f>A205+1</f>
        <v/>
      </c>
      <c r="B206" s="3">
        <f>-SUMIFS(df_extrato_zig!G:G,df_extrato_zig!E:E,Conciliacao!A206,df_extrato_zig!D:D,"Saque")-SUMIFS(df_extrato_zig!G:G,df_extrato_zig!E:E,Conciliacao!A206,df_extrato_zig!D:D,"Antecipação")</f>
        <v/>
      </c>
      <c r="C206" s="3">
        <f>SUMIFS(df_extrato_zig!E:E,df_extrato_zig!L:L,Conciliacao!A206,df_extrato_zig!F:F,"DINHEIRO")</f>
        <v/>
      </c>
      <c r="D206" s="3">
        <f>SUMIFS(view_parc_agrup!H:H,view_parc_agrup!G:G,Conciliacao!A206)</f>
        <v/>
      </c>
      <c r="E206" s="3">
        <f>SUMIFS(df_eventos!F:F,df_eventos!H:H,Conciliacao!A206)</f>
        <v/>
      </c>
      <c r="F206" s="3">
        <f>SUMIFS(df_mutuos!M:M,df_mutuos!B:B,Conciliacao!A206)</f>
        <v/>
      </c>
      <c r="G206" s="6">
        <f>SUMIFS(df_bloqueios_judiciais!G:G,df_bloqueios_judiciais!D:D,Conciliacao!A206,df_bloqueios_judiciais!G:G,"&gt;0")</f>
        <v/>
      </c>
      <c r="H206" s="7">
        <f>SUMIFS(df_extratos!I:I,df_extratos!F:F,Conciliacao!BE206,df_extratos!G:G,"CREDITO")+SUMIFS(df_extratos!I:I,df_extratos!F:F,Conciliacao!A206,df_extratos!G:G,"CREDITO")+SUMIFS(df_extratos!I:I,df_extratos!F:F,Conciliacao!BF206,df_extratos!G:G,"CREDITO")+SUMIFS(df_extratos!I:I,df_extratos!F:F,Conciliacao!BG206,df_extratos!G:G,"CREDITO")+SUMIFS(df_extratos!I:I,df_extratos!F:F,Conciliacao!BH206,df_extratos!G:G,"CREDITO")</f>
        <v/>
      </c>
      <c r="I206" s="9">
        <f>H206-SUM(B206:G206)</f>
        <v/>
      </c>
      <c r="J206" s="4">
        <f>SUMIFS(df_blueme_sem_parcelamento!E:E,df_blueme_sem_parcelamento!H:H,Conciliacao!A206)*(-1)</f>
        <v/>
      </c>
      <c r="K206" s="4">
        <f>SUMIFS(df_blueme_com_parcelamento!J:J,df_blueme_com_parcelamento!M:M,Conciliacao!A206)*(-1)</f>
        <v/>
      </c>
      <c r="L206" s="4">
        <f>SUMIFS(df_mutuos!N:N,df_mutuos!B:B,Conciliacao!A206)*(-1)</f>
        <v/>
      </c>
      <c r="M206" s="8">
        <f>SUMIFS(df_bloqueios_judiciais!G:G,df_bloqueios_judiciais!D:D,Conciliacao!A206,df_bloqueios_judiciais!G:G,"&lt;0")</f>
        <v/>
      </c>
      <c r="N206" s="10">
        <f>SUMIFS(df_extratos!I:I,df_extratos!F:F,Conciliacao!BE206,df_extratos!G:G,"DEBITO")+SUMIFS(df_extratos!I:I,df_extratos!F:F,Conciliacao!A206,df_extratos!G:G,"DEBITO")+SUMIFS(df_extratos!I:I,df_extratos!F:F,Conciliacao!BF206,df_extratos!G:G,"DEBITO")+SUMIFS(df_extratos!I:I,df_extratos!F:F,Conciliacao!BG206,df_extratos!G:G,"DEBITO")+SUMIFS(df_extratos!I:I,df_extratos!F:F,Conciliacao!BH206,df_extratos!G:G,"DEBITO")</f>
        <v/>
      </c>
      <c r="O206" s="11">
        <f>N206-SUM(J206:M206)</f>
        <v/>
      </c>
      <c r="P206" s="25">
        <f>SUMIFS(df_ajustes_conciliaco!D:D,df_ajustes_conciliaco!C:C,Conciliacao!A206)</f>
        <v/>
      </c>
      <c r="Q206" s="22">
        <f>O206+I206-P206</f>
        <v/>
      </c>
      <c r="BE206" s="20" t="n">
        <v>45862.5</v>
      </c>
      <c r="BF206" s="20" t="n">
        <v>45862.125</v>
      </c>
      <c r="BG206" s="20" t="n">
        <v>45862.54166666666</v>
      </c>
      <c r="BH206" s="20" t="n">
        <v>45862.625</v>
      </c>
    </row>
    <row r="207">
      <c r="A207" s="5">
        <f>A206+1</f>
        <v/>
      </c>
      <c r="B207" s="3">
        <f>-SUMIFS(df_extrato_zig!G:G,df_extrato_zig!E:E,Conciliacao!A207,df_extrato_zig!D:D,"Saque")-SUMIFS(df_extrato_zig!G:G,df_extrato_zig!E:E,Conciliacao!A207,df_extrato_zig!D:D,"Antecipação")</f>
        <v/>
      </c>
      <c r="C207" s="3">
        <f>SUMIFS(df_extrato_zig!E:E,df_extrato_zig!L:L,Conciliacao!A207,df_extrato_zig!F:F,"DINHEIRO")</f>
        <v/>
      </c>
      <c r="D207" s="3">
        <f>SUMIFS(view_parc_agrup!H:H,view_parc_agrup!G:G,Conciliacao!A207)</f>
        <v/>
      </c>
      <c r="E207" s="3">
        <f>SUMIFS(df_eventos!F:F,df_eventos!H:H,Conciliacao!A207)</f>
        <v/>
      </c>
      <c r="F207" s="3">
        <f>SUMIFS(df_mutuos!M:M,df_mutuos!B:B,Conciliacao!A207)</f>
        <v/>
      </c>
      <c r="G207" s="6">
        <f>SUMIFS(df_bloqueios_judiciais!G:G,df_bloqueios_judiciais!D:D,Conciliacao!A207,df_bloqueios_judiciais!G:G,"&gt;0")</f>
        <v/>
      </c>
      <c r="H207" s="7">
        <f>SUMIFS(df_extratos!I:I,df_extratos!F:F,Conciliacao!BE207,df_extratos!G:G,"CREDITO")+SUMIFS(df_extratos!I:I,df_extratos!F:F,Conciliacao!A207,df_extratos!G:G,"CREDITO")+SUMIFS(df_extratos!I:I,df_extratos!F:F,Conciliacao!BF207,df_extratos!G:G,"CREDITO")+SUMIFS(df_extratos!I:I,df_extratos!F:F,Conciliacao!BG207,df_extratos!G:G,"CREDITO")+SUMIFS(df_extratos!I:I,df_extratos!F:F,Conciliacao!BH207,df_extratos!G:G,"CREDITO")</f>
        <v/>
      </c>
      <c r="I207" s="9">
        <f>H207-SUM(B207:G207)</f>
        <v/>
      </c>
      <c r="J207" s="4">
        <f>SUMIFS(df_blueme_sem_parcelamento!E:E,df_blueme_sem_parcelamento!H:H,Conciliacao!A207)*(-1)</f>
        <v/>
      </c>
      <c r="K207" s="4">
        <f>SUMIFS(df_blueme_com_parcelamento!J:J,df_blueme_com_parcelamento!M:M,Conciliacao!A207)*(-1)</f>
        <v/>
      </c>
      <c r="L207" s="4">
        <f>SUMIFS(df_mutuos!N:N,df_mutuos!B:B,Conciliacao!A207)*(-1)</f>
        <v/>
      </c>
      <c r="M207" s="8">
        <f>SUMIFS(df_bloqueios_judiciais!G:G,df_bloqueios_judiciais!D:D,Conciliacao!A207,df_bloqueios_judiciais!G:G,"&lt;0")</f>
        <v/>
      </c>
      <c r="N207" s="10">
        <f>SUMIFS(df_extratos!I:I,df_extratos!F:F,Conciliacao!BE207,df_extratos!G:G,"DEBITO")+SUMIFS(df_extratos!I:I,df_extratos!F:F,Conciliacao!A207,df_extratos!G:G,"DEBITO")+SUMIFS(df_extratos!I:I,df_extratos!F:F,Conciliacao!BF207,df_extratos!G:G,"DEBITO")+SUMIFS(df_extratos!I:I,df_extratos!F:F,Conciliacao!BG207,df_extratos!G:G,"DEBITO")+SUMIFS(df_extratos!I:I,df_extratos!F:F,Conciliacao!BH207,df_extratos!G:G,"DEBITO")</f>
        <v/>
      </c>
      <c r="O207" s="11">
        <f>N207-SUM(J207:M207)</f>
        <v/>
      </c>
      <c r="P207" s="25">
        <f>SUMIFS(df_ajustes_conciliaco!D:D,df_ajustes_conciliaco!C:C,Conciliacao!A207)</f>
        <v/>
      </c>
      <c r="Q207" s="22">
        <f>O207+I207-P207</f>
        <v/>
      </c>
      <c r="BE207" s="20" t="n">
        <v>45863.5</v>
      </c>
      <c r="BF207" s="20" t="n">
        <v>45863.125</v>
      </c>
      <c r="BG207" s="20" t="n">
        <v>45863.54166666666</v>
      </c>
      <c r="BH207" s="20" t="n">
        <v>45863.625</v>
      </c>
    </row>
    <row r="208">
      <c r="A208" s="5">
        <f>A207+1</f>
        <v/>
      </c>
      <c r="B208" s="3">
        <f>-SUMIFS(df_extrato_zig!G:G,df_extrato_zig!E:E,Conciliacao!A208,df_extrato_zig!D:D,"Saque")-SUMIFS(df_extrato_zig!G:G,df_extrato_zig!E:E,Conciliacao!A208,df_extrato_zig!D:D,"Antecipação")</f>
        <v/>
      </c>
      <c r="C208" s="3">
        <f>SUMIFS(df_extrato_zig!E:E,df_extrato_zig!L:L,Conciliacao!A208,df_extrato_zig!F:F,"DINHEIRO")</f>
        <v/>
      </c>
      <c r="D208" s="3">
        <f>SUMIFS(view_parc_agrup!H:H,view_parc_agrup!G:G,Conciliacao!A208)</f>
        <v/>
      </c>
      <c r="E208" s="3">
        <f>SUMIFS(df_eventos!F:F,df_eventos!H:H,Conciliacao!A208)</f>
        <v/>
      </c>
      <c r="F208" s="3">
        <f>SUMIFS(df_mutuos!M:M,df_mutuos!B:B,Conciliacao!A208)</f>
        <v/>
      </c>
      <c r="G208" s="6">
        <f>SUMIFS(df_bloqueios_judiciais!G:G,df_bloqueios_judiciais!D:D,Conciliacao!A208,df_bloqueios_judiciais!G:G,"&gt;0")</f>
        <v/>
      </c>
      <c r="H208" s="7">
        <f>SUMIFS(df_extratos!I:I,df_extratos!F:F,Conciliacao!BE208,df_extratos!G:G,"CREDITO")+SUMIFS(df_extratos!I:I,df_extratos!F:F,Conciliacao!A208,df_extratos!G:G,"CREDITO")+SUMIFS(df_extratos!I:I,df_extratos!F:F,Conciliacao!BF208,df_extratos!G:G,"CREDITO")+SUMIFS(df_extratos!I:I,df_extratos!F:F,Conciliacao!BG208,df_extratos!G:G,"CREDITO")+SUMIFS(df_extratos!I:I,df_extratos!F:F,Conciliacao!BH208,df_extratos!G:G,"CREDITO")</f>
        <v/>
      </c>
      <c r="I208" s="9">
        <f>H208-SUM(B208:G208)</f>
        <v/>
      </c>
      <c r="J208" s="4">
        <f>SUMIFS(df_blueme_sem_parcelamento!E:E,df_blueme_sem_parcelamento!H:H,Conciliacao!A208)*(-1)</f>
        <v/>
      </c>
      <c r="K208" s="4">
        <f>SUMIFS(df_blueme_com_parcelamento!J:J,df_blueme_com_parcelamento!M:M,Conciliacao!A208)*(-1)</f>
        <v/>
      </c>
      <c r="L208" s="4">
        <f>SUMIFS(df_mutuos!N:N,df_mutuos!B:B,Conciliacao!A208)*(-1)</f>
        <v/>
      </c>
      <c r="M208" s="8">
        <f>SUMIFS(df_bloqueios_judiciais!G:G,df_bloqueios_judiciais!D:D,Conciliacao!A208,df_bloqueios_judiciais!G:G,"&lt;0")</f>
        <v/>
      </c>
      <c r="N208" s="10">
        <f>SUMIFS(df_extratos!I:I,df_extratos!F:F,Conciliacao!BE208,df_extratos!G:G,"DEBITO")+SUMIFS(df_extratos!I:I,df_extratos!F:F,Conciliacao!A208,df_extratos!G:G,"DEBITO")+SUMIFS(df_extratos!I:I,df_extratos!F:F,Conciliacao!BF208,df_extratos!G:G,"DEBITO")+SUMIFS(df_extratos!I:I,df_extratos!F:F,Conciliacao!BG208,df_extratos!G:G,"DEBITO")+SUMIFS(df_extratos!I:I,df_extratos!F:F,Conciliacao!BH208,df_extratos!G:G,"DEBITO")</f>
        <v/>
      </c>
      <c r="O208" s="11">
        <f>N208-SUM(J208:M208)</f>
        <v/>
      </c>
      <c r="P208" s="25">
        <f>SUMIFS(df_ajustes_conciliaco!D:D,df_ajustes_conciliaco!C:C,Conciliacao!A208)</f>
        <v/>
      </c>
      <c r="Q208" s="22">
        <f>O208+I208-P208</f>
        <v/>
      </c>
      <c r="BE208" s="20" t="n">
        <v>45864.5</v>
      </c>
      <c r="BF208" s="20" t="n">
        <v>45864.125</v>
      </c>
      <c r="BG208" s="20" t="n">
        <v>45864.54166666666</v>
      </c>
      <c r="BH208" s="20" t="n">
        <v>45864.625</v>
      </c>
    </row>
    <row r="209">
      <c r="A209" s="5">
        <f>A208+1</f>
        <v/>
      </c>
      <c r="B209" s="3">
        <f>-SUMIFS(df_extrato_zig!G:G,df_extrato_zig!E:E,Conciliacao!A209,df_extrato_zig!D:D,"Saque")-SUMIFS(df_extrato_zig!G:G,df_extrato_zig!E:E,Conciliacao!A209,df_extrato_zig!D:D,"Antecipação")</f>
        <v/>
      </c>
      <c r="C209" s="3">
        <f>SUMIFS(df_extrato_zig!E:E,df_extrato_zig!L:L,Conciliacao!A209,df_extrato_zig!F:F,"DINHEIRO")</f>
        <v/>
      </c>
      <c r="D209" s="3">
        <f>SUMIFS(view_parc_agrup!H:H,view_parc_agrup!G:G,Conciliacao!A209)</f>
        <v/>
      </c>
      <c r="E209" s="3">
        <f>SUMIFS(df_eventos!F:F,df_eventos!H:H,Conciliacao!A209)</f>
        <v/>
      </c>
      <c r="F209" s="3">
        <f>SUMIFS(df_mutuos!M:M,df_mutuos!B:B,Conciliacao!A209)</f>
        <v/>
      </c>
      <c r="G209" s="6">
        <f>SUMIFS(df_bloqueios_judiciais!G:G,df_bloqueios_judiciais!D:D,Conciliacao!A209,df_bloqueios_judiciais!G:G,"&gt;0")</f>
        <v/>
      </c>
      <c r="H209" s="7">
        <f>SUMIFS(df_extratos!I:I,df_extratos!F:F,Conciliacao!BE209,df_extratos!G:G,"CREDITO")+SUMIFS(df_extratos!I:I,df_extratos!F:F,Conciliacao!A209,df_extratos!G:G,"CREDITO")+SUMIFS(df_extratos!I:I,df_extratos!F:F,Conciliacao!BF209,df_extratos!G:G,"CREDITO")+SUMIFS(df_extratos!I:I,df_extratos!F:F,Conciliacao!BG209,df_extratos!G:G,"CREDITO")+SUMIFS(df_extratos!I:I,df_extratos!F:F,Conciliacao!BH209,df_extratos!G:G,"CREDITO")</f>
        <v/>
      </c>
      <c r="I209" s="9">
        <f>H209-SUM(B209:G209)</f>
        <v/>
      </c>
      <c r="J209" s="4">
        <f>SUMIFS(df_blueme_sem_parcelamento!E:E,df_blueme_sem_parcelamento!H:H,Conciliacao!A209)*(-1)</f>
        <v/>
      </c>
      <c r="K209" s="4">
        <f>SUMIFS(df_blueme_com_parcelamento!J:J,df_blueme_com_parcelamento!M:M,Conciliacao!A209)*(-1)</f>
        <v/>
      </c>
      <c r="L209" s="4">
        <f>SUMIFS(df_mutuos!N:N,df_mutuos!B:B,Conciliacao!A209)*(-1)</f>
        <v/>
      </c>
      <c r="M209" s="8">
        <f>SUMIFS(df_bloqueios_judiciais!G:G,df_bloqueios_judiciais!D:D,Conciliacao!A209,df_bloqueios_judiciais!G:G,"&lt;0")</f>
        <v/>
      </c>
      <c r="N209" s="10">
        <f>SUMIFS(df_extratos!I:I,df_extratos!F:F,Conciliacao!BE209,df_extratos!G:G,"DEBITO")+SUMIFS(df_extratos!I:I,df_extratos!F:F,Conciliacao!A209,df_extratos!G:G,"DEBITO")+SUMIFS(df_extratos!I:I,df_extratos!F:F,Conciliacao!BF209,df_extratos!G:G,"DEBITO")+SUMIFS(df_extratos!I:I,df_extratos!F:F,Conciliacao!BG209,df_extratos!G:G,"DEBITO")+SUMIFS(df_extratos!I:I,df_extratos!F:F,Conciliacao!BH209,df_extratos!G:G,"DEBITO")</f>
        <v/>
      </c>
      <c r="O209" s="11">
        <f>N209-SUM(J209:M209)</f>
        <v/>
      </c>
      <c r="P209" s="25">
        <f>SUMIFS(df_ajustes_conciliaco!D:D,df_ajustes_conciliaco!C:C,Conciliacao!A209)</f>
        <v/>
      </c>
      <c r="Q209" s="22">
        <f>O209+I209-P209</f>
        <v/>
      </c>
      <c r="BE209" s="20" t="n">
        <v>45865.5</v>
      </c>
      <c r="BF209" s="20" t="n">
        <v>45865.125</v>
      </c>
      <c r="BG209" s="20" t="n">
        <v>45865.54166666666</v>
      </c>
      <c r="BH209" s="20" t="n">
        <v>45865.625</v>
      </c>
    </row>
    <row r="210">
      <c r="A210" s="5">
        <f>A209+1</f>
        <v/>
      </c>
      <c r="B210" s="3">
        <f>-SUMIFS(df_extrato_zig!G:G,df_extrato_zig!E:E,Conciliacao!A210,df_extrato_zig!D:D,"Saque")-SUMIFS(df_extrato_zig!G:G,df_extrato_zig!E:E,Conciliacao!A210,df_extrato_zig!D:D,"Antecipação")</f>
        <v/>
      </c>
      <c r="C210" s="3">
        <f>SUMIFS(df_extrato_zig!E:E,df_extrato_zig!L:L,Conciliacao!A210,df_extrato_zig!F:F,"DINHEIRO")</f>
        <v/>
      </c>
      <c r="D210" s="3">
        <f>SUMIFS(view_parc_agrup!H:H,view_parc_agrup!G:G,Conciliacao!A210)</f>
        <v/>
      </c>
      <c r="E210" s="3">
        <f>SUMIFS(df_eventos!F:F,df_eventos!H:H,Conciliacao!A210)</f>
        <v/>
      </c>
      <c r="F210" s="3">
        <f>SUMIFS(df_mutuos!M:M,df_mutuos!B:B,Conciliacao!A210)</f>
        <v/>
      </c>
      <c r="G210" s="6">
        <f>SUMIFS(df_bloqueios_judiciais!G:G,df_bloqueios_judiciais!D:D,Conciliacao!A210,df_bloqueios_judiciais!G:G,"&gt;0")</f>
        <v/>
      </c>
      <c r="H210" s="7">
        <f>SUMIFS(df_extratos!I:I,df_extratos!F:F,Conciliacao!BE210,df_extratos!G:G,"CREDITO")+SUMIFS(df_extratos!I:I,df_extratos!F:F,Conciliacao!A210,df_extratos!G:G,"CREDITO")+SUMIFS(df_extratos!I:I,df_extratos!F:F,Conciliacao!BF210,df_extratos!G:G,"CREDITO")+SUMIFS(df_extratos!I:I,df_extratos!F:F,Conciliacao!BG210,df_extratos!G:G,"CREDITO")+SUMIFS(df_extratos!I:I,df_extratos!F:F,Conciliacao!BH210,df_extratos!G:G,"CREDITO")</f>
        <v/>
      </c>
      <c r="I210" s="9">
        <f>H210-SUM(B210:G210)</f>
        <v/>
      </c>
      <c r="J210" s="4">
        <f>SUMIFS(df_blueme_sem_parcelamento!E:E,df_blueme_sem_parcelamento!H:H,Conciliacao!A210)*(-1)</f>
        <v/>
      </c>
      <c r="K210" s="4">
        <f>SUMIFS(df_blueme_com_parcelamento!J:J,df_blueme_com_parcelamento!M:M,Conciliacao!A210)*(-1)</f>
        <v/>
      </c>
      <c r="L210" s="4">
        <f>SUMIFS(df_mutuos!N:N,df_mutuos!B:B,Conciliacao!A210)*(-1)</f>
        <v/>
      </c>
      <c r="M210" s="8">
        <f>SUMIFS(df_bloqueios_judiciais!G:G,df_bloqueios_judiciais!D:D,Conciliacao!A210,df_bloqueios_judiciais!G:G,"&lt;0")</f>
        <v/>
      </c>
      <c r="N210" s="10">
        <f>SUMIFS(df_extratos!I:I,df_extratos!F:F,Conciliacao!BE210,df_extratos!G:G,"DEBITO")+SUMIFS(df_extratos!I:I,df_extratos!F:F,Conciliacao!A210,df_extratos!G:G,"DEBITO")+SUMIFS(df_extratos!I:I,df_extratos!F:F,Conciliacao!BF210,df_extratos!G:G,"DEBITO")+SUMIFS(df_extratos!I:I,df_extratos!F:F,Conciliacao!BG210,df_extratos!G:G,"DEBITO")+SUMIFS(df_extratos!I:I,df_extratos!F:F,Conciliacao!BH210,df_extratos!G:G,"DEBITO")</f>
        <v/>
      </c>
      <c r="O210" s="11">
        <f>N210-SUM(J210:M210)</f>
        <v/>
      </c>
      <c r="P210" s="25">
        <f>SUMIFS(df_ajustes_conciliaco!D:D,df_ajustes_conciliaco!C:C,Conciliacao!A210)</f>
        <v/>
      </c>
      <c r="Q210" s="22">
        <f>O210+I210-P210</f>
        <v/>
      </c>
      <c r="BE210" s="20" t="n">
        <v>45866.5</v>
      </c>
      <c r="BF210" s="20" t="n">
        <v>45866.125</v>
      </c>
      <c r="BG210" s="20" t="n">
        <v>45866.54166666666</v>
      </c>
      <c r="BH210" s="20" t="n">
        <v>45866.625</v>
      </c>
    </row>
    <row r="211">
      <c r="A211" s="5">
        <f>A210+1</f>
        <v/>
      </c>
      <c r="B211" s="3">
        <f>-SUMIFS(df_extrato_zig!G:G,df_extrato_zig!E:E,Conciliacao!A211,df_extrato_zig!D:D,"Saque")-SUMIFS(df_extrato_zig!G:G,df_extrato_zig!E:E,Conciliacao!A211,df_extrato_zig!D:D,"Antecipação")</f>
        <v/>
      </c>
      <c r="C211" s="3">
        <f>SUMIFS(df_extrato_zig!E:E,df_extrato_zig!L:L,Conciliacao!A211,df_extrato_zig!F:F,"DINHEIRO")</f>
        <v/>
      </c>
      <c r="D211" s="3">
        <f>SUMIFS(view_parc_agrup!H:H,view_parc_agrup!G:G,Conciliacao!A211)</f>
        <v/>
      </c>
      <c r="E211" s="3">
        <f>SUMIFS(df_eventos!F:F,df_eventos!H:H,Conciliacao!A211)</f>
        <v/>
      </c>
      <c r="F211" s="3">
        <f>SUMIFS(df_mutuos!M:M,df_mutuos!B:B,Conciliacao!A211)</f>
        <v/>
      </c>
      <c r="G211" s="6">
        <f>SUMIFS(df_bloqueios_judiciais!G:G,df_bloqueios_judiciais!D:D,Conciliacao!A211,df_bloqueios_judiciais!G:G,"&gt;0")</f>
        <v/>
      </c>
      <c r="H211" s="7">
        <f>SUMIFS(df_extratos!I:I,df_extratos!F:F,Conciliacao!BE211,df_extratos!G:G,"CREDITO")+SUMIFS(df_extratos!I:I,df_extratos!F:F,Conciliacao!A211,df_extratos!G:G,"CREDITO")+SUMIFS(df_extratos!I:I,df_extratos!F:F,Conciliacao!BF211,df_extratos!G:G,"CREDITO")+SUMIFS(df_extratos!I:I,df_extratos!F:F,Conciliacao!BG211,df_extratos!G:G,"CREDITO")+SUMIFS(df_extratos!I:I,df_extratos!F:F,Conciliacao!BH211,df_extratos!G:G,"CREDITO")</f>
        <v/>
      </c>
      <c r="I211" s="9">
        <f>H211-SUM(B211:G211)</f>
        <v/>
      </c>
      <c r="J211" s="4">
        <f>SUMIFS(df_blueme_sem_parcelamento!E:E,df_blueme_sem_parcelamento!H:H,Conciliacao!A211)*(-1)</f>
        <v/>
      </c>
      <c r="K211" s="4">
        <f>SUMIFS(df_blueme_com_parcelamento!J:J,df_blueme_com_parcelamento!M:M,Conciliacao!A211)*(-1)</f>
        <v/>
      </c>
      <c r="L211" s="4">
        <f>SUMIFS(df_mutuos!N:N,df_mutuos!B:B,Conciliacao!A211)*(-1)</f>
        <v/>
      </c>
      <c r="M211" s="8">
        <f>SUMIFS(df_bloqueios_judiciais!G:G,df_bloqueios_judiciais!D:D,Conciliacao!A211,df_bloqueios_judiciais!G:G,"&lt;0")</f>
        <v/>
      </c>
      <c r="N211" s="10">
        <f>SUMIFS(df_extratos!I:I,df_extratos!F:F,Conciliacao!BE211,df_extratos!G:G,"DEBITO")+SUMIFS(df_extratos!I:I,df_extratos!F:F,Conciliacao!A211,df_extratos!G:G,"DEBITO")+SUMIFS(df_extratos!I:I,df_extratos!F:F,Conciliacao!BF211,df_extratos!G:G,"DEBITO")+SUMIFS(df_extratos!I:I,df_extratos!F:F,Conciliacao!BG211,df_extratos!G:G,"DEBITO")+SUMIFS(df_extratos!I:I,df_extratos!F:F,Conciliacao!BH211,df_extratos!G:G,"DEBITO")</f>
        <v/>
      </c>
      <c r="O211" s="11">
        <f>N211-SUM(J211:M211)</f>
        <v/>
      </c>
      <c r="P211" s="25">
        <f>SUMIFS(df_ajustes_conciliaco!D:D,df_ajustes_conciliaco!C:C,Conciliacao!A211)</f>
        <v/>
      </c>
      <c r="Q211" s="22">
        <f>O211+I211-P211</f>
        <v/>
      </c>
      <c r="BE211" s="20" t="n">
        <v>45867.5</v>
      </c>
      <c r="BF211" s="20" t="n">
        <v>45867.125</v>
      </c>
      <c r="BG211" s="20" t="n">
        <v>45867.54166666666</v>
      </c>
      <c r="BH211" s="20" t="n">
        <v>45867.625</v>
      </c>
    </row>
    <row r="212">
      <c r="A212" s="5">
        <f>A211+1</f>
        <v/>
      </c>
      <c r="B212" s="3">
        <f>-SUMIFS(df_extrato_zig!G:G,df_extrato_zig!E:E,Conciliacao!A212,df_extrato_zig!D:D,"Saque")-SUMIFS(df_extrato_zig!G:G,df_extrato_zig!E:E,Conciliacao!A212,df_extrato_zig!D:D,"Antecipação")</f>
        <v/>
      </c>
      <c r="C212" s="3">
        <f>SUMIFS(df_extrato_zig!E:E,df_extrato_zig!L:L,Conciliacao!A212,df_extrato_zig!F:F,"DINHEIRO")</f>
        <v/>
      </c>
      <c r="D212" s="3">
        <f>SUMIFS(view_parc_agrup!H:H,view_parc_agrup!G:G,Conciliacao!A212)</f>
        <v/>
      </c>
      <c r="E212" s="3">
        <f>SUMIFS(df_eventos!F:F,df_eventos!H:H,Conciliacao!A212)</f>
        <v/>
      </c>
      <c r="F212" s="3">
        <f>SUMIFS(df_mutuos!M:M,df_mutuos!B:B,Conciliacao!A212)</f>
        <v/>
      </c>
      <c r="G212" s="6">
        <f>SUMIFS(df_bloqueios_judiciais!G:G,df_bloqueios_judiciais!D:D,Conciliacao!A212,df_bloqueios_judiciais!G:G,"&gt;0")</f>
        <v/>
      </c>
      <c r="H212" s="7">
        <f>SUMIFS(df_extratos!I:I,df_extratos!F:F,Conciliacao!BE212,df_extratos!G:G,"CREDITO")+SUMIFS(df_extratos!I:I,df_extratos!F:F,Conciliacao!A212,df_extratos!G:G,"CREDITO")+SUMIFS(df_extratos!I:I,df_extratos!F:F,Conciliacao!BF212,df_extratos!G:G,"CREDITO")+SUMIFS(df_extratos!I:I,df_extratos!F:F,Conciliacao!BG212,df_extratos!G:G,"CREDITO")+SUMIFS(df_extratos!I:I,df_extratos!F:F,Conciliacao!BH212,df_extratos!G:G,"CREDITO")</f>
        <v/>
      </c>
      <c r="I212" s="9">
        <f>H212-SUM(B212:G212)</f>
        <v/>
      </c>
      <c r="J212" s="4">
        <f>SUMIFS(df_blueme_sem_parcelamento!E:E,df_blueme_sem_parcelamento!H:H,Conciliacao!A212)*(-1)</f>
        <v/>
      </c>
      <c r="K212" s="4">
        <f>SUMIFS(df_blueme_com_parcelamento!J:J,df_blueme_com_parcelamento!M:M,Conciliacao!A212)*(-1)</f>
        <v/>
      </c>
      <c r="L212" s="4">
        <f>SUMIFS(df_mutuos!N:N,df_mutuos!B:B,Conciliacao!A212)*(-1)</f>
        <v/>
      </c>
      <c r="M212" s="8">
        <f>SUMIFS(df_bloqueios_judiciais!G:G,df_bloqueios_judiciais!D:D,Conciliacao!A212,df_bloqueios_judiciais!G:G,"&lt;0")</f>
        <v/>
      </c>
      <c r="N212" s="10">
        <f>SUMIFS(df_extratos!I:I,df_extratos!F:F,Conciliacao!BE212,df_extratos!G:G,"DEBITO")+SUMIFS(df_extratos!I:I,df_extratos!F:F,Conciliacao!A212,df_extratos!G:G,"DEBITO")+SUMIFS(df_extratos!I:I,df_extratos!F:F,Conciliacao!BF212,df_extratos!G:G,"DEBITO")+SUMIFS(df_extratos!I:I,df_extratos!F:F,Conciliacao!BG212,df_extratos!G:G,"DEBITO")+SUMIFS(df_extratos!I:I,df_extratos!F:F,Conciliacao!BH212,df_extratos!G:G,"DEBITO")</f>
        <v/>
      </c>
      <c r="O212" s="11">
        <f>N212-SUM(J212:M212)</f>
        <v/>
      </c>
      <c r="P212" s="25">
        <f>SUMIFS(df_ajustes_conciliaco!D:D,df_ajustes_conciliaco!C:C,Conciliacao!A212)</f>
        <v/>
      </c>
      <c r="Q212" s="22">
        <f>O212+I212-P212</f>
        <v/>
      </c>
      <c r="BE212" s="20" t="n">
        <v>45868.5</v>
      </c>
      <c r="BF212" s="20" t="n">
        <v>45868.125</v>
      </c>
      <c r="BG212" s="20" t="n">
        <v>45868.54166666666</v>
      </c>
      <c r="BH212" s="20" t="n">
        <v>45868.625</v>
      </c>
    </row>
    <row r="213">
      <c r="A213" s="5">
        <f>A212+1</f>
        <v/>
      </c>
      <c r="B213" s="3">
        <f>-SUMIFS(df_extrato_zig!G:G,df_extrato_zig!E:E,Conciliacao!A213,df_extrato_zig!D:D,"Saque")-SUMIFS(df_extrato_zig!G:G,df_extrato_zig!E:E,Conciliacao!A213,df_extrato_zig!D:D,"Antecipação")</f>
        <v/>
      </c>
      <c r="C213" s="3">
        <f>SUMIFS(df_extrato_zig!E:E,df_extrato_zig!L:L,Conciliacao!A213,df_extrato_zig!F:F,"DINHEIRO")</f>
        <v/>
      </c>
      <c r="D213" s="3">
        <f>SUMIFS(view_parc_agrup!H:H,view_parc_agrup!G:G,Conciliacao!A213)</f>
        <v/>
      </c>
      <c r="E213" s="3">
        <f>SUMIFS(df_eventos!F:F,df_eventos!H:H,Conciliacao!A213)</f>
        <v/>
      </c>
      <c r="F213" s="3">
        <f>SUMIFS(df_mutuos!M:M,df_mutuos!B:B,Conciliacao!A213)</f>
        <v/>
      </c>
      <c r="G213" s="6">
        <f>SUMIFS(df_bloqueios_judiciais!G:G,df_bloqueios_judiciais!D:D,Conciliacao!A213,df_bloqueios_judiciais!G:G,"&gt;0")</f>
        <v/>
      </c>
      <c r="H213" s="7">
        <f>SUMIFS(df_extratos!I:I,df_extratos!F:F,Conciliacao!BE213,df_extratos!G:G,"CREDITO")+SUMIFS(df_extratos!I:I,df_extratos!F:F,Conciliacao!A213,df_extratos!G:G,"CREDITO")+SUMIFS(df_extratos!I:I,df_extratos!F:F,Conciliacao!BF213,df_extratos!G:G,"CREDITO")+SUMIFS(df_extratos!I:I,df_extratos!F:F,Conciliacao!BG213,df_extratos!G:G,"CREDITO")+SUMIFS(df_extratos!I:I,df_extratos!F:F,Conciliacao!BH213,df_extratos!G:G,"CREDITO")</f>
        <v/>
      </c>
      <c r="I213" s="9">
        <f>H213-SUM(B213:G213)</f>
        <v/>
      </c>
      <c r="J213" s="4">
        <f>SUMIFS(df_blueme_sem_parcelamento!E:E,df_blueme_sem_parcelamento!H:H,Conciliacao!A213)*(-1)</f>
        <v/>
      </c>
      <c r="K213" s="4">
        <f>SUMIFS(df_blueme_com_parcelamento!J:J,df_blueme_com_parcelamento!M:M,Conciliacao!A213)*(-1)</f>
        <v/>
      </c>
      <c r="L213" s="4">
        <f>SUMIFS(df_mutuos!N:N,df_mutuos!B:B,Conciliacao!A213)*(-1)</f>
        <v/>
      </c>
      <c r="M213" s="8">
        <f>SUMIFS(df_bloqueios_judiciais!G:G,df_bloqueios_judiciais!D:D,Conciliacao!A213,df_bloqueios_judiciais!G:G,"&lt;0")</f>
        <v/>
      </c>
      <c r="N213" s="10">
        <f>SUMIFS(df_extratos!I:I,df_extratos!F:F,Conciliacao!BE213,df_extratos!G:G,"DEBITO")+SUMIFS(df_extratos!I:I,df_extratos!F:F,Conciliacao!A213,df_extratos!G:G,"DEBITO")+SUMIFS(df_extratos!I:I,df_extratos!F:F,Conciliacao!BF213,df_extratos!G:G,"DEBITO")+SUMIFS(df_extratos!I:I,df_extratos!F:F,Conciliacao!BG213,df_extratos!G:G,"DEBITO")+SUMIFS(df_extratos!I:I,df_extratos!F:F,Conciliacao!BH213,df_extratos!G:G,"DEBITO")</f>
        <v/>
      </c>
      <c r="O213" s="11">
        <f>N213-SUM(J213:M213)</f>
        <v/>
      </c>
      <c r="P213" s="25">
        <f>SUMIFS(df_ajustes_conciliaco!D:D,df_ajustes_conciliaco!C:C,Conciliacao!A213)</f>
        <v/>
      </c>
      <c r="Q213" s="22">
        <f>O213+I213-P213</f>
        <v/>
      </c>
      <c r="BE213" s="20" t="n">
        <v>45869.5</v>
      </c>
      <c r="BF213" s="20" t="n">
        <v>45869.125</v>
      </c>
      <c r="BG213" s="20" t="n">
        <v>45869.54166666666</v>
      </c>
      <c r="BH213" s="20" t="n">
        <v>45869.625</v>
      </c>
    </row>
    <row r="214">
      <c r="A214" s="5">
        <f>A213+1</f>
        <v/>
      </c>
      <c r="B214" s="3">
        <f>-SUMIFS(df_extrato_zig!G:G,df_extrato_zig!E:E,Conciliacao!A214,df_extrato_zig!D:D,"Saque")-SUMIFS(df_extrato_zig!G:G,df_extrato_zig!E:E,Conciliacao!A214,df_extrato_zig!D:D,"Antecipação")</f>
        <v/>
      </c>
      <c r="C214" s="3">
        <f>SUMIFS(df_extrato_zig!E:E,df_extrato_zig!L:L,Conciliacao!A214,df_extrato_zig!F:F,"DINHEIRO")</f>
        <v/>
      </c>
      <c r="D214" s="3">
        <f>SUMIFS(view_parc_agrup!H:H,view_parc_agrup!G:G,Conciliacao!A214)</f>
        <v/>
      </c>
      <c r="E214" s="3">
        <f>SUMIFS(df_eventos!F:F,df_eventos!H:H,Conciliacao!A214)</f>
        <v/>
      </c>
      <c r="F214" s="3">
        <f>SUMIFS(df_mutuos!M:M,df_mutuos!B:B,Conciliacao!A214)</f>
        <v/>
      </c>
      <c r="G214" s="6">
        <f>SUMIFS(df_bloqueios_judiciais!G:G,df_bloqueios_judiciais!D:D,Conciliacao!A214,df_bloqueios_judiciais!G:G,"&gt;0")</f>
        <v/>
      </c>
      <c r="H214" s="7">
        <f>SUMIFS(df_extratos!I:I,df_extratos!F:F,Conciliacao!BE214,df_extratos!G:G,"CREDITO")+SUMIFS(df_extratos!I:I,df_extratos!F:F,Conciliacao!A214,df_extratos!G:G,"CREDITO")+SUMIFS(df_extratos!I:I,df_extratos!F:F,Conciliacao!BF214,df_extratos!G:G,"CREDITO")+SUMIFS(df_extratos!I:I,df_extratos!F:F,Conciliacao!BG214,df_extratos!G:G,"CREDITO")+SUMIFS(df_extratos!I:I,df_extratos!F:F,Conciliacao!BH214,df_extratos!G:G,"CREDITO")</f>
        <v/>
      </c>
      <c r="I214" s="9">
        <f>H214-SUM(B214:G214)</f>
        <v/>
      </c>
      <c r="J214" s="4">
        <f>SUMIFS(df_blueme_sem_parcelamento!E:E,df_blueme_sem_parcelamento!H:H,Conciliacao!A214)*(-1)</f>
        <v/>
      </c>
      <c r="K214" s="4">
        <f>SUMIFS(df_blueme_com_parcelamento!J:J,df_blueme_com_parcelamento!M:M,Conciliacao!A214)*(-1)</f>
        <v/>
      </c>
      <c r="L214" s="4">
        <f>SUMIFS(df_mutuos!N:N,df_mutuos!B:B,Conciliacao!A214)*(-1)</f>
        <v/>
      </c>
      <c r="M214" s="8">
        <f>SUMIFS(df_bloqueios_judiciais!G:G,df_bloqueios_judiciais!D:D,Conciliacao!A214,df_bloqueios_judiciais!G:G,"&lt;0")</f>
        <v/>
      </c>
      <c r="N214" s="10">
        <f>SUMIFS(df_extratos!I:I,df_extratos!F:F,Conciliacao!BE214,df_extratos!G:G,"DEBITO")+SUMIFS(df_extratos!I:I,df_extratos!F:F,Conciliacao!A214,df_extratos!G:G,"DEBITO")+SUMIFS(df_extratos!I:I,df_extratos!F:F,Conciliacao!BF214,df_extratos!G:G,"DEBITO")+SUMIFS(df_extratos!I:I,df_extratos!F:F,Conciliacao!BG214,df_extratos!G:G,"DEBITO")+SUMIFS(df_extratos!I:I,df_extratos!F:F,Conciliacao!BH214,df_extratos!G:G,"DEBITO")</f>
        <v/>
      </c>
      <c r="O214" s="11">
        <f>N214-SUM(J214:M214)</f>
        <v/>
      </c>
      <c r="P214" s="25">
        <f>SUMIFS(df_ajustes_conciliaco!D:D,df_ajustes_conciliaco!C:C,Conciliacao!A214)</f>
        <v/>
      </c>
      <c r="Q214" s="22">
        <f>O214+I214-P214</f>
        <v/>
      </c>
      <c r="BE214" s="20" t="n">
        <v>45870.5</v>
      </c>
      <c r="BF214" s="20" t="n">
        <v>45870.125</v>
      </c>
      <c r="BG214" s="20" t="n">
        <v>45870.54166666666</v>
      </c>
      <c r="BH214" s="20" t="n">
        <v>45870.625</v>
      </c>
    </row>
    <row r="215">
      <c r="A215" s="5">
        <f>A214+1</f>
        <v/>
      </c>
      <c r="B215" s="3">
        <f>-SUMIFS(df_extrato_zig!G:G,df_extrato_zig!E:E,Conciliacao!A215,df_extrato_zig!D:D,"Saque")-SUMIFS(df_extrato_zig!G:G,df_extrato_zig!E:E,Conciliacao!A215,df_extrato_zig!D:D,"Antecipação")</f>
        <v/>
      </c>
      <c r="C215" s="3">
        <f>SUMIFS(df_extrato_zig!E:E,df_extrato_zig!L:L,Conciliacao!A215,df_extrato_zig!F:F,"DINHEIRO")</f>
        <v/>
      </c>
      <c r="D215" s="3">
        <f>SUMIFS(view_parc_agrup!H:H,view_parc_agrup!G:G,Conciliacao!A215)</f>
        <v/>
      </c>
      <c r="E215" s="3">
        <f>SUMIFS(df_eventos!F:F,df_eventos!H:H,Conciliacao!A215)</f>
        <v/>
      </c>
      <c r="F215" s="3">
        <f>SUMIFS(df_mutuos!M:M,df_mutuos!B:B,Conciliacao!A215)</f>
        <v/>
      </c>
      <c r="G215" s="6">
        <f>SUMIFS(df_bloqueios_judiciais!G:G,df_bloqueios_judiciais!D:D,Conciliacao!A215,df_bloqueios_judiciais!G:G,"&gt;0")</f>
        <v/>
      </c>
      <c r="H215" s="7">
        <f>SUMIFS(df_extratos!I:I,df_extratos!F:F,Conciliacao!BE215,df_extratos!G:G,"CREDITO")+SUMIFS(df_extratos!I:I,df_extratos!F:F,Conciliacao!A215,df_extratos!G:G,"CREDITO")+SUMIFS(df_extratos!I:I,df_extratos!F:F,Conciliacao!BF215,df_extratos!G:G,"CREDITO")+SUMIFS(df_extratos!I:I,df_extratos!F:F,Conciliacao!BG215,df_extratos!G:G,"CREDITO")+SUMIFS(df_extratos!I:I,df_extratos!F:F,Conciliacao!BH215,df_extratos!G:G,"CREDITO")</f>
        <v/>
      </c>
      <c r="I215" s="9">
        <f>H215-SUM(B215:G215)</f>
        <v/>
      </c>
      <c r="J215" s="4">
        <f>SUMIFS(df_blueme_sem_parcelamento!E:E,df_blueme_sem_parcelamento!H:H,Conciliacao!A215)*(-1)</f>
        <v/>
      </c>
      <c r="K215" s="4">
        <f>SUMIFS(df_blueme_com_parcelamento!J:J,df_blueme_com_parcelamento!M:M,Conciliacao!A215)*(-1)</f>
        <v/>
      </c>
      <c r="L215" s="4">
        <f>SUMIFS(df_mutuos!N:N,df_mutuos!B:B,Conciliacao!A215)*(-1)</f>
        <v/>
      </c>
      <c r="M215" s="8">
        <f>SUMIFS(df_bloqueios_judiciais!G:G,df_bloqueios_judiciais!D:D,Conciliacao!A215,df_bloqueios_judiciais!G:G,"&lt;0")</f>
        <v/>
      </c>
      <c r="N215" s="10">
        <f>SUMIFS(df_extratos!I:I,df_extratos!F:F,Conciliacao!BE215,df_extratos!G:G,"DEBITO")+SUMIFS(df_extratos!I:I,df_extratos!F:F,Conciliacao!A215,df_extratos!G:G,"DEBITO")+SUMIFS(df_extratos!I:I,df_extratos!F:F,Conciliacao!BF215,df_extratos!G:G,"DEBITO")+SUMIFS(df_extratos!I:I,df_extratos!F:F,Conciliacao!BG215,df_extratos!G:G,"DEBITO")+SUMIFS(df_extratos!I:I,df_extratos!F:F,Conciliacao!BH215,df_extratos!G:G,"DEBITO")</f>
        <v/>
      </c>
      <c r="O215" s="11">
        <f>N215-SUM(J215:M215)</f>
        <v/>
      </c>
      <c r="P215" s="25">
        <f>SUMIFS(df_ajustes_conciliaco!D:D,df_ajustes_conciliaco!C:C,Conciliacao!A215)</f>
        <v/>
      </c>
      <c r="Q215" s="22">
        <f>O215+I215-P215</f>
        <v/>
      </c>
      <c r="BE215" s="20" t="n">
        <v>45871.5</v>
      </c>
      <c r="BF215" s="20" t="n">
        <v>45871.125</v>
      </c>
      <c r="BG215" s="20" t="n">
        <v>45871.54166666666</v>
      </c>
      <c r="BH215" s="20" t="n">
        <v>45871.625</v>
      </c>
    </row>
    <row r="216">
      <c r="A216" s="5">
        <f>A215+1</f>
        <v/>
      </c>
      <c r="B216" s="3">
        <f>-SUMIFS(df_extrato_zig!G:G,df_extrato_zig!E:E,Conciliacao!A216,df_extrato_zig!D:D,"Saque")-SUMIFS(df_extrato_zig!G:G,df_extrato_zig!E:E,Conciliacao!A216,df_extrato_zig!D:D,"Antecipação")</f>
        <v/>
      </c>
      <c r="C216" s="3">
        <f>SUMIFS(df_extrato_zig!E:E,df_extrato_zig!L:L,Conciliacao!A216,df_extrato_zig!F:F,"DINHEIRO")</f>
        <v/>
      </c>
      <c r="D216" s="3">
        <f>SUMIFS(view_parc_agrup!H:H,view_parc_agrup!G:G,Conciliacao!A216)</f>
        <v/>
      </c>
      <c r="E216" s="3">
        <f>SUMIFS(df_eventos!F:F,df_eventos!H:H,Conciliacao!A216)</f>
        <v/>
      </c>
      <c r="F216" s="3">
        <f>SUMIFS(df_mutuos!M:M,df_mutuos!B:B,Conciliacao!A216)</f>
        <v/>
      </c>
      <c r="G216" s="6">
        <f>SUMIFS(df_bloqueios_judiciais!G:G,df_bloqueios_judiciais!D:D,Conciliacao!A216,df_bloqueios_judiciais!G:G,"&gt;0")</f>
        <v/>
      </c>
      <c r="H216" s="7">
        <f>SUMIFS(df_extratos!I:I,df_extratos!F:F,Conciliacao!BE216,df_extratos!G:G,"CREDITO")+SUMIFS(df_extratos!I:I,df_extratos!F:F,Conciliacao!A216,df_extratos!G:G,"CREDITO")+SUMIFS(df_extratos!I:I,df_extratos!F:F,Conciliacao!BF216,df_extratos!G:G,"CREDITO")+SUMIFS(df_extratos!I:I,df_extratos!F:F,Conciliacao!BG216,df_extratos!G:G,"CREDITO")+SUMIFS(df_extratos!I:I,df_extratos!F:F,Conciliacao!BH216,df_extratos!G:G,"CREDITO")</f>
        <v/>
      </c>
      <c r="I216" s="9">
        <f>H216-SUM(B216:G216)</f>
        <v/>
      </c>
      <c r="J216" s="4">
        <f>SUMIFS(df_blueme_sem_parcelamento!E:E,df_blueme_sem_parcelamento!H:H,Conciliacao!A216)*(-1)</f>
        <v/>
      </c>
      <c r="K216" s="4">
        <f>SUMIFS(df_blueme_com_parcelamento!J:J,df_blueme_com_parcelamento!M:M,Conciliacao!A216)*(-1)</f>
        <v/>
      </c>
      <c r="L216" s="4">
        <f>SUMIFS(df_mutuos!N:N,df_mutuos!B:B,Conciliacao!A216)*(-1)</f>
        <v/>
      </c>
      <c r="M216" s="8">
        <f>SUMIFS(df_bloqueios_judiciais!G:G,df_bloqueios_judiciais!D:D,Conciliacao!A216,df_bloqueios_judiciais!G:G,"&lt;0")</f>
        <v/>
      </c>
      <c r="N216" s="10">
        <f>SUMIFS(df_extratos!I:I,df_extratos!F:F,Conciliacao!BE216,df_extratos!G:G,"DEBITO")+SUMIFS(df_extratos!I:I,df_extratos!F:F,Conciliacao!A216,df_extratos!G:G,"DEBITO")+SUMIFS(df_extratos!I:I,df_extratos!F:F,Conciliacao!BF216,df_extratos!G:G,"DEBITO")+SUMIFS(df_extratos!I:I,df_extratos!F:F,Conciliacao!BG216,df_extratos!G:G,"DEBITO")+SUMIFS(df_extratos!I:I,df_extratos!F:F,Conciliacao!BH216,df_extratos!G:G,"DEBITO")</f>
        <v/>
      </c>
      <c r="O216" s="11">
        <f>N216-SUM(J216:M216)</f>
        <v/>
      </c>
      <c r="P216" s="25">
        <f>SUMIFS(df_ajustes_conciliaco!D:D,df_ajustes_conciliaco!C:C,Conciliacao!A216)</f>
        <v/>
      </c>
      <c r="Q216" s="22">
        <f>O216+I216-P216</f>
        <v/>
      </c>
      <c r="BE216" s="20" t="n">
        <v>45872.5</v>
      </c>
      <c r="BF216" s="20" t="n">
        <v>45872.125</v>
      </c>
      <c r="BG216" s="20" t="n">
        <v>45872.54166666666</v>
      </c>
      <c r="BH216" s="20" t="n">
        <v>45872.625</v>
      </c>
    </row>
    <row r="217">
      <c r="A217" s="5">
        <f>A216+1</f>
        <v/>
      </c>
      <c r="B217" s="3">
        <f>-SUMIFS(df_extrato_zig!G:G,df_extrato_zig!E:E,Conciliacao!A217,df_extrato_zig!D:D,"Saque")-SUMIFS(df_extrato_zig!G:G,df_extrato_zig!E:E,Conciliacao!A217,df_extrato_zig!D:D,"Antecipação")</f>
        <v/>
      </c>
      <c r="C217" s="3">
        <f>SUMIFS(df_extrato_zig!E:E,df_extrato_zig!L:L,Conciliacao!A217,df_extrato_zig!F:F,"DINHEIRO")</f>
        <v/>
      </c>
      <c r="D217" s="3">
        <f>SUMIFS(view_parc_agrup!H:H,view_parc_agrup!G:G,Conciliacao!A217)</f>
        <v/>
      </c>
      <c r="E217" s="3">
        <f>SUMIFS(df_eventos!F:F,df_eventos!H:H,Conciliacao!A217)</f>
        <v/>
      </c>
      <c r="F217" s="3">
        <f>SUMIFS(df_mutuos!M:M,df_mutuos!B:B,Conciliacao!A217)</f>
        <v/>
      </c>
      <c r="G217" s="6">
        <f>SUMIFS(df_bloqueios_judiciais!G:G,df_bloqueios_judiciais!D:D,Conciliacao!A217,df_bloqueios_judiciais!G:G,"&gt;0")</f>
        <v/>
      </c>
      <c r="H217" s="7">
        <f>SUMIFS(df_extratos!I:I,df_extratos!F:F,Conciliacao!BE217,df_extratos!G:G,"CREDITO")+SUMIFS(df_extratos!I:I,df_extratos!F:F,Conciliacao!A217,df_extratos!G:G,"CREDITO")+SUMIFS(df_extratos!I:I,df_extratos!F:F,Conciliacao!BF217,df_extratos!G:G,"CREDITO")+SUMIFS(df_extratos!I:I,df_extratos!F:F,Conciliacao!BG217,df_extratos!G:G,"CREDITO")+SUMIFS(df_extratos!I:I,df_extratos!F:F,Conciliacao!BH217,df_extratos!G:G,"CREDITO")</f>
        <v/>
      </c>
      <c r="I217" s="9">
        <f>H217-SUM(B217:G217)</f>
        <v/>
      </c>
      <c r="J217" s="4">
        <f>SUMIFS(df_blueme_sem_parcelamento!E:E,df_blueme_sem_parcelamento!H:H,Conciliacao!A217)*(-1)</f>
        <v/>
      </c>
      <c r="K217" s="4">
        <f>SUMIFS(df_blueme_com_parcelamento!J:J,df_blueme_com_parcelamento!M:M,Conciliacao!A217)*(-1)</f>
        <v/>
      </c>
      <c r="L217" s="4">
        <f>SUMIFS(df_mutuos!N:N,df_mutuos!B:B,Conciliacao!A217)*(-1)</f>
        <v/>
      </c>
      <c r="M217" s="8">
        <f>SUMIFS(df_bloqueios_judiciais!G:G,df_bloqueios_judiciais!D:D,Conciliacao!A217,df_bloqueios_judiciais!G:G,"&lt;0")</f>
        <v/>
      </c>
      <c r="N217" s="10">
        <f>SUMIFS(df_extratos!I:I,df_extratos!F:F,Conciliacao!BE217,df_extratos!G:G,"DEBITO")+SUMIFS(df_extratos!I:I,df_extratos!F:F,Conciliacao!A217,df_extratos!G:G,"DEBITO")+SUMIFS(df_extratos!I:I,df_extratos!F:F,Conciliacao!BF217,df_extratos!G:G,"DEBITO")+SUMIFS(df_extratos!I:I,df_extratos!F:F,Conciliacao!BG217,df_extratos!G:G,"DEBITO")+SUMIFS(df_extratos!I:I,df_extratos!F:F,Conciliacao!BH217,df_extratos!G:G,"DEBITO")</f>
        <v/>
      </c>
      <c r="O217" s="11">
        <f>N217-SUM(J217:M217)</f>
        <v/>
      </c>
      <c r="P217" s="25">
        <f>SUMIFS(df_ajustes_conciliaco!D:D,df_ajustes_conciliaco!C:C,Conciliacao!A217)</f>
        <v/>
      </c>
      <c r="Q217" s="22">
        <f>O217+I217-P217</f>
        <v/>
      </c>
      <c r="BE217" s="20" t="n">
        <v>45873.5</v>
      </c>
      <c r="BF217" s="20" t="n">
        <v>45873.125</v>
      </c>
      <c r="BG217" s="20" t="n">
        <v>45873.54166666666</v>
      </c>
      <c r="BH217" s="20" t="n">
        <v>45873.625</v>
      </c>
    </row>
    <row r="218">
      <c r="A218" s="5">
        <f>A217+1</f>
        <v/>
      </c>
      <c r="B218" s="3">
        <f>-SUMIFS(df_extrato_zig!G:G,df_extrato_zig!E:E,Conciliacao!A218,df_extrato_zig!D:D,"Saque")-SUMIFS(df_extrato_zig!G:G,df_extrato_zig!E:E,Conciliacao!A218,df_extrato_zig!D:D,"Antecipação")</f>
        <v/>
      </c>
      <c r="C218" s="3">
        <f>SUMIFS(df_extrato_zig!E:E,df_extrato_zig!L:L,Conciliacao!A218,df_extrato_zig!F:F,"DINHEIRO")</f>
        <v/>
      </c>
      <c r="D218" s="3">
        <f>SUMIFS(view_parc_agrup!H:H,view_parc_agrup!G:G,Conciliacao!A218)</f>
        <v/>
      </c>
      <c r="E218" s="3">
        <f>SUMIFS(df_eventos!F:F,df_eventos!H:H,Conciliacao!A218)</f>
        <v/>
      </c>
      <c r="F218" s="3">
        <f>SUMIFS(df_mutuos!M:M,df_mutuos!B:B,Conciliacao!A218)</f>
        <v/>
      </c>
      <c r="G218" s="6">
        <f>SUMIFS(df_bloqueios_judiciais!G:G,df_bloqueios_judiciais!D:D,Conciliacao!A218,df_bloqueios_judiciais!G:G,"&gt;0")</f>
        <v/>
      </c>
      <c r="H218" s="7">
        <f>SUMIFS(df_extratos!I:I,df_extratos!F:F,Conciliacao!BE218,df_extratos!G:G,"CREDITO")+SUMIFS(df_extratos!I:I,df_extratos!F:F,Conciliacao!A218,df_extratos!G:G,"CREDITO")+SUMIFS(df_extratos!I:I,df_extratos!F:F,Conciliacao!BF218,df_extratos!G:G,"CREDITO")+SUMIFS(df_extratos!I:I,df_extratos!F:F,Conciliacao!BG218,df_extratos!G:G,"CREDITO")+SUMIFS(df_extratos!I:I,df_extratos!F:F,Conciliacao!BH218,df_extratos!G:G,"CREDITO")</f>
        <v/>
      </c>
      <c r="I218" s="9">
        <f>H218-SUM(B218:G218)</f>
        <v/>
      </c>
      <c r="J218" s="4">
        <f>SUMIFS(df_blueme_sem_parcelamento!E:E,df_blueme_sem_parcelamento!H:H,Conciliacao!A218)*(-1)</f>
        <v/>
      </c>
      <c r="K218" s="4">
        <f>SUMIFS(df_blueme_com_parcelamento!J:J,df_blueme_com_parcelamento!M:M,Conciliacao!A218)*(-1)</f>
        <v/>
      </c>
      <c r="L218" s="4">
        <f>SUMIFS(df_mutuos!N:N,df_mutuos!B:B,Conciliacao!A218)*(-1)</f>
        <v/>
      </c>
      <c r="M218" s="8">
        <f>SUMIFS(df_bloqueios_judiciais!G:G,df_bloqueios_judiciais!D:D,Conciliacao!A218,df_bloqueios_judiciais!G:G,"&lt;0")</f>
        <v/>
      </c>
      <c r="N218" s="10">
        <f>SUMIFS(df_extratos!I:I,df_extratos!F:F,Conciliacao!BE218,df_extratos!G:G,"DEBITO")+SUMIFS(df_extratos!I:I,df_extratos!F:F,Conciliacao!A218,df_extratos!G:G,"DEBITO")+SUMIFS(df_extratos!I:I,df_extratos!F:F,Conciliacao!BF218,df_extratos!G:G,"DEBITO")+SUMIFS(df_extratos!I:I,df_extratos!F:F,Conciliacao!BG218,df_extratos!G:G,"DEBITO")+SUMIFS(df_extratos!I:I,df_extratos!F:F,Conciliacao!BH218,df_extratos!G:G,"DEBITO")</f>
        <v/>
      </c>
      <c r="O218" s="11">
        <f>N218-SUM(J218:M218)</f>
        <v/>
      </c>
      <c r="P218" s="25">
        <f>SUMIFS(df_ajustes_conciliaco!D:D,df_ajustes_conciliaco!C:C,Conciliacao!A218)</f>
        <v/>
      </c>
      <c r="Q218" s="22">
        <f>O218+I218-P218</f>
        <v/>
      </c>
      <c r="BE218" s="20" t="n">
        <v>45874.5</v>
      </c>
      <c r="BF218" s="20" t="n">
        <v>45874.125</v>
      </c>
      <c r="BG218" s="20" t="n">
        <v>45874.54166666666</v>
      </c>
      <c r="BH218" s="20" t="n">
        <v>45874.625</v>
      </c>
    </row>
    <row r="219">
      <c r="A219" s="5">
        <f>A218+1</f>
        <v/>
      </c>
      <c r="B219" s="3">
        <f>-SUMIFS(df_extrato_zig!G:G,df_extrato_zig!E:E,Conciliacao!A219,df_extrato_zig!D:D,"Saque")-SUMIFS(df_extrato_zig!G:G,df_extrato_zig!E:E,Conciliacao!A219,df_extrato_zig!D:D,"Antecipação")</f>
        <v/>
      </c>
      <c r="C219" s="3">
        <f>SUMIFS(df_extrato_zig!E:E,df_extrato_zig!L:L,Conciliacao!A219,df_extrato_zig!F:F,"DINHEIRO")</f>
        <v/>
      </c>
      <c r="D219" s="3">
        <f>SUMIFS(view_parc_agrup!H:H,view_parc_agrup!G:G,Conciliacao!A219)</f>
        <v/>
      </c>
      <c r="E219" s="3">
        <f>SUMIFS(df_eventos!F:F,df_eventos!H:H,Conciliacao!A219)</f>
        <v/>
      </c>
      <c r="F219" s="3">
        <f>SUMIFS(df_mutuos!M:M,df_mutuos!B:B,Conciliacao!A219)</f>
        <v/>
      </c>
      <c r="G219" s="6">
        <f>SUMIFS(df_bloqueios_judiciais!G:G,df_bloqueios_judiciais!D:D,Conciliacao!A219,df_bloqueios_judiciais!G:G,"&gt;0")</f>
        <v/>
      </c>
      <c r="H219" s="7">
        <f>SUMIFS(df_extratos!I:I,df_extratos!F:F,Conciliacao!BE219,df_extratos!G:G,"CREDITO")+SUMIFS(df_extratos!I:I,df_extratos!F:F,Conciliacao!A219,df_extratos!G:G,"CREDITO")+SUMIFS(df_extratos!I:I,df_extratos!F:F,Conciliacao!BF219,df_extratos!G:G,"CREDITO")+SUMIFS(df_extratos!I:I,df_extratos!F:F,Conciliacao!BG219,df_extratos!G:G,"CREDITO")+SUMIFS(df_extratos!I:I,df_extratos!F:F,Conciliacao!BH219,df_extratos!G:G,"CREDITO")</f>
        <v/>
      </c>
      <c r="I219" s="9">
        <f>H219-SUM(B219:G219)</f>
        <v/>
      </c>
      <c r="J219" s="4">
        <f>SUMIFS(df_blueme_sem_parcelamento!E:E,df_blueme_sem_parcelamento!H:H,Conciliacao!A219)*(-1)</f>
        <v/>
      </c>
      <c r="K219" s="4">
        <f>SUMIFS(df_blueme_com_parcelamento!J:J,df_blueme_com_parcelamento!M:M,Conciliacao!A219)*(-1)</f>
        <v/>
      </c>
      <c r="L219" s="4">
        <f>SUMIFS(df_mutuos!N:N,df_mutuos!B:B,Conciliacao!A219)*(-1)</f>
        <v/>
      </c>
      <c r="M219" s="8">
        <f>SUMIFS(df_bloqueios_judiciais!G:G,df_bloqueios_judiciais!D:D,Conciliacao!A219,df_bloqueios_judiciais!G:G,"&lt;0")</f>
        <v/>
      </c>
      <c r="N219" s="10">
        <f>SUMIFS(df_extratos!I:I,df_extratos!F:F,Conciliacao!BE219,df_extratos!G:G,"DEBITO")+SUMIFS(df_extratos!I:I,df_extratos!F:F,Conciliacao!A219,df_extratos!G:G,"DEBITO")+SUMIFS(df_extratos!I:I,df_extratos!F:F,Conciliacao!BF219,df_extratos!G:G,"DEBITO")+SUMIFS(df_extratos!I:I,df_extratos!F:F,Conciliacao!BG219,df_extratos!G:G,"DEBITO")+SUMIFS(df_extratos!I:I,df_extratos!F:F,Conciliacao!BH219,df_extratos!G:G,"DEBITO")</f>
        <v/>
      </c>
      <c r="O219" s="11">
        <f>N219-SUM(J219:M219)</f>
        <v/>
      </c>
      <c r="P219" s="25">
        <f>SUMIFS(df_ajustes_conciliaco!D:D,df_ajustes_conciliaco!C:C,Conciliacao!A219)</f>
        <v/>
      </c>
      <c r="Q219" s="22">
        <f>O219+I219-P219</f>
        <v/>
      </c>
      <c r="BE219" s="20" t="n">
        <v>45875.5</v>
      </c>
      <c r="BF219" s="20" t="n">
        <v>45875.125</v>
      </c>
      <c r="BG219" s="20" t="n">
        <v>45875.54166666666</v>
      </c>
      <c r="BH219" s="20" t="n">
        <v>45875.625</v>
      </c>
    </row>
    <row r="220">
      <c r="A220" s="5">
        <f>A219+1</f>
        <v/>
      </c>
      <c r="B220" s="3">
        <f>-SUMIFS(df_extrato_zig!G:G,df_extrato_zig!E:E,Conciliacao!A220,df_extrato_zig!D:D,"Saque")-SUMIFS(df_extrato_zig!G:G,df_extrato_zig!E:E,Conciliacao!A220,df_extrato_zig!D:D,"Antecipação")</f>
        <v/>
      </c>
      <c r="C220" s="3">
        <f>SUMIFS(df_extrato_zig!E:E,df_extrato_zig!L:L,Conciliacao!A220,df_extrato_zig!F:F,"DINHEIRO")</f>
        <v/>
      </c>
      <c r="D220" s="3">
        <f>SUMIFS(view_parc_agrup!H:H,view_parc_agrup!G:G,Conciliacao!A220)</f>
        <v/>
      </c>
      <c r="E220" s="3">
        <f>SUMIFS(df_eventos!F:F,df_eventos!H:H,Conciliacao!A220)</f>
        <v/>
      </c>
      <c r="F220" s="3">
        <f>SUMIFS(df_mutuos!M:M,df_mutuos!B:B,Conciliacao!A220)</f>
        <v/>
      </c>
      <c r="G220" s="6">
        <f>SUMIFS(df_bloqueios_judiciais!G:G,df_bloqueios_judiciais!D:D,Conciliacao!A220,df_bloqueios_judiciais!G:G,"&gt;0")</f>
        <v/>
      </c>
      <c r="H220" s="7">
        <f>SUMIFS(df_extratos!I:I,df_extratos!F:F,Conciliacao!BE220,df_extratos!G:G,"CREDITO")+SUMIFS(df_extratos!I:I,df_extratos!F:F,Conciliacao!A220,df_extratos!G:G,"CREDITO")+SUMIFS(df_extratos!I:I,df_extratos!F:F,Conciliacao!BF220,df_extratos!G:G,"CREDITO")+SUMIFS(df_extratos!I:I,df_extratos!F:F,Conciliacao!BG220,df_extratos!G:G,"CREDITO")+SUMIFS(df_extratos!I:I,df_extratos!F:F,Conciliacao!BH220,df_extratos!G:G,"CREDITO")</f>
        <v/>
      </c>
      <c r="I220" s="9">
        <f>H220-SUM(B220:G220)</f>
        <v/>
      </c>
      <c r="J220" s="4">
        <f>SUMIFS(df_blueme_sem_parcelamento!E:E,df_blueme_sem_parcelamento!H:H,Conciliacao!A220)*(-1)</f>
        <v/>
      </c>
      <c r="K220" s="4">
        <f>SUMIFS(df_blueme_com_parcelamento!J:J,df_blueme_com_parcelamento!M:M,Conciliacao!A220)*(-1)</f>
        <v/>
      </c>
      <c r="L220" s="4">
        <f>SUMIFS(df_mutuos!N:N,df_mutuos!B:B,Conciliacao!A220)*(-1)</f>
        <v/>
      </c>
      <c r="M220" s="8">
        <f>SUMIFS(df_bloqueios_judiciais!G:G,df_bloqueios_judiciais!D:D,Conciliacao!A220,df_bloqueios_judiciais!G:G,"&lt;0")</f>
        <v/>
      </c>
      <c r="N220" s="10">
        <f>SUMIFS(df_extratos!I:I,df_extratos!F:F,Conciliacao!BE220,df_extratos!G:G,"DEBITO")+SUMIFS(df_extratos!I:I,df_extratos!F:F,Conciliacao!A220,df_extratos!G:G,"DEBITO")+SUMIFS(df_extratos!I:I,df_extratos!F:F,Conciliacao!BF220,df_extratos!G:G,"DEBITO")+SUMIFS(df_extratos!I:I,df_extratos!F:F,Conciliacao!BG220,df_extratos!G:G,"DEBITO")+SUMIFS(df_extratos!I:I,df_extratos!F:F,Conciliacao!BH220,df_extratos!G:G,"DEBITO")</f>
        <v/>
      </c>
      <c r="O220" s="11">
        <f>N220-SUM(J220:M220)</f>
        <v/>
      </c>
      <c r="P220" s="25">
        <f>SUMIFS(df_ajustes_conciliaco!D:D,df_ajustes_conciliaco!C:C,Conciliacao!A220)</f>
        <v/>
      </c>
      <c r="Q220" s="22">
        <f>O220+I220-P220</f>
        <v/>
      </c>
      <c r="BE220" s="20" t="n">
        <v>45876.5</v>
      </c>
      <c r="BF220" s="20" t="n">
        <v>45876.125</v>
      </c>
      <c r="BG220" s="20" t="n">
        <v>45876.54166666666</v>
      </c>
      <c r="BH220" s="20" t="n">
        <v>45876.625</v>
      </c>
    </row>
    <row r="221">
      <c r="A221" s="5">
        <f>A220+1</f>
        <v/>
      </c>
      <c r="B221" s="3">
        <f>-SUMIFS(df_extrato_zig!G:G,df_extrato_zig!E:E,Conciliacao!A221,df_extrato_zig!D:D,"Saque")-SUMIFS(df_extrato_zig!G:G,df_extrato_zig!E:E,Conciliacao!A221,df_extrato_zig!D:D,"Antecipação")</f>
        <v/>
      </c>
      <c r="C221" s="3">
        <f>SUMIFS(df_extrato_zig!E:E,df_extrato_zig!L:L,Conciliacao!A221,df_extrato_zig!F:F,"DINHEIRO")</f>
        <v/>
      </c>
      <c r="D221" s="3">
        <f>SUMIFS(view_parc_agrup!H:H,view_parc_agrup!G:G,Conciliacao!A221)</f>
        <v/>
      </c>
      <c r="E221" s="3">
        <f>SUMIFS(df_eventos!F:F,df_eventos!H:H,Conciliacao!A221)</f>
        <v/>
      </c>
      <c r="F221" s="3">
        <f>SUMIFS(df_mutuos!M:M,df_mutuos!B:B,Conciliacao!A221)</f>
        <v/>
      </c>
      <c r="G221" s="6">
        <f>SUMIFS(df_bloqueios_judiciais!G:G,df_bloqueios_judiciais!D:D,Conciliacao!A221,df_bloqueios_judiciais!G:G,"&gt;0")</f>
        <v/>
      </c>
      <c r="H221" s="7">
        <f>SUMIFS(df_extratos!I:I,df_extratos!F:F,Conciliacao!BE221,df_extratos!G:G,"CREDITO")+SUMIFS(df_extratos!I:I,df_extratos!F:F,Conciliacao!A221,df_extratos!G:G,"CREDITO")+SUMIFS(df_extratos!I:I,df_extratos!F:F,Conciliacao!BF221,df_extratos!G:G,"CREDITO")+SUMIFS(df_extratos!I:I,df_extratos!F:F,Conciliacao!BG221,df_extratos!G:G,"CREDITO")+SUMIFS(df_extratos!I:I,df_extratos!F:F,Conciliacao!BH221,df_extratos!G:G,"CREDITO")</f>
        <v/>
      </c>
      <c r="I221" s="9">
        <f>H221-SUM(B221:G221)</f>
        <v/>
      </c>
      <c r="J221" s="4">
        <f>SUMIFS(df_blueme_sem_parcelamento!E:E,df_blueme_sem_parcelamento!H:H,Conciliacao!A221)*(-1)</f>
        <v/>
      </c>
      <c r="K221" s="4">
        <f>SUMIFS(df_blueme_com_parcelamento!J:J,df_blueme_com_parcelamento!M:M,Conciliacao!A221)*(-1)</f>
        <v/>
      </c>
      <c r="L221" s="4">
        <f>SUMIFS(df_mutuos!N:N,df_mutuos!B:B,Conciliacao!A221)*(-1)</f>
        <v/>
      </c>
      <c r="M221" s="8">
        <f>SUMIFS(df_bloqueios_judiciais!G:G,df_bloqueios_judiciais!D:D,Conciliacao!A221,df_bloqueios_judiciais!G:G,"&lt;0")</f>
        <v/>
      </c>
      <c r="N221" s="10">
        <f>SUMIFS(df_extratos!I:I,df_extratos!F:F,Conciliacao!BE221,df_extratos!G:G,"DEBITO")+SUMIFS(df_extratos!I:I,df_extratos!F:F,Conciliacao!A221,df_extratos!G:G,"DEBITO")+SUMIFS(df_extratos!I:I,df_extratos!F:F,Conciliacao!BF221,df_extratos!G:G,"DEBITO")+SUMIFS(df_extratos!I:I,df_extratos!F:F,Conciliacao!BG221,df_extratos!G:G,"DEBITO")+SUMIFS(df_extratos!I:I,df_extratos!F:F,Conciliacao!BH221,df_extratos!G:G,"DEBITO")</f>
        <v/>
      </c>
      <c r="O221" s="11">
        <f>N221-SUM(J221:M221)</f>
        <v/>
      </c>
      <c r="P221" s="25">
        <f>SUMIFS(df_ajustes_conciliaco!D:D,df_ajustes_conciliaco!C:C,Conciliacao!A221)</f>
        <v/>
      </c>
      <c r="Q221" s="22">
        <f>O221+I221-P221</f>
        <v/>
      </c>
      <c r="BE221" s="20" t="n">
        <v>45877.5</v>
      </c>
      <c r="BF221" s="20" t="n">
        <v>45877.125</v>
      </c>
      <c r="BG221" s="20" t="n">
        <v>45877.54166666666</v>
      </c>
      <c r="BH221" s="20" t="n">
        <v>45877.625</v>
      </c>
    </row>
    <row r="222">
      <c r="A222" s="5">
        <f>A221+1</f>
        <v/>
      </c>
      <c r="B222" s="3">
        <f>-SUMIFS(df_extrato_zig!G:G,df_extrato_zig!E:E,Conciliacao!A222,df_extrato_zig!D:D,"Saque")-SUMIFS(df_extrato_zig!G:G,df_extrato_zig!E:E,Conciliacao!A222,df_extrato_zig!D:D,"Antecipação")</f>
        <v/>
      </c>
      <c r="C222" s="3">
        <f>SUMIFS(df_extrato_zig!E:E,df_extrato_zig!L:L,Conciliacao!A222,df_extrato_zig!F:F,"DINHEIRO")</f>
        <v/>
      </c>
      <c r="D222" s="3">
        <f>SUMIFS(view_parc_agrup!H:H,view_parc_agrup!G:G,Conciliacao!A222)</f>
        <v/>
      </c>
      <c r="E222" s="3">
        <f>SUMIFS(df_eventos!F:F,df_eventos!H:H,Conciliacao!A222)</f>
        <v/>
      </c>
      <c r="F222" s="3">
        <f>SUMIFS(df_mutuos!M:M,df_mutuos!B:B,Conciliacao!A222)</f>
        <v/>
      </c>
      <c r="G222" s="6">
        <f>SUMIFS(df_bloqueios_judiciais!G:G,df_bloqueios_judiciais!D:D,Conciliacao!A222,df_bloqueios_judiciais!G:G,"&gt;0")</f>
        <v/>
      </c>
      <c r="H222" s="7">
        <f>SUMIFS(df_extratos!I:I,df_extratos!F:F,Conciliacao!BE222,df_extratos!G:G,"CREDITO")+SUMIFS(df_extratos!I:I,df_extratos!F:F,Conciliacao!A222,df_extratos!G:G,"CREDITO")+SUMIFS(df_extratos!I:I,df_extratos!F:F,Conciliacao!BF222,df_extratos!G:G,"CREDITO")+SUMIFS(df_extratos!I:I,df_extratos!F:F,Conciliacao!BG222,df_extratos!G:G,"CREDITO")+SUMIFS(df_extratos!I:I,df_extratos!F:F,Conciliacao!BH222,df_extratos!G:G,"CREDITO")</f>
        <v/>
      </c>
      <c r="I222" s="9">
        <f>H222-SUM(B222:G222)</f>
        <v/>
      </c>
      <c r="J222" s="4">
        <f>SUMIFS(df_blueme_sem_parcelamento!E:E,df_blueme_sem_parcelamento!H:H,Conciliacao!A222)*(-1)</f>
        <v/>
      </c>
      <c r="K222" s="4">
        <f>SUMIFS(df_blueme_com_parcelamento!J:J,df_blueme_com_parcelamento!M:M,Conciliacao!A222)*(-1)</f>
        <v/>
      </c>
      <c r="L222" s="4">
        <f>SUMIFS(df_mutuos!N:N,df_mutuos!B:B,Conciliacao!A222)*(-1)</f>
        <v/>
      </c>
      <c r="M222" s="8">
        <f>SUMIFS(df_bloqueios_judiciais!G:G,df_bloqueios_judiciais!D:D,Conciliacao!A222,df_bloqueios_judiciais!G:G,"&lt;0")</f>
        <v/>
      </c>
      <c r="N222" s="10">
        <f>SUMIFS(df_extratos!I:I,df_extratos!F:F,Conciliacao!BE222,df_extratos!G:G,"DEBITO")+SUMIFS(df_extratos!I:I,df_extratos!F:F,Conciliacao!A222,df_extratos!G:G,"DEBITO")+SUMIFS(df_extratos!I:I,df_extratos!F:F,Conciliacao!BF222,df_extratos!G:G,"DEBITO")+SUMIFS(df_extratos!I:I,df_extratos!F:F,Conciliacao!BG222,df_extratos!G:G,"DEBITO")+SUMIFS(df_extratos!I:I,df_extratos!F:F,Conciliacao!BH222,df_extratos!G:G,"DEBITO")</f>
        <v/>
      </c>
      <c r="O222" s="11">
        <f>N222-SUM(J222:M222)</f>
        <v/>
      </c>
      <c r="P222" s="25">
        <f>SUMIFS(df_ajustes_conciliaco!D:D,df_ajustes_conciliaco!C:C,Conciliacao!A222)</f>
        <v/>
      </c>
      <c r="Q222" s="22">
        <f>O222+I222-P222</f>
        <v/>
      </c>
      <c r="BE222" s="20" t="n">
        <v>45878.5</v>
      </c>
      <c r="BF222" s="20" t="n">
        <v>45878.125</v>
      </c>
      <c r="BG222" s="20" t="n">
        <v>45878.54166666666</v>
      </c>
      <c r="BH222" s="20" t="n">
        <v>45878.625</v>
      </c>
    </row>
    <row r="223">
      <c r="A223" s="5">
        <f>A222+1</f>
        <v/>
      </c>
      <c r="B223" s="3">
        <f>-SUMIFS(df_extrato_zig!G:G,df_extrato_zig!E:E,Conciliacao!A223,df_extrato_zig!D:D,"Saque")-SUMIFS(df_extrato_zig!G:G,df_extrato_zig!E:E,Conciliacao!A223,df_extrato_zig!D:D,"Antecipação")</f>
        <v/>
      </c>
      <c r="C223" s="3">
        <f>SUMIFS(df_extrato_zig!E:E,df_extrato_zig!L:L,Conciliacao!A223,df_extrato_zig!F:F,"DINHEIRO")</f>
        <v/>
      </c>
      <c r="D223" s="3">
        <f>SUMIFS(view_parc_agrup!H:H,view_parc_agrup!G:G,Conciliacao!A223)</f>
        <v/>
      </c>
      <c r="E223" s="3">
        <f>SUMIFS(df_eventos!F:F,df_eventos!H:H,Conciliacao!A223)</f>
        <v/>
      </c>
      <c r="F223" s="3">
        <f>SUMIFS(df_mutuos!M:M,df_mutuos!B:B,Conciliacao!A223)</f>
        <v/>
      </c>
      <c r="G223" s="6">
        <f>SUMIFS(df_bloqueios_judiciais!G:G,df_bloqueios_judiciais!D:D,Conciliacao!A223,df_bloqueios_judiciais!G:G,"&gt;0")</f>
        <v/>
      </c>
      <c r="H223" s="7">
        <f>SUMIFS(df_extratos!I:I,df_extratos!F:F,Conciliacao!BE223,df_extratos!G:G,"CREDITO")+SUMIFS(df_extratos!I:I,df_extratos!F:F,Conciliacao!A223,df_extratos!G:G,"CREDITO")+SUMIFS(df_extratos!I:I,df_extratos!F:F,Conciliacao!BF223,df_extratos!G:G,"CREDITO")+SUMIFS(df_extratos!I:I,df_extratos!F:F,Conciliacao!BG223,df_extratos!G:G,"CREDITO")+SUMIFS(df_extratos!I:I,df_extratos!F:F,Conciliacao!BH223,df_extratos!G:G,"CREDITO")</f>
        <v/>
      </c>
      <c r="I223" s="9">
        <f>H223-SUM(B223:G223)</f>
        <v/>
      </c>
      <c r="J223" s="4">
        <f>SUMIFS(df_blueme_sem_parcelamento!E:E,df_blueme_sem_parcelamento!H:H,Conciliacao!A223)*(-1)</f>
        <v/>
      </c>
      <c r="K223" s="4">
        <f>SUMIFS(df_blueme_com_parcelamento!J:J,df_blueme_com_parcelamento!M:M,Conciliacao!A223)*(-1)</f>
        <v/>
      </c>
      <c r="L223" s="4">
        <f>SUMIFS(df_mutuos!N:N,df_mutuos!B:B,Conciliacao!A223)*(-1)</f>
        <v/>
      </c>
      <c r="M223" s="8">
        <f>SUMIFS(df_bloqueios_judiciais!G:G,df_bloqueios_judiciais!D:D,Conciliacao!A223,df_bloqueios_judiciais!G:G,"&lt;0")</f>
        <v/>
      </c>
      <c r="N223" s="10">
        <f>SUMIFS(df_extratos!I:I,df_extratos!F:F,Conciliacao!BE223,df_extratos!G:G,"DEBITO")+SUMIFS(df_extratos!I:I,df_extratos!F:F,Conciliacao!A223,df_extratos!G:G,"DEBITO")+SUMIFS(df_extratos!I:I,df_extratos!F:F,Conciliacao!BF223,df_extratos!G:G,"DEBITO")+SUMIFS(df_extratos!I:I,df_extratos!F:F,Conciliacao!BG223,df_extratos!G:G,"DEBITO")+SUMIFS(df_extratos!I:I,df_extratos!F:F,Conciliacao!BH223,df_extratos!G:G,"DEBITO")</f>
        <v/>
      </c>
      <c r="O223" s="11">
        <f>N223-SUM(J223:M223)</f>
        <v/>
      </c>
      <c r="P223" s="25">
        <f>SUMIFS(df_ajustes_conciliaco!D:D,df_ajustes_conciliaco!C:C,Conciliacao!A223)</f>
        <v/>
      </c>
      <c r="Q223" s="22">
        <f>O223+I223-P223</f>
        <v/>
      </c>
      <c r="BE223" s="20" t="n">
        <v>45879.5</v>
      </c>
      <c r="BF223" s="20" t="n">
        <v>45879.125</v>
      </c>
      <c r="BG223" s="20" t="n">
        <v>45879.54166666666</v>
      </c>
      <c r="BH223" s="20" t="n">
        <v>45879.625</v>
      </c>
    </row>
    <row r="224">
      <c r="A224" s="5">
        <f>A223+1</f>
        <v/>
      </c>
      <c r="B224" s="3">
        <f>-SUMIFS(df_extrato_zig!G:G,df_extrato_zig!E:E,Conciliacao!A224,df_extrato_zig!D:D,"Saque")-SUMIFS(df_extrato_zig!G:G,df_extrato_zig!E:E,Conciliacao!A224,df_extrato_zig!D:D,"Antecipação")</f>
        <v/>
      </c>
      <c r="C224" s="3">
        <f>SUMIFS(df_extrato_zig!E:E,df_extrato_zig!L:L,Conciliacao!A224,df_extrato_zig!F:F,"DINHEIRO")</f>
        <v/>
      </c>
      <c r="D224" s="3">
        <f>SUMIFS(view_parc_agrup!H:H,view_parc_agrup!G:G,Conciliacao!A224)</f>
        <v/>
      </c>
      <c r="E224" s="3">
        <f>SUMIFS(df_eventos!F:F,df_eventos!H:H,Conciliacao!A224)</f>
        <v/>
      </c>
      <c r="F224" s="3">
        <f>SUMIFS(df_mutuos!M:M,df_mutuos!B:B,Conciliacao!A224)</f>
        <v/>
      </c>
      <c r="G224" s="6">
        <f>SUMIFS(df_bloqueios_judiciais!G:G,df_bloqueios_judiciais!D:D,Conciliacao!A224,df_bloqueios_judiciais!G:G,"&gt;0")</f>
        <v/>
      </c>
      <c r="H224" s="7">
        <f>SUMIFS(df_extratos!I:I,df_extratos!F:F,Conciliacao!BE224,df_extratos!G:G,"CREDITO")+SUMIFS(df_extratos!I:I,df_extratos!F:F,Conciliacao!A224,df_extratos!G:G,"CREDITO")+SUMIFS(df_extratos!I:I,df_extratos!F:F,Conciliacao!BF224,df_extratos!G:G,"CREDITO")+SUMIFS(df_extratos!I:I,df_extratos!F:F,Conciliacao!BG224,df_extratos!G:G,"CREDITO")+SUMIFS(df_extratos!I:I,df_extratos!F:F,Conciliacao!BH224,df_extratos!G:G,"CREDITO")</f>
        <v/>
      </c>
      <c r="I224" s="9">
        <f>H224-SUM(B224:G224)</f>
        <v/>
      </c>
      <c r="J224" s="4">
        <f>SUMIFS(df_blueme_sem_parcelamento!E:E,df_blueme_sem_parcelamento!H:H,Conciliacao!A224)*(-1)</f>
        <v/>
      </c>
      <c r="K224" s="4">
        <f>SUMIFS(df_blueme_com_parcelamento!J:J,df_blueme_com_parcelamento!M:M,Conciliacao!A224)*(-1)</f>
        <v/>
      </c>
      <c r="L224" s="4">
        <f>SUMIFS(df_mutuos!N:N,df_mutuos!B:B,Conciliacao!A224)*(-1)</f>
        <v/>
      </c>
      <c r="M224" s="8">
        <f>SUMIFS(df_bloqueios_judiciais!G:G,df_bloqueios_judiciais!D:D,Conciliacao!A224,df_bloqueios_judiciais!G:G,"&lt;0")</f>
        <v/>
      </c>
      <c r="N224" s="10">
        <f>SUMIFS(df_extratos!I:I,df_extratos!F:F,Conciliacao!BE224,df_extratos!G:G,"DEBITO")+SUMIFS(df_extratos!I:I,df_extratos!F:F,Conciliacao!A224,df_extratos!G:G,"DEBITO")+SUMIFS(df_extratos!I:I,df_extratos!F:F,Conciliacao!BF224,df_extratos!G:G,"DEBITO")+SUMIFS(df_extratos!I:I,df_extratos!F:F,Conciliacao!BG224,df_extratos!G:G,"DEBITO")+SUMIFS(df_extratos!I:I,df_extratos!F:F,Conciliacao!BH224,df_extratos!G:G,"DEBITO")</f>
        <v/>
      </c>
      <c r="O224" s="11">
        <f>N224-SUM(J224:M224)</f>
        <v/>
      </c>
      <c r="P224" s="25">
        <f>SUMIFS(df_ajustes_conciliaco!D:D,df_ajustes_conciliaco!C:C,Conciliacao!A224)</f>
        <v/>
      </c>
      <c r="Q224" s="22">
        <f>O224+I224-P224</f>
        <v/>
      </c>
      <c r="BE224" s="20" t="n">
        <v>45880.5</v>
      </c>
      <c r="BF224" s="20" t="n">
        <v>45880.125</v>
      </c>
      <c r="BG224" s="20" t="n">
        <v>45880.54166666666</v>
      </c>
      <c r="BH224" s="20" t="n">
        <v>45880.625</v>
      </c>
    </row>
    <row r="225">
      <c r="A225" s="5">
        <f>A224+1</f>
        <v/>
      </c>
      <c r="B225" s="3">
        <f>-SUMIFS(df_extrato_zig!G:G,df_extrato_zig!E:E,Conciliacao!A225,df_extrato_zig!D:D,"Saque")-SUMIFS(df_extrato_zig!G:G,df_extrato_zig!E:E,Conciliacao!A225,df_extrato_zig!D:D,"Antecipação")</f>
        <v/>
      </c>
      <c r="C225" s="3">
        <f>SUMIFS(df_extrato_zig!E:E,df_extrato_zig!L:L,Conciliacao!A225,df_extrato_zig!F:F,"DINHEIRO")</f>
        <v/>
      </c>
      <c r="D225" s="3">
        <f>SUMIFS(view_parc_agrup!H:H,view_parc_agrup!G:G,Conciliacao!A225)</f>
        <v/>
      </c>
      <c r="E225" s="3">
        <f>SUMIFS(df_eventos!F:F,df_eventos!H:H,Conciliacao!A225)</f>
        <v/>
      </c>
      <c r="F225" s="3">
        <f>SUMIFS(df_mutuos!M:M,df_mutuos!B:B,Conciliacao!A225)</f>
        <v/>
      </c>
      <c r="G225" s="6">
        <f>SUMIFS(df_bloqueios_judiciais!G:G,df_bloqueios_judiciais!D:D,Conciliacao!A225,df_bloqueios_judiciais!G:G,"&gt;0")</f>
        <v/>
      </c>
      <c r="H225" s="7">
        <f>SUMIFS(df_extratos!I:I,df_extratos!F:F,Conciliacao!BE225,df_extratos!G:G,"CREDITO")+SUMIFS(df_extratos!I:I,df_extratos!F:F,Conciliacao!A225,df_extratos!G:G,"CREDITO")+SUMIFS(df_extratos!I:I,df_extratos!F:F,Conciliacao!BF225,df_extratos!G:G,"CREDITO")+SUMIFS(df_extratos!I:I,df_extratos!F:F,Conciliacao!BG225,df_extratos!G:G,"CREDITO")+SUMIFS(df_extratos!I:I,df_extratos!F:F,Conciliacao!BH225,df_extratos!G:G,"CREDITO")</f>
        <v/>
      </c>
      <c r="I225" s="9">
        <f>H225-SUM(B225:G225)</f>
        <v/>
      </c>
      <c r="J225" s="4">
        <f>SUMIFS(df_blueme_sem_parcelamento!E:E,df_blueme_sem_parcelamento!H:H,Conciliacao!A225)*(-1)</f>
        <v/>
      </c>
      <c r="K225" s="4">
        <f>SUMIFS(df_blueme_com_parcelamento!J:J,df_blueme_com_parcelamento!M:M,Conciliacao!A225)*(-1)</f>
        <v/>
      </c>
      <c r="L225" s="4">
        <f>SUMIFS(df_mutuos!N:N,df_mutuos!B:B,Conciliacao!A225)*(-1)</f>
        <v/>
      </c>
      <c r="M225" s="8">
        <f>SUMIFS(df_bloqueios_judiciais!G:G,df_bloqueios_judiciais!D:D,Conciliacao!A225,df_bloqueios_judiciais!G:G,"&lt;0")</f>
        <v/>
      </c>
      <c r="N225" s="10">
        <f>SUMIFS(df_extratos!I:I,df_extratos!F:F,Conciliacao!BE225,df_extratos!G:G,"DEBITO")+SUMIFS(df_extratos!I:I,df_extratos!F:F,Conciliacao!A225,df_extratos!G:G,"DEBITO")+SUMIFS(df_extratos!I:I,df_extratos!F:F,Conciliacao!BF225,df_extratos!G:G,"DEBITO")+SUMIFS(df_extratos!I:I,df_extratos!F:F,Conciliacao!BG225,df_extratos!G:G,"DEBITO")+SUMIFS(df_extratos!I:I,df_extratos!F:F,Conciliacao!BH225,df_extratos!G:G,"DEBITO")</f>
        <v/>
      </c>
      <c r="O225" s="11">
        <f>N225-SUM(J225:M225)</f>
        <v/>
      </c>
      <c r="P225" s="25">
        <f>SUMIFS(df_ajustes_conciliaco!D:D,df_ajustes_conciliaco!C:C,Conciliacao!A225)</f>
        <v/>
      </c>
      <c r="Q225" s="22">
        <f>O225+I225-P225</f>
        <v/>
      </c>
      <c r="BE225" s="20" t="n">
        <v>45881.5</v>
      </c>
      <c r="BF225" s="20" t="n">
        <v>45881.125</v>
      </c>
      <c r="BG225" s="20" t="n">
        <v>45881.54166666666</v>
      </c>
      <c r="BH225" s="20" t="n">
        <v>45881.625</v>
      </c>
    </row>
    <row r="226">
      <c r="A226" s="5">
        <f>A225+1</f>
        <v/>
      </c>
      <c r="B226" s="3">
        <f>-SUMIFS(df_extrato_zig!G:G,df_extrato_zig!E:E,Conciliacao!A226,df_extrato_zig!D:D,"Saque")-SUMIFS(df_extrato_zig!G:G,df_extrato_zig!E:E,Conciliacao!A226,df_extrato_zig!D:D,"Antecipação")</f>
        <v/>
      </c>
      <c r="C226" s="3">
        <f>SUMIFS(df_extrato_zig!E:E,df_extrato_zig!L:L,Conciliacao!A226,df_extrato_zig!F:F,"DINHEIRO")</f>
        <v/>
      </c>
      <c r="D226" s="3">
        <f>SUMIFS(view_parc_agrup!H:H,view_parc_agrup!G:G,Conciliacao!A226)</f>
        <v/>
      </c>
      <c r="E226" s="3">
        <f>SUMIFS(df_eventos!F:F,df_eventos!H:H,Conciliacao!A226)</f>
        <v/>
      </c>
      <c r="F226" s="3">
        <f>SUMIFS(df_mutuos!M:M,df_mutuos!B:B,Conciliacao!A226)</f>
        <v/>
      </c>
      <c r="G226" s="6">
        <f>SUMIFS(df_bloqueios_judiciais!G:G,df_bloqueios_judiciais!D:D,Conciliacao!A226,df_bloqueios_judiciais!G:G,"&gt;0")</f>
        <v/>
      </c>
      <c r="H226" s="7">
        <f>SUMIFS(df_extratos!I:I,df_extratos!F:F,Conciliacao!BE226,df_extratos!G:G,"CREDITO")+SUMIFS(df_extratos!I:I,df_extratos!F:F,Conciliacao!A226,df_extratos!G:G,"CREDITO")+SUMIFS(df_extratos!I:I,df_extratos!F:F,Conciliacao!BF226,df_extratos!G:G,"CREDITO")+SUMIFS(df_extratos!I:I,df_extratos!F:F,Conciliacao!BG226,df_extratos!G:G,"CREDITO")+SUMIFS(df_extratos!I:I,df_extratos!F:F,Conciliacao!BH226,df_extratos!G:G,"CREDITO")</f>
        <v/>
      </c>
      <c r="I226" s="9">
        <f>H226-SUM(B226:G226)</f>
        <v/>
      </c>
      <c r="J226" s="4">
        <f>SUMIFS(df_blueme_sem_parcelamento!E:E,df_blueme_sem_parcelamento!H:H,Conciliacao!A226)*(-1)</f>
        <v/>
      </c>
      <c r="K226" s="4">
        <f>SUMIFS(df_blueme_com_parcelamento!J:J,df_blueme_com_parcelamento!M:M,Conciliacao!A226)*(-1)</f>
        <v/>
      </c>
      <c r="L226" s="4">
        <f>SUMIFS(df_mutuos!N:N,df_mutuos!B:B,Conciliacao!A226)*(-1)</f>
        <v/>
      </c>
      <c r="M226" s="8">
        <f>SUMIFS(df_bloqueios_judiciais!G:G,df_bloqueios_judiciais!D:D,Conciliacao!A226,df_bloqueios_judiciais!G:G,"&lt;0")</f>
        <v/>
      </c>
      <c r="N226" s="10">
        <f>SUMIFS(df_extratos!I:I,df_extratos!F:F,Conciliacao!BE226,df_extratos!G:G,"DEBITO")+SUMIFS(df_extratos!I:I,df_extratos!F:F,Conciliacao!A226,df_extratos!G:G,"DEBITO")+SUMIFS(df_extratos!I:I,df_extratos!F:F,Conciliacao!BF226,df_extratos!G:G,"DEBITO")+SUMIFS(df_extratos!I:I,df_extratos!F:F,Conciliacao!BG226,df_extratos!G:G,"DEBITO")+SUMIFS(df_extratos!I:I,df_extratos!F:F,Conciliacao!BH226,df_extratos!G:G,"DEBITO")</f>
        <v/>
      </c>
      <c r="O226" s="11">
        <f>N226-SUM(J226:M226)</f>
        <v/>
      </c>
      <c r="P226" s="25">
        <f>SUMIFS(df_ajustes_conciliaco!D:D,df_ajustes_conciliaco!C:C,Conciliacao!A226)</f>
        <v/>
      </c>
      <c r="Q226" s="22">
        <f>O226+I226-P226</f>
        <v/>
      </c>
      <c r="BE226" s="20" t="n">
        <v>45882.5</v>
      </c>
      <c r="BF226" s="20" t="n">
        <v>45882.125</v>
      </c>
      <c r="BG226" s="20" t="n">
        <v>45882.54166666666</v>
      </c>
      <c r="BH226" s="20" t="n">
        <v>45882.625</v>
      </c>
    </row>
    <row r="227">
      <c r="A227" s="5">
        <f>A226+1</f>
        <v/>
      </c>
      <c r="B227" s="3">
        <f>-SUMIFS(df_extrato_zig!G:G,df_extrato_zig!E:E,Conciliacao!A227,df_extrato_zig!D:D,"Saque")-SUMIFS(df_extrato_zig!G:G,df_extrato_zig!E:E,Conciliacao!A227,df_extrato_zig!D:D,"Antecipação")</f>
        <v/>
      </c>
      <c r="C227" s="3">
        <f>SUMIFS(df_extrato_zig!E:E,df_extrato_zig!L:L,Conciliacao!A227,df_extrato_zig!F:F,"DINHEIRO")</f>
        <v/>
      </c>
      <c r="D227" s="3">
        <f>SUMIFS(view_parc_agrup!H:H,view_parc_agrup!G:G,Conciliacao!A227)</f>
        <v/>
      </c>
      <c r="E227" s="3">
        <f>SUMIFS(df_eventos!F:F,df_eventos!H:H,Conciliacao!A227)</f>
        <v/>
      </c>
      <c r="F227" s="3">
        <f>SUMIFS(df_mutuos!M:M,df_mutuos!B:B,Conciliacao!A227)</f>
        <v/>
      </c>
      <c r="G227" s="6">
        <f>SUMIFS(df_bloqueios_judiciais!G:G,df_bloqueios_judiciais!D:D,Conciliacao!A227,df_bloqueios_judiciais!G:G,"&gt;0")</f>
        <v/>
      </c>
      <c r="H227" s="7">
        <f>SUMIFS(df_extratos!I:I,df_extratos!F:F,Conciliacao!BE227,df_extratos!G:G,"CREDITO")+SUMIFS(df_extratos!I:I,df_extratos!F:F,Conciliacao!A227,df_extratos!G:G,"CREDITO")+SUMIFS(df_extratos!I:I,df_extratos!F:F,Conciliacao!BF227,df_extratos!G:G,"CREDITO")+SUMIFS(df_extratos!I:I,df_extratos!F:F,Conciliacao!BG227,df_extratos!G:G,"CREDITO")+SUMIFS(df_extratos!I:I,df_extratos!F:F,Conciliacao!BH227,df_extratos!G:G,"CREDITO")</f>
        <v/>
      </c>
      <c r="I227" s="9">
        <f>H227-SUM(B227:G227)</f>
        <v/>
      </c>
      <c r="J227" s="4">
        <f>SUMIFS(df_blueme_sem_parcelamento!E:E,df_blueme_sem_parcelamento!H:H,Conciliacao!A227)*(-1)</f>
        <v/>
      </c>
      <c r="K227" s="4">
        <f>SUMIFS(df_blueme_com_parcelamento!J:J,df_blueme_com_parcelamento!M:M,Conciliacao!A227)*(-1)</f>
        <v/>
      </c>
      <c r="L227" s="4">
        <f>SUMIFS(df_mutuos!N:N,df_mutuos!B:B,Conciliacao!A227)*(-1)</f>
        <v/>
      </c>
      <c r="M227" s="8">
        <f>SUMIFS(df_bloqueios_judiciais!G:G,df_bloqueios_judiciais!D:D,Conciliacao!A227,df_bloqueios_judiciais!G:G,"&lt;0")</f>
        <v/>
      </c>
      <c r="N227" s="10">
        <f>SUMIFS(df_extratos!I:I,df_extratos!F:F,Conciliacao!BE227,df_extratos!G:G,"DEBITO")+SUMIFS(df_extratos!I:I,df_extratos!F:F,Conciliacao!A227,df_extratos!G:G,"DEBITO")+SUMIFS(df_extratos!I:I,df_extratos!F:F,Conciliacao!BF227,df_extratos!G:G,"DEBITO")+SUMIFS(df_extratos!I:I,df_extratos!F:F,Conciliacao!BG227,df_extratos!G:G,"DEBITO")+SUMIFS(df_extratos!I:I,df_extratos!F:F,Conciliacao!BH227,df_extratos!G:G,"DEBITO")</f>
        <v/>
      </c>
      <c r="O227" s="11">
        <f>N227-SUM(J227:M227)</f>
        <v/>
      </c>
      <c r="P227" s="25">
        <f>SUMIFS(df_ajustes_conciliaco!D:D,df_ajustes_conciliaco!C:C,Conciliacao!A227)</f>
        <v/>
      </c>
      <c r="Q227" s="22">
        <f>O227+I227-P227</f>
        <v/>
      </c>
      <c r="BE227" s="20" t="n">
        <v>45883.5</v>
      </c>
      <c r="BF227" s="20" t="n">
        <v>45883.125</v>
      </c>
      <c r="BG227" s="20" t="n">
        <v>45883.54166666666</v>
      </c>
      <c r="BH227" s="20" t="n">
        <v>45883.625</v>
      </c>
    </row>
    <row r="228">
      <c r="A228" s="5">
        <f>A227+1</f>
        <v/>
      </c>
      <c r="B228" s="3">
        <f>-SUMIFS(df_extrato_zig!G:G,df_extrato_zig!E:E,Conciliacao!A228,df_extrato_zig!D:D,"Saque")-SUMIFS(df_extrato_zig!G:G,df_extrato_zig!E:E,Conciliacao!A228,df_extrato_zig!D:D,"Antecipação")</f>
        <v/>
      </c>
      <c r="C228" s="3">
        <f>SUMIFS(df_extrato_zig!E:E,df_extrato_zig!L:L,Conciliacao!A228,df_extrato_zig!F:F,"DINHEIRO")</f>
        <v/>
      </c>
      <c r="D228" s="3">
        <f>SUMIFS(view_parc_agrup!H:H,view_parc_agrup!G:G,Conciliacao!A228)</f>
        <v/>
      </c>
      <c r="E228" s="3">
        <f>SUMIFS(df_eventos!F:F,df_eventos!H:H,Conciliacao!A228)</f>
        <v/>
      </c>
      <c r="F228" s="3">
        <f>SUMIFS(df_mutuos!M:M,df_mutuos!B:B,Conciliacao!A228)</f>
        <v/>
      </c>
      <c r="G228" s="6">
        <f>SUMIFS(df_bloqueios_judiciais!G:G,df_bloqueios_judiciais!D:D,Conciliacao!A228,df_bloqueios_judiciais!G:G,"&gt;0")</f>
        <v/>
      </c>
      <c r="H228" s="7">
        <f>SUMIFS(df_extratos!I:I,df_extratos!F:F,Conciliacao!BE228,df_extratos!G:G,"CREDITO")+SUMIFS(df_extratos!I:I,df_extratos!F:F,Conciliacao!A228,df_extratos!G:G,"CREDITO")+SUMIFS(df_extratos!I:I,df_extratos!F:F,Conciliacao!BF228,df_extratos!G:G,"CREDITO")+SUMIFS(df_extratos!I:I,df_extratos!F:F,Conciliacao!BG228,df_extratos!G:G,"CREDITO")+SUMIFS(df_extratos!I:I,df_extratos!F:F,Conciliacao!BH228,df_extratos!G:G,"CREDITO")</f>
        <v/>
      </c>
      <c r="I228" s="9">
        <f>H228-SUM(B228:G228)</f>
        <v/>
      </c>
      <c r="J228" s="4">
        <f>SUMIFS(df_blueme_sem_parcelamento!E:E,df_blueme_sem_parcelamento!H:H,Conciliacao!A228)*(-1)</f>
        <v/>
      </c>
      <c r="K228" s="4">
        <f>SUMIFS(df_blueme_com_parcelamento!J:J,df_blueme_com_parcelamento!M:M,Conciliacao!A228)*(-1)</f>
        <v/>
      </c>
      <c r="L228" s="4">
        <f>SUMIFS(df_mutuos!N:N,df_mutuos!B:B,Conciliacao!A228)*(-1)</f>
        <v/>
      </c>
      <c r="M228" s="8">
        <f>SUMIFS(df_bloqueios_judiciais!G:G,df_bloqueios_judiciais!D:D,Conciliacao!A228,df_bloqueios_judiciais!G:G,"&lt;0")</f>
        <v/>
      </c>
      <c r="N228" s="10">
        <f>SUMIFS(df_extratos!I:I,df_extratos!F:F,Conciliacao!BE228,df_extratos!G:G,"DEBITO")+SUMIFS(df_extratos!I:I,df_extratos!F:F,Conciliacao!A228,df_extratos!G:G,"DEBITO")+SUMIFS(df_extratos!I:I,df_extratos!F:F,Conciliacao!BF228,df_extratos!G:G,"DEBITO")+SUMIFS(df_extratos!I:I,df_extratos!F:F,Conciliacao!BG228,df_extratos!G:G,"DEBITO")+SUMIFS(df_extratos!I:I,df_extratos!F:F,Conciliacao!BH228,df_extratos!G:G,"DEBITO")</f>
        <v/>
      </c>
      <c r="O228" s="11">
        <f>N228-SUM(J228:M228)</f>
        <v/>
      </c>
      <c r="P228" s="25">
        <f>SUMIFS(df_ajustes_conciliaco!D:D,df_ajustes_conciliaco!C:C,Conciliacao!A228)</f>
        <v/>
      </c>
      <c r="Q228" s="22">
        <f>O228+I228-P228</f>
        <v/>
      </c>
      <c r="BE228" s="20" t="n">
        <v>45884.5</v>
      </c>
      <c r="BF228" s="20" t="n">
        <v>45884.125</v>
      </c>
      <c r="BG228" s="20" t="n">
        <v>45884.54166666666</v>
      </c>
      <c r="BH228" s="20" t="n">
        <v>45884.625</v>
      </c>
    </row>
    <row r="229">
      <c r="A229" s="5">
        <f>A228+1</f>
        <v/>
      </c>
      <c r="B229" s="3">
        <f>-SUMIFS(df_extrato_zig!G:G,df_extrato_zig!E:E,Conciliacao!A229,df_extrato_zig!D:D,"Saque")-SUMIFS(df_extrato_zig!G:G,df_extrato_zig!E:E,Conciliacao!A229,df_extrato_zig!D:D,"Antecipação")</f>
        <v/>
      </c>
      <c r="C229" s="3">
        <f>SUMIFS(df_extrato_zig!E:E,df_extrato_zig!L:L,Conciliacao!A229,df_extrato_zig!F:F,"DINHEIRO")</f>
        <v/>
      </c>
      <c r="D229" s="3">
        <f>SUMIFS(view_parc_agrup!H:H,view_parc_agrup!G:G,Conciliacao!A229)</f>
        <v/>
      </c>
      <c r="E229" s="3">
        <f>SUMIFS(df_eventos!F:F,df_eventos!H:H,Conciliacao!A229)</f>
        <v/>
      </c>
      <c r="F229" s="3">
        <f>SUMIFS(df_mutuos!M:M,df_mutuos!B:B,Conciliacao!A229)</f>
        <v/>
      </c>
      <c r="G229" s="6">
        <f>SUMIFS(df_bloqueios_judiciais!G:G,df_bloqueios_judiciais!D:D,Conciliacao!A229,df_bloqueios_judiciais!G:G,"&gt;0")</f>
        <v/>
      </c>
      <c r="H229" s="7">
        <f>SUMIFS(df_extratos!I:I,df_extratos!F:F,Conciliacao!BE229,df_extratos!G:G,"CREDITO")+SUMIFS(df_extratos!I:I,df_extratos!F:F,Conciliacao!A229,df_extratos!G:G,"CREDITO")+SUMIFS(df_extratos!I:I,df_extratos!F:F,Conciliacao!BF229,df_extratos!G:G,"CREDITO")+SUMIFS(df_extratos!I:I,df_extratos!F:F,Conciliacao!BG229,df_extratos!G:G,"CREDITO")+SUMIFS(df_extratos!I:I,df_extratos!F:F,Conciliacao!BH229,df_extratos!G:G,"CREDITO")</f>
        <v/>
      </c>
      <c r="I229" s="9">
        <f>H229-SUM(B229:G229)</f>
        <v/>
      </c>
      <c r="J229" s="4">
        <f>SUMIFS(df_blueme_sem_parcelamento!E:E,df_blueme_sem_parcelamento!H:H,Conciliacao!A229)*(-1)</f>
        <v/>
      </c>
      <c r="K229" s="4">
        <f>SUMIFS(df_blueme_com_parcelamento!J:J,df_blueme_com_parcelamento!M:M,Conciliacao!A229)*(-1)</f>
        <v/>
      </c>
      <c r="L229" s="4">
        <f>SUMIFS(df_mutuos!N:N,df_mutuos!B:B,Conciliacao!A229)*(-1)</f>
        <v/>
      </c>
      <c r="M229" s="8">
        <f>SUMIFS(df_bloqueios_judiciais!G:G,df_bloqueios_judiciais!D:D,Conciliacao!A229,df_bloqueios_judiciais!G:G,"&lt;0")</f>
        <v/>
      </c>
      <c r="N229" s="10">
        <f>SUMIFS(df_extratos!I:I,df_extratos!F:F,Conciliacao!BE229,df_extratos!G:G,"DEBITO")+SUMIFS(df_extratos!I:I,df_extratos!F:F,Conciliacao!A229,df_extratos!G:G,"DEBITO")+SUMIFS(df_extratos!I:I,df_extratos!F:F,Conciliacao!BF229,df_extratos!G:G,"DEBITO")+SUMIFS(df_extratos!I:I,df_extratos!F:F,Conciliacao!BG229,df_extratos!G:G,"DEBITO")+SUMIFS(df_extratos!I:I,df_extratos!F:F,Conciliacao!BH229,df_extratos!G:G,"DEBITO")</f>
        <v/>
      </c>
      <c r="O229" s="11">
        <f>N229-SUM(J229:M229)</f>
        <v/>
      </c>
      <c r="P229" s="25">
        <f>SUMIFS(df_ajustes_conciliaco!D:D,df_ajustes_conciliaco!C:C,Conciliacao!A229)</f>
        <v/>
      </c>
      <c r="Q229" s="22">
        <f>O229+I229-P229</f>
        <v/>
      </c>
      <c r="BE229" s="20" t="n">
        <v>45885.5</v>
      </c>
      <c r="BF229" s="20" t="n">
        <v>45885.125</v>
      </c>
      <c r="BG229" s="20" t="n">
        <v>45885.54166666666</v>
      </c>
      <c r="BH229" s="20" t="n">
        <v>45885.625</v>
      </c>
    </row>
    <row r="230">
      <c r="A230" s="5">
        <f>A229+1</f>
        <v/>
      </c>
      <c r="B230" s="3">
        <f>-SUMIFS(df_extrato_zig!G:G,df_extrato_zig!E:E,Conciliacao!A230,df_extrato_zig!D:D,"Saque")-SUMIFS(df_extrato_zig!G:G,df_extrato_zig!E:E,Conciliacao!A230,df_extrato_zig!D:D,"Antecipação")</f>
        <v/>
      </c>
      <c r="C230" s="3">
        <f>SUMIFS(df_extrato_zig!E:E,df_extrato_zig!L:L,Conciliacao!A230,df_extrato_zig!F:F,"DINHEIRO")</f>
        <v/>
      </c>
      <c r="D230" s="3">
        <f>SUMIFS(view_parc_agrup!H:H,view_parc_agrup!G:G,Conciliacao!A230)</f>
        <v/>
      </c>
      <c r="E230" s="3">
        <f>SUMIFS(df_eventos!F:F,df_eventos!H:H,Conciliacao!A230)</f>
        <v/>
      </c>
      <c r="F230" s="3">
        <f>SUMIFS(df_mutuos!M:M,df_mutuos!B:B,Conciliacao!A230)</f>
        <v/>
      </c>
      <c r="G230" s="6">
        <f>SUMIFS(df_bloqueios_judiciais!G:G,df_bloqueios_judiciais!D:D,Conciliacao!A230,df_bloqueios_judiciais!G:G,"&gt;0")</f>
        <v/>
      </c>
      <c r="H230" s="7">
        <f>SUMIFS(df_extratos!I:I,df_extratos!F:F,Conciliacao!BE230,df_extratos!G:G,"CREDITO")+SUMIFS(df_extratos!I:I,df_extratos!F:F,Conciliacao!A230,df_extratos!G:G,"CREDITO")+SUMIFS(df_extratos!I:I,df_extratos!F:F,Conciliacao!BF230,df_extratos!G:G,"CREDITO")+SUMIFS(df_extratos!I:I,df_extratos!F:F,Conciliacao!BG230,df_extratos!G:G,"CREDITO")+SUMIFS(df_extratos!I:I,df_extratos!F:F,Conciliacao!BH230,df_extratos!G:G,"CREDITO")</f>
        <v/>
      </c>
      <c r="I230" s="9">
        <f>H230-SUM(B230:G230)</f>
        <v/>
      </c>
      <c r="J230" s="4">
        <f>SUMIFS(df_blueme_sem_parcelamento!E:E,df_blueme_sem_parcelamento!H:H,Conciliacao!A230)*(-1)</f>
        <v/>
      </c>
      <c r="K230" s="4">
        <f>SUMIFS(df_blueme_com_parcelamento!J:J,df_blueme_com_parcelamento!M:M,Conciliacao!A230)*(-1)</f>
        <v/>
      </c>
      <c r="L230" s="4">
        <f>SUMIFS(df_mutuos!N:N,df_mutuos!B:B,Conciliacao!A230)*(-1)</f>
        <v/>
      </c>
      <c r="M230" s="8">
        <f>SUMIFS(df_bloqueios_judiciais!G:G,df_bloqueios_judiciais!D:D,Conciliacao!A230,df_bloqueios_judiciais!G:G,"&lt;0")</f>
        <v/>
      </c>
      <c r="N230" s="10">
        <f>SUMIFS(df_extratos!I:I,df_extratos!F:F,Conciliacao!BE230,df_extratos!G:G,"DEBITO")+SUMIFS(df_extratos!I:I,df_extratos!F:F,Conciliacao!A230,df_extratos!G:G,"DEBITO")+SUMIFS(df_extratos!I:I,df_extratos!F:F,Conciliacao!BF230,df_extratos!G:G,"DEBITO")+SUMIFS(df_extratos!I:I,df_extratos!F:F,Conciliacao!BG230,df_extratos!G:G,"DEBITO")+SUMIFS(df_extratos!I:I,df_extratos!F:F,Conciliacao!BH230,df_extratos!G:G,"DEBITO")</f>
        <v/>
      </c>
      <c r="O230" s="11">
        <f>N230-SUM(J230:M230)</f>
        <v/>
      </c>
      <c r="P230" s="25">
        <f>SUMIFS(df_ajustes_conciliaco!D:D,df_ajustes_conciliaco!C:C,Conciliacao!A230)</f>
        <v/>
      </c>
      <c r="Q230" s="22">
        <f>O230+I230-P230</f>
        <v/>
      </c>
      <c r="BE230" s="20" t="n">
        <v>45886.5</v>
      </c>
      <c r="BF230" s="20" t="n">
        <v>45886.125</v>
      </c>
      <c r="BG230" s="20" t="n">
        <v>45886.54166666666</v>
      </c>
      <c r="BH230" s="20" t="n">
        <v>45886.625</v>
      </c>
    </row>
    <row r="231">
      <c r="A231" s="5">
        <f>A230+1</f>
        <v/>
      </c>
      <c r="B231" s="3">
        <f>-SUMIFS(df_extrato_zig!G:G,df_extrato_zig!E:E,Conciliacao!A231,df_extrato_zig!D:D,"Saque")-SUMIFS(df_extrato_zig!G:G,df_extrato_zig!E:E,Conciliacao!A231,df_extrato_zig!D:D,"Antecipação")</f>
        <v/>
      </c>
      <c r="C231" s="3">
        <f>SUMIFS(df_extrato_zig!E:E,df_extrato_zig!L:L,Conciliacao!A231,df_extrato_zig!F:F,"DINHEIRO")</f>
        <v/>
      </c>
      <c r="D231" s="3">
        <f>SUMIFS(view_parc_agrup!H:H,view_parc_agrup!G:G,Conciliacao!A231)</f>
        <v/>
      </c>
      <c r="E231" s="3">
        <f>SUMIFS(df_eventos!F:F,df_eventos!H:H,Conciliacao!A231)</f>
        <v/>
      </c>
      <c r="F231" s="3">
        <f>SUMIFS(df_mutuos!M:M,df_mutuos!B:B,Conciliacao!A231)</f>
        <v/>
      </c>
      <c r="G231" s="6">
        <f>SUMIFS(df_bloqueios_judiciais!G:G,df_bloqueios_judiciais!D:D,Conciliacao!A231,df_bloqueios_judiciais!G:G,"&gt;0")</f>
        <v/>
      </c>
      <c r="H231" s="7">
        <f>SUMIFS(df_extratos!I:I,df_extratos!F:F,Conciliacao!BE231,df_extratos!G:G,"CREDITO")+SUMIFS(df_extratos!I:I,df_extratos!F:F,Conciliacao!A231,df_extratos!G:G,"CREDITO")+SUMIFS(df_extratos!I:I,df_extratos!F:F,Conciliacao!BF231,df_extratos!G:G,"CREDITO")+SUMIFS(df_extratos!I:I,df_extratos!F:F,Conciliacao!BG231,df_extratos!G:G,"CREDITO")+SUMIFS(df_extratos!I:I,df_extratos!F:F,Conciliacao!BH231,df_extratos!G:G,"CREDITO")</f>
        <v/>
      </c>
      <c r="I231" s="9">
        <f>H231-SUM(B231:G231)</f>
        <v/>
      </c>
      <c r="J231" s="4">
        <f>SUMIFS(df_blueme_sem_parcelamento!E:E,df_blueme_sem_parcelamento!H:H,Conciliacao!A231)*(-1)</f>
        <v/>
      </c>
      <c r="K231" s="4">
        <f>SUMIFS(df_blueme_com_parcelamento!J:J,df_blueme_com_parcelamento!M:M,Conciliacao!A231)*(-1)</f>
        <v/>
      </c>
      <c r="L231" s="4">
        <f>SUMIFS(df_mutuos!N:N,df_mutuos!B:B,Conciliacao!A231)*(-1)</f>
        <v/>
      </c>
      <c r="M231" s="8">
        <f>SUMIFS(df_bloqueios_judiciais!G:G,df_bloqueios_judiciais!D:D,Conciliacao!A231,df_bloqueios_judiciais!G:G,"&lt;0")</f>
        <v/>
      </c>
      <c r="N231" s="10">
        <f>SUMIFS(df_extratos!I:I,df_extratos!F:F,Conciliacao!BE231,df_extratos!G:G,"DEBITO")+SUMIFS(df_extratos!I:I,df_extratos!F:F,Conciliacao!A231,df_extratos!G:G,"DEBITO")+SUMIFS(df_extratos!I:I,df_extratos!F:F,Conciliacao!BF231,df_extratos!G:G,"DEBITO")+SUMIFS(df_extratos!I:I,df_extratos!F:F,Conciliacao!BG231,df_extratos!G:G,"DEBITO")+SUMIFS(df_extratos!I:I,df_extratos!F:F,Conciliacao!BH231,df_extratos!G:G,"DEBITO")</f>
        <v/>
      </c>
      <c r="O231" s="11">
        <f>N231-SUM(J231:M231)</f>
        <v/>
      </c>
      <c r="P231" s="25">
        <f>SUMIFS(df_ajustes_conciliaco!D:D,df_ajustes_conciliaco!C:C,Conciliacao!A231)</f>
        <v/>
      </c>
      <c r="Q231" s="22">
        <f>O231+I231-P231</f>
        <v/>
      </c>
      <c r="BE231" s="20" t="n">
        <v>45887.5</v>
      </c>
      <c r="BF231" s="20" t="n">
        <v>45887.125</v>
      </c>
      <c r="BG231" s="20" t="n">
        <v>45887.54166666666</v>
      </c>
      <c r="BH231" s="20" t="n">
        <v>45887.625</v>
      </c>
    </row>
    <row r="232">
      <c r="A232" s="5">
        <f>A231+1</f>
        <v/>
      </c>
      <c r="B232" s="3">
        <f>-SUMIFS(df_extrato_zig!G:G,df_extrato_zig!E:E,Conciliacao!A232,df_extrato_zig!D:D,"Saque")-SUMIFS(df_extrato_zig!G:G,df_extrato_zig!E:E,Conciliacao!A232,df_extrato_zig!D:D,"Antecipação")</f>
        <v/>
      </c>
      <c r="C232" s="3">
        <f>SUMIFS(df_extrato_zig!E:E,df_extrato_zig!L:L,Conciliacao!A232,df_extrato_zig!F:F,"DINHEIRO")</f>
        <v/>
      </c>
      <c r="D232" s="3">
        <f>SUMIFS(view_parc_agrup!H:H,view_parc_agrup!G:G,Conciliacao!A232)</f>
        <v/>
      </c>
      <c r="E232" s="3">
        <f>SUMIFS(df_eventos!F:F,df_eventos!H:H,Conciliacao!A232)</f>
        <v/>
      </c>
      <c r="F232" s="3">
        <f>SUMIFS(df_mutuos!M:M,df_mutuos!B:B,Conciliacao!A232)</f>
        <v/>
      </c>
      <c r="G232" s="6">
        <f>SUMIFS(df_bloqueios_judiciais!G:G,df_bloqueios_judiciais!D:D,Conciliacao!A232,df_bloqueios_judiciais!G:G,"&gt;0")</f>
        <v/>
      </c>
      <c r="H232" s="7">
        <f>SUMIFS(df_extratos!I:I,df_extratos!F:F,Conciliacao!BE232,df_extratos!G:G,"CREDITO")+SUMIFS(df_extratos!I:I,df_extratos!F:F,Conciliacao!A232,df_extratos!G:G,"CREDITO")+SUMIFS(df_extratos!I:I,df_extratos!F:F,Conciliacao!BF232,df_extratos!G:G,"CREDITO")+SUMIFS(df_extratos!I:I,df_extratos!F:F,Conciliacao!BG232,df_extratos!G:G,"CREDITO")+SUMIFS(df_extratos!I:I,df_extratos!F:F,Conciliacao!BH232,df_extratos!G:G,"CREDITO")</f>
        <v/>
      </c>
      <c r="I232" s="9">
        <f>H232-SUM(B232:G232)</f>
        <v/>
      </c>
      <c r="J232" s="4">
        <f>SUMIFS(df_blueme_sem_parcelamento!E:E,df_blueme_sem_parcelamento!H:H,Conciliacao!A232)*(-1)</f>
        <v/>
      </c>
      <c r="K232" s="4">
        <f>SUMIFS(df_blueme_com_parcelamento!J:J,df_blueme_com_parcelamento!M:M,Conciliacao!A232)*(-1)</f>
        <v/>
      </c>
      <c r="L232" s="4">
        <f>SUMIFS(df_mutuos!N:N,df_mutuos!B:B,Conciliacao!A232)*(-1)</f>
        <v/>
      </c>
      <c r="M232" s="8">
        <f>SUMIFS(df_bloqueios_judiciais!G:G,df_bloqueios_judiciais!D:D,Conciliacao!A232,df_bloqueios_judiciais!G:G,"&lt;0")</f>
        <v/>
      </c>
      <c r="N232" s="10">
        <f>SUMIFS(df_extratos!I:I,df_extratos!F:F,Conciliacao!BE232,df_extratos!G:G,"DEBITO")+SUMIFS(df_extratos!I:I,df_extratos!F:F,Conciliacao!A232,df_extratos!G:G,"DEBITO")+SUMIFS(df_extratos!I:I,df_extratos!F:F,Conciliacao!BF232,df_extratos!G:G,"DEBITO")+SUMIFS(df_extratos!I:I,df_extratos!F:F,Conciliacao!BG232,df_extratos!G:G,"DEBITO")+SUMIFS(df_extratos!I:I,df_extratos!F:F,Conciliacao!BH232,df_extratos!G:G,"DEBITO")</f>
        <v/>
      </c>
      <c r="O232" s="11">
        <f>N232-SUM(J232:M232)</f>
        <v/>
      </c>
      <c r="P232" s="25">
        <f>SUMIFS(df_ajustes_conciliaco!D:D,df_ajustes_conciliaco!C:C,Conciliacao!A232)</f>
        <v/>
      </c>
      <c r="Q232" s="22">
        <f>O232+I232-P232</f>
        <v/>
      </c>
      <c r="BE232" s="20" t="n">
        <v>45888.5</v>
      </c>
      <c r="BF232" s="20" t="n">
        <v>45888.125</v>
      </c>
      <c r="BG232" s="20" t="n">
        <v>45888.54166666666</v>
      </c>
      <c r="BH232" s="20" t="n">
        <v>45888.625</v>
      </c>
    </row>
    <row r="233">
      <c r="A233" s="5">
        <f>A232+1</f>
        <v/>
      </c>
      <c r="B233" s="3">
        <f>-SUMIFS(df_extrato_zig!G:G,df_extrato_zig!E:E,Conciliacao!A233,df_extrato_zig!D:D,"Saque")-SUMIFS(df_extrato_zig!G:G,df_extrato_zig!E:E,Conciliacao!A233,df_extrato_zig!D:D,"Antecipação")</f>
        <v/>
      </c>
      <c r="C233" s="3">
        <f>SUMIFS(df_extrato_zig!E:E,df_extrato_zig!L:L,Conciliacao!A233,df_extrato_zig!F:F,"DINHEIRO")</f>
        <v/>
      </c>
      <c r="D233" s="3">
        <f>SUMIFS(view_parc_agrup!H:H,view_parc_agrup!G:G,Conciliacao!A233)</f>
        <v/>
      </c>
      <c r="E233" s="3">
        <f>SUMIFS(df_eventos!F:F,df_eventos!H:H,Conciliacao!A233)</f>
        <v/>
      </c>
      <c r="F233" s="3">
        <f>SUMIFS(df_mutuos!M:M,df_mutuos!B:B,Conciliacao!A233)</f>
        <v/>
      </c>
      <c r="G233" s="6">
        <f>SUMIFS(df_bloqueios_judiciais!G:G,df_bloqueios_judiciais!D:D,Conciliacao!A233,df_bloqueios_judiciais!G:G,"&gt;0")</f>
        <v/>
      </c>
      <c r="H233" s="7">
        <f>SUMIFS(df_extratos!I:I,df_extratos!F:F,Conciliacao!BE233,df_extratos!G:G,"CREDITO")+SUMIFS(df_extratos!I:I,df_extratos!F:F,Conciliacao!A233,df_extratos!G:G,"CREDITO")+SUMIFS(df_extratos!I:I,df_extratos!F:F,Conciliacao!BF233,df_extratos!G:G,"CREDITO")+SUMIFS(df_extratos!I:I,df_extratos!F:F,Conciliacao!BG233,df_extratos!G:G,"CREDITO")+SUMIFS(df_extratos!I:I,df_extratos!F:F,Conciliacao!BH233,df_extratos!G:G,"CREDITO")</f>
        <v/>
      </c>
      <c r="I233" s="9">
        <f>H233-SUM(B233:G233)</f>
        <v/>
      </c>
      <c r="J233" s="4">
        <f>SUMIFS(df_blueme_sem_parcelamento!E:E,df_blueme_sem_parcelamento!H:H,Conciliacao!A233)*(-1)</f>
        <v/>
      </c>
      <c r="K233" s="4">
        <f>SUMIFS(df_blueme_com_parcelamento!J:J,df_blueme_com_parcelamento!M:M,Conciliacao!A233)*(-1)</f>
        <v/>
      </c>
      <c r="L233" s="4">
        <f>SUMIFS(df_mutuos!N:N,df_mutuos!B:B,Conciliacao!A233)*(-1)</f>
        <v/>
      </c>
      <c r="M233" s="8">
        <f>SUMIFS(df_bloqueios_judiciais!G:G,df_bloqueios_judiciais!D:D,Conciliacao!A233,df_bloqueios_judiciais!G:G,"&lt;0")</f>
        <v/>
      </c>
      <c r="N233" s="10">
        <f>SUMIFS(df_extratos!I:I,df_extratos!F:F,Conciliacao!BE233,df_extratos!G:G,"DEBITO")+SUMIFS(df_extratos!I:I,df_extratos!F:F,Conciliacao!A233,df_extratos!G:G,"DEBITO")+SUMIFS(df_extratos!I:I,df_extratos!F:F,Conciliacao!BF233,df_extratos!G:G,"DEBITO")+SUMIFS(df_extratos!I:I,df_extratos!F:F,Conciliacao!BG233,df_extratos!G:G,"DEBITO")+SUMIFS(df_extratos!I:I,df_extratos!F:F,Conciliacao!BH233,df_extratos!G:G,"DEBITO")</f>
        <v/>
      </c>
      <c r="O233" s="11">
        <f>N233-SUM(J233:M233)</f>
        <v/>
      </c>
      <c r="P233" s="25">
        <f>SUMIFS(df_ajustes_conciliaco!D:D,df_ajustes_conciliaco!C:C,Conciliacao!A233)</f>
        <v/>
      </c>
      <c r="Q233" s="22">
        <f>O233+I233-P233</f>
        <v/>
      </c>
      <c r="BE233" s="20" t="n">
        <v>45889.5</v>
      </c>
      <c r="BF233" s="20" t="n">
        <v>45889.125</v>
      </c>
      <c r="BG233" s="20" t="n">
        <v>45889.54166666666</v>
      </c>
      <c r="BH233" s="20" t="n">
        <v>45889.625</v>
      </c>
    </row>
    <row r="234">
      <c r="A234" s="5">
        <f>A233+1</f>
        <v/>
      </c>
      <c r="B234" s="3">
        <f>-SUMIFS(df_extrato_zig!G:G,df_extrato_zig!E:E,Conciliacao!A234,df_extrato_zig!D:D,"Saque")-SUMIFS(df_extrato_zig!G:G,df_extrato_zig!E:E,Conciliacao!A234,df_extrato_zig!D:D,"Antecipação")</f>
        <v/>
      </c>
      <c r="C234" s="3">
        <f>SUMIFS(df_extrato_zig!E:E,df_extrato_zig!L:L,Conciliacao!A234,df_extrato_zig!F:F,"DINHEIRO")</f>
        <v/>
      </c>
      <c r="D234" s="3">
        <f>SUMIFS(view_parc_agrup!H:H,view_parc_agrup!G:G,Conciliacao!A234)</f>
        <v/>
      </c>
      <c r="E234" s="3">
        <f>SUMIFS(df_eventos!F:F,df_eventos!H:H,Conciliacao!A234)</f>
        <v/>
      </c>
      <c r="F234" s="3">
        <f>SUMIFS(df_mutuos!M:M,df_mutuos!B:B,Conciliacao!A234)</f>
        <v/>
      </c>
      <c r="G234" s="6">
        <f>SUMIFS(df_bloqueios_judiciais!G:G,df_bloqueios_judiciais!D:D,Conciliacao!A234,df_bloqueios_judiciais!G:G,"&gt;0")</f>
        <v/>
      </c>
      <c r="H234" s="7">
        <f>SUMIFS(df_extratos!I:I,df_extratos!F:F,Conciliacao!BE234,df_extratos!G:G,"CREDITO")+SUMIFS(df_extratos!I:I,df_extratos!F:F,Conciliacao!A234,df_extratos!G:G,"CREDITO")+SUMIFS(df_extratos!I:I,df_extratos!F:F,Conciliacao!BF234,df_extratos!G:G,"CREDITO")+SUMIFS(df_extratos!I:I,df_extratos!F:F,Conciliacao!BG234,df_extratos!G:G,"CREDITO")+SUMIFS(df_extratos!I:I,df_extratos!F:F,Conciliacao!BH234,df_extratos!G:G,"CREDITO")</f>
        <v/>
      </c>
      <c r="I234" s="9">
        <f>H234-SUM(B234:G234)</f>
        <v/>
      </c>
      <c r="J234" s="4">
        <f>SUMIFS(df_blueme_sem_parcelamento!E:E,df_blueme_sem_parcelamento!H:H,Conciliacao!A234)*(-1)</f>
        <v/>
      </c>
      <c r="K234" s="4">
        <f>SUMIFS(df_blueme_com_parcelamento!J:J,df_blueme_com_parcelamento!M:M,Conciliacao!A234)*(-1)</f>
        <v/>
      </c>
      <c r="L234" s="4">
        <f>SUMIFS(df_mutuos!N:N,df_mutuos!B:B,Conciliacao!A234)*(-1)</f>
        <v/>
      </c>
      <c r="M234" s="8">
        <f>SUMIFS(df_bloqueios_judiciais!G:G,df_bloqueios_judiciais!D:D,Conciliacao!A234,df_bloqueios_judiciais!G:G,"&lt;0")</f>
        <v/>
      </c>
      <c r="N234" s="10">
        <f>SUMIFS(df_extratos!I:I,df_extratos!F:F,Conciliacao!BE234,df_extratos!G:G,"DEBITO")+SUMIFS(df_extratos!I:I,df_extratos!F:F,Conciliacao!A234,df_extratos!G:G,"DEBITO")+SUMIFS(df_extratos!I:I,df_extratos!F:F,Conciliacao!BF234,df_extratos!G:G,"DEBITO")+SUMIFS(df_extratos!I:I,df_extratos!F:F,Conciliacao!BG234,df_extratos!G:G,"DEBITO")+SUMIFS(df_extratos!I:I,df_extratos!F:F,Conciliacao!BH234,df_extratos!G:G,"DEBITO")</f>
        <v/>
      </c>
      <c r="O234" s="11">
        <f>N234-SUM(J234:M234)</f>
        <v/>
      </c>
      <c r="P234" s="25">
        <f>SUMIFS(df_ajustes_conciliaco!D:D,df_ajustes_conciliaco!C:C,Conciliacao!A234)</f>
        <v/>
      </c>
      <c r="Q234" s="22">
        <f>O234+I234-P234</f>
        <v/>
      </c>
      <c r="BE234" s="20" t="n">
        <v>45890.5</v>
      </c>
      <c r="BF234" s="20" t="n">
        <v>45890.125</v>
      </c>
      <c r="BG234" s="20" t="n">
        <v>45890.54166666666</v>
      </c>
      <c r="BH234" s="20" t="n">
        <v>45890.625</v>
      </c>
    </row>
    <row r="235">
      <c r="A235" s="5">
        <f>A234+1</f>
        <v/>
      </c>
      <c r="B235" s="3">
        <f>-SUMIFS(df_extrato_zig!G:G,df_extrato_zig!E:E,Conciliacao!A235,df_extrato_zig!D:D,"Saque")-SUMIFS(df_extrato_zig!G:G,df_extrato_zig!E:E,Conciliacao!A235,df_extrato_zig!D:D,"Antecipação")</f>
        <v/>
      </c>
      <c r="C235" s="3">
        <f>SUMIFS(df_extrato_zig!E:E,df_extrato_zig!L:L,Conciliacao!A235,df_extrato_zig!F:F,"DINHEIRO")</f>
        <v/>
      </c>
      <c r="D235" s="3">
        <f>SUMIFS(view_parc_agrup!H:H,view_parc_agrup!G:G,Conciliacao!A235)</f>
        <v/>
      </c>
      <c r="E235" s="3">
        <f>SUMIFS(df_eventos!F:F,df_eventos!H:H,Conciliacao!A235)</f>
        <v/>
      </c>
      <c r="F235" s="3">
        <f>SUMIFS(df_mutuos!M:M,df_mutuos!B:B,Conciliacao!A235)</f>
        <v/>
      </c>
      <c r="G235" s="6">
        <f>SUMIFS(df_bloqueios_judiciais!G:G,df_bloqueios_judiciais!D:D,Conciliacao!A235,df_bloqueios_judiciais!G:G,"&gt;0")</f>
        <v/>
      </c>
      <c r="H235" s="7">
        <f>SUMIFS(df_extratos!I:I,df_extratos!F:F,Conciliacao!BE235,df_extratos!G:G,"CREDITO")+SUMIFS(df_extratos!I:I,df_extratos!F:F,Conciliacao!A235,df_extratos!G:G,"CREDITO")+SUMIFS(df_extratos!I:I,df_extratos!F:F,Conciliacao!BF235,df_extratos!G:G,"CREDITO")+SUMIFS(df_extratos!I:I,df_extratos!F:F,Conciliacao!BG235,df_extratos!G:G,"CREDITO")+SUMIFS(df_extratos!I:I,df_extratos!F:F,Conciliacao!BH235,df_extratos!G:G,"CREDITO")</f>
        <v/>
      </c>
      <c r="I235" s="9">
        <f>H235-SUM(B235:G235)</f>
        <v/>
      </c>
      <c r="J235" s="4">
        <f>SUMIFS(df_blueme_sem_parcelamento!E:E,df_blueme_sem_parcelamento!H:H,Conciliacao!A235)*(-1)</f>
        <v/>
      </c>
      <c r="K235" s="4">
        <f>SUMIFS(df_blueme_com_parcelamento!J:J,df_blueme_com_parcelamento!M:M,Conciliacao!A235)*(-1)</f>
        <v/>
      </c>
      <c r="L235" s="4">
        <f>SUMIFS(df_mutuos!N:N,df_mutuos!B:B,Conciliacao!A235)*(-1)</f>
        <v/>
      </c>
      <c r="M235" s="8">
        <f>SUMIFS(df_bloqueios_judiciais!G:G,df_bloqueios_judiciais!D:D,Conciliacao!A235,df_bloqueios_judiciais!G:G,"&lt;0")</f>
        <v/>
      </c>
      <c r="N235" s="10">
        <f>SUMIFS(df_extratos!I:I,df_extratos!F:F,Conciliacao!BE235,df_extratos!G:G,"DEBITO")+SUMIFS(df_extratos!I:I,df_extratos!F:F,Conciliacao!A235,df_extratos!G:G,"DEBITO")+SUMIFS(df_extratos!I:I,df_extratos!F:F,Conciliacao!BF235,df_extratos!G:G,"DEBITO")+SUMIFS(df_extratos!I:I,df_extratos!F:F,Conciliacao!BG235,df_extratos!G:G,"DEBITO")+SUMIFS(df_extratos!I:I,df_extratos!F:F,Conciliacao!BH235,df_extratos!G:G,"DEBITO")</f>
        <v/>
      </c>
      <c r="O235" s="11">
        <f>N235-SUM(J235:M235)</f>
        <v/>
      </c>
      <c r="P235" s="25">
        <f>SUMIFS(df_ajustes_conciliaco!D:D,df_ajustes_conciliaco!C:C,Conciliacao!A235)</f>
        <v/>
      </c>
      <c r="Q235" s="22">
        <f>O235+I235-P235</f>
        <v/>
      </c>
      <c r="BE235" s="20" t="n">
        <v>45891.5</v>
      </c>
      <c r="BF235" s="20" t="n">
        <v>45891.125</v>
      </c>
      <c r="BG235" s="20" t="n">
        <v>45891.54166666666</v>
      </c>
      <c r="BH235" s="20" t="n">
        <v>45891.625</v>
      </c>
    </row>
    <row r="236">
      <c r="A236" s="5">
        <f>A235+1</f>
        <v/>
      </c>
      <c r="B236" s="3">
        <f>-SUMIFS(df_extrato_zig!G:G,df_extrato_zig!E:E,Conciliacao!A236,df_extrato_zig!D:D,"Saque")-SUMIFS(df_extrato_zig!G:G,df_extrato_zig!E:E,Conciliacao!A236,df_extrato_zig!D:D,"Antecipação")</f>
        <v/>
      </c>
      <c r="C236" s="3">
        <f>SUMIFS(df_extrato_zig!E:E,df_extrato_zig!L:L,Conciliacao!A236,df_extrato_zig!F:F,"DINHEIRO")</f>
        <v/>
      </c>
      <c r="D236" s="3">
        <f>SUMIFS(view_parc_agrup!H:H,view_parc_agrup!G:G,Conciliacao!A236)</f>
        <v/>
      </c>
      <c r="E236" s="3">
        <f>SUMIFS(df_eventos!F:F,df_eventos!H:H,Conciliacao!A236)</f>
        <v/>
      </c>
      <c r="F236" s="3">
        <f>SUMIFS(df_mutuos!M:M,df_mutuos!B:B,Conciliacao!A236)</f>
        <v/>
      </c>
      <c r="G236" s="6">
        <f>SUMIFS(df_bloqueios_judiciais!G:G,df_bloqueios_judiciais!D:D,Conciliacao!A236,df_bloqueios_judiciais!G:G,"&gt;0")</f>
        <v/>
      </c>
      <c r="H236" s="7">
        <f>SUMIFS(df_extratos!I:I,df_extratos!F:F,Conciliacao!BE236,df_extratos!G:G,"CREDITO")+SUMIFS(df_extratos!I:I,df_extratos!F:F,Conciliacao!A236,df_extratos!G:G,"CREDITO")+SUMIFS(df_extratos!I:I,df_extratos!F:F,Conciliacao!BF236,df_extratos!G:G,"CREDITO")+SUMIFS(df_extratos!I:I,df_extratos!F:F,Conciliacao!BG236,df_extratos!G:G,"CREDITO")+SUMIFS(df_extratos!I:I,df_extratos!F:F,Conciliacao!BH236,df_extratos!G:G,"CREDITO")</f>
        <v/>
      </c>
      <c r="I236" s="9">
        <f>H236-SUM(B236:G236)</f>
        <v/>
      </c>
      <c r="J236" s="4">
        <f>SUMIFS(df_blueme_sem_parcelamento!E:E,df_blueme_sem_parcelamento!H:H,Conciliacao!A236)*(-1)</f>
        <v/>
      </c>
      <c r="K236" s="4">
        <f>SUMIFS(df_blueme_com_parcelamento!J:J,df_blueme_com_parcelamento!M:M,Conciliacao!A236)*(-1)</f>
        <v/>
      </c>
      <c r="L236" s="4">
        <f>SUMIFS(df_mutuos!N:N,df_mutuos!B:B,Conciliacao!A236)*(-1)</f>
        <v/>
      </c>
      <c r="M236" s="8">
        <f>SUMIFS(df_bloqueios_judiciais!G:G,df_bloqueios_judiciais!D:D,Conciliacao!A236,df_bloqueios_judiciais!G:G,"&lt;0")</f>
        <v/>
      </c>
      <c r="N236" s="10">
        <f>SUMIFS(df_extratos!I:I,df_extratos!F:F,Conciliacao!BE236,df_extratos!G:G,"DEBITO")+SUMIFS(df_extratos!I:I,df_extratos!F:F,Conciliacao!A236,df_extratos!G:G,"DEBITO")+SUMIFS(df_extratos!I:I,df_extratos!F:F,Conciliacao!BF236,df_extratos!G:G,"DEBITO")+SUMIFS(df_extratos!I:I,df_extratos!F:F,Conciliacao!BG236,df_extratos!G:G,"DEBITO")+SUMIFS(df_extratos!I:I,df_extratos!F:F,Conciliacao!BH236,df_extratos!G:G,"DEBITO")</f>
        <v/>
      </c>
      <c r="O236" s="11">
        <f>N236-SUM(J236:M236)</f>
        <v/>
      </c>
      <c r="P236" s="25">
        <f>SUMIFS(df_ajustes_conciliaco!D:D,df_ajustes_conciliaco!C:C,Conciliacao!A236)</f>
        <v/>
      </c>
      <c r="Q236" s="22">
        <f>O236+I236-P236</f>
        <v/>
      </c>
      <c r="BE236" s="20" t="n">
        <v>45892.5</v>
      </c>
      <c r="BF236" s="20" t="n">
        <v>45892.125</v>
      </c>
      <c r="BG236" s="20" t="n">
        <v>45892.54166666666</v>
      </c>
      <c r="BH236" s="20" t="n">
        <v>45892.625</v>
      </c>
    </row>
    <row r="237">
      <c r="A237" s="5">
        <f>A236+1</f>
        <v/>
      </c>
      <c r="B237" s="3">
        <f>-SUMIFS(df_extrato_zig!G:G,df_extrato_zig!E:E,Conciliacao!A237,df_extrato_zig!D:D,"Saque")-SUMIFS(df_extrato_zig!G:G,df_extrato_zig!E:E,Conciliacao!A237,df_extrato_zig!D:D,"Antecipação")</f>
        <v/>
      </c>
      <c r="C237" s="3">
        <f>SUMIFS(df_extrato_zig!E:E,df_extrato_zig!L:L,Conciliacao!A237,df_extrato_zig!F:F,"DINHEIRO")</f>
        <v/>
      </c>
      <c r="D237" s="3">
        <f>SUMIFS(view_parc_agrup!H:H,view_parc_agrup!G:G,Conciliacao!A237)</f>
        <v/>
      </c>
      <c r="E237" s="3">
        <f>SUMIFS(df_eventos!F:F,df_eventos!H:H,Conciliacao!A237)</f>
        <v/>
      </c>
      <c r="F237" s="3">
        <f>SUMIFS(df_mutuos!M:M,df_mutuos!B:B,Conciliacao!A237)</f>
        <v/>
      </c>
      <c r="G237" s="6">
        <f>SUMIFS(df_bloqueios_judiciais!G:G,df_bloqueios_judiciais!D:D,Conciliacao!A237,df_bloqueios_judiciais!G:G,"&gt;0")</f>
        <v/>
      </c>
      <c r="H237" s="7">
        <f>SUMIFS(df_extratos!I:I,df_extratos!F:F,Conciliacao!BE237,df_extratos!G:G,"CREDITO")+SUMIFS(df_extratos!I:I,df_extratos!F:F,Conciliacao!A237,df_extratos!G:G,"CREDITO")+SUMIFS(df_extratos!I:I,df_extratos!F:F,Conciliacao!BF237,df_extratos!G:G,"CREDITO")+SUMIFS(df_extratos!I:I,df_extratos!F:F,Conciliacao!BG237,df_extratos!G:G,"CREDITO")+SUMIFS(df_extratos!I:I,df_extratos!F:F,Conciliacao!BH237,df_extratos!G:G,"CREDITO")</f>
        <v/>
      </c>
      <c r="I237" s="9">
        <f>H237-SUM(B237:G237)</f>
        <v/>
      </c>
      <c r="J237" s="4">
        <f>SUMIFS(df_blueme_sem_parcelamento!E:E,df_blueme_sem_parcelamento!H:H,Conciliacao!A237)*(-1)</f>
        <v/>
      </c>
      <c r="K237" s="4">
        <f>SUMIFS(df_blueme_com_parcelamento!J:J,df_blueme_com_parcelamento!M:M,Conciliacao!A237)*(-1)</f>
        <v/>
      </c>
      <c r="L237" s="4">
        <f>SUMIFS(df_mutuos!N:N,df_mutuos!B:B,Conciliacao!A237)*(-1)</f>
        <v/>
      </c>
      <c r="M237" s="8">
        <f>SUMIFS(df_bloqueios_judiciais!G:G,df_bloqueios_judiciais!D:D,Conciliacao!A237,df_bloqueios_judiciais!G:G,"&lt;0")</f>
        <v/>
      </c>
      <c r="N237" s="10">
        <f>SUMIFS(df_extratos!I:I,df_extratos!F:F,Conciliacao!BE237,df_extratos!G:G,"DEBITO")+SUMIFS(df_extratos!I:I,df_extratos!F:F,Conciliacao!A237,df_extratos!G:G,"DEBITO")+SUMIFS(df_extratos!I:I,df_extratos!F:F,Conciliacao!BF237,df_extratos!G:G,"DEBITO")+SUMIFS(df_extratos!I:I,df_extratos!F:F,Conciliacao!BG237,df_extratos!G:G,"DEBITO")+SUMIFS(df_extratos!I:I,df_extratos!F:F,Conciliacao!BH237,df_extratos!G:G,"DEBITO")</f>
        <v/>
      </c>
      <c r="O237" s="11">
        <f>N237-SUM(J237:M237)</f>
        <v/>
      </c>
      <c r="P237" s="25">
        <f>SUMIFS(df_ajustes_conciliaco!D:D,df_ajustes_conciliaco!C:C,Conciliacao!A237)</f>
        <v/>
      </c>
      <c r="Q237" s="22">
        <f>O237+I237-P237</f>
        <v/>
      </c>
      <c r="BE237" s="20" t="n">
        <v>45893.5</v>
      </c>
      <c r="BF237" s="20" t="n">
        <v>45893.125</v>
      </c>
      <c r="BG237" s="20" t="n">
        <v>45893.54166666666</v>
      </c>
      <c r="BH237" s="20" t="n">
        <v>45893.625</v>
      </c>
    </row>
    <row r="238">
      <c r="A238" s="5">
        <f>A237+1</f>
        <v/>
      </c>
      <c r="B238" s="3">
        <f>-SUMIFS(df_extrato_zig!G:G,df_extrato_zig!E:E,Conciliacao!A238,df_extrato_zig!D:D,"Saque")-SUMIFS(df_extrato_zig!G:G,df_extrato_zig!E:E,Conciliacao!A238,df_extrato_zig!D:D,"Antecipação")</f>
        <v/>
      </c>
      <c r="C238" s="3">
        <f>SUMIFS(df_extrato_zig!E:E,df_extrato_zig!L:L,Conciliacao!A238,df_extrato_zig!F:F,"DINHEIRO")</f>
        <v/>
      </c>
      <c r="D238" s="3">
        <f>SUMIFS(view_parc_agrup!H:H,view_parc_agrup!G:G,Conciliacao!A238)</f>
        <v/>
      </c>
      <c r="E238" s="3">
        <f>SUMIFS(df_eventos!F:F,df_eventos!H:H,Conciliacao!A238)</f>
        <v/>
      </c>
      <c r="F238" s="3">
        <f>SUMIFS(df_mutuos!M:M,df_mutuos!B:B,Conciliacao!A238)</f>
        <v/>
      </c>
      <c r="G238" s="6">
        <f>SUMIFS(df_bloqueios_judiciais!G:G,df_bloqueios_judiciais!D:D,Conciliacao!A238,df_bloqueios_judiciais!G:G,"&gt;0")</f>
        <v/>
      </c>
      <c r="H238" s="7">
        <f>SUMIFS(df_extratos!I:I,df_extratos!F:F,Conciliacao!BE238,df_extratos!G:G,"CREDITO")+SUMIFS(df_extratos!I:I,df_extratos!F:F,Conciliacao!A238,df_extratos!G:G,"CREDITO")+SUMIFS(df_extratos!I:I,df_extratos!F:F,Conciliacao!BF238,df_extratos!G:G,"CREDITO")+SUMIFS(df_extratos!I:I,df_extratos!F:F,Conciliacao!BG238,df_extratos!G:G,"CREDITO")+SUMIFS(df_extratos!I:I,df_extratos!F:F,Conciliacao!BH238,df_extratos!G:G,"CREDITO")</f>
        <v/>
      </c>
      <c r="I238" s="9">
        <f>H238-SUM(B238:G238)</f>
        <v/>
      </c>
      <c r="J238" s="4">
        <f>SUMIFS(df_blueme_sem_parcelamento!E:E,df_blueme_sem_parcelamento!H:H,Conciliacao!A238)*(-1)</f>
        <v/>
      </c>
      <c r="K238" s="4">
        <f>SUMIFS(df_blueme_com_parcelamento!J:J,df_blueme_com_parcelamento!M:M,Conciliacao!A238)*(-1)</f>
        <v/>
      </c>
      <c r="L238" s="4">
        <f>SUMIFS(df_mutuos!N:N,df_mutuos!B:B,Conciliacao!A238)*(-1)</f>
        <v/>
      </c>
      <c r="M238" s="8">
        <f>SUMIFS(df_bloqueios_judiciais!G:G,df_bloqueios_judiciais!D:D,Conciliacao!A238,df_bloqueios_judiciais!G:G,"&lt;0")</f>
        <v/>
      </c>
      <c r="N238" s="10">
        <f>SUMIFS(df_extratos!I:I,df_extratos!F:F,Conciliacao!BE238,df_extratos!G:G,"DEBITO")+SUMIFS(df_extratos!I:I,df_extratos!F:F,Conciliacao!A238,df_extratos!G:G,"DEBITO")+SUMIFS(df_extratos!I:I,df_extratos!F:F,Conciliacao!BF238,df_extratos!G:G,"DEBITO")+SUMIFS(df_extratos!I:I,df_extratos!F:F,Conciliacao!BG238,df_extratos!G:G,"DEBITO")+SUMIFS(df_extratos!I:I,df_extratos!F:F,Conciliacao!BH238,df_extratos!G:G,"DEBITO")</f>
        <v/>
      </c>
      <c r="O238" s="11">
        <f>N238-SUM(J238:M238)</f>
        <v/>
      </c>
      <c r="P238" s="25">
        <f>SUMIFS(df_ajustes_conciliaco!D:D,df_ajustes_conciliaco!C:C,Conciliacao!A238)</f>
        <v/>
      </c>
      <c r="Q238" s="22">
        <f>O238+I238-P238</f>
        <v/>
      </c>
      <c r="BE238" s="20" t="n">
        <v>45894.5</v>
      </c>
      <c r="BF238" s="20" t="n">
        <v>45894.125</v>
      </c>
      <c r="BG238" s="20" t="n">
        <v>45894.54166666666</v>
      </c>
      <c r="BH238" s="20" t="n">
        <v>45894.625</v>
      </c>
    </row>
    <row r="239">
      <c r="A239" s="5">
        <f>A238+1</f>
        <v/>
      </c>
      <c r="B239" s="3">
        <f>-SUMIFS(df_extrato_zig!G:G,df_extrato_zig!E:E,Conciliacao!A239,df_extrato_zig!D:D,"Saque")-SUMIFS(df_extrato_zig!G:G,df_extrato_zig!E:E,Conciliacao!A239,df_extrato_zig!D:D,"Antecipação")</f>
        <v/>
      </c>
      <c r="C239" s="3">
        <f>SUMIFS(df_extrato_zig!E:E,df_extrato_zig!L:L,Conciliacao!A239,df_extrato_zig!F:F,"DINHEIRO")</f>
        <v/>
      </c>
      <c r="D239" s="3">
        <f>SUMIFS(view_parc_agrup!H:H,view_parc_agrup!G:G,Conciliacao!A239)</f>
        <v/>
      </c>
      <c r="E239" s="3">
        <f>SUMIFS(df_eventos!F:F,df_eventos!H:H,Conciliacao!A239)</f>
        <v/>
      </c>
      <c r="F239" s="3">
        <f>SUMIFS(df_mutuos!M:M,df_mutuos!B:B,Conciliacao!A239)</f>
        <v/>
      </c>
      <c r="G239" s="6">
        <f>SUMIFS(df_bloqueios_judiciais!G:G,df_bloqueios_judiciais!D:D,Conciliacao!A239,df_bloqueios_judiciais!G:G,"&gt;0")</f>
        <v/>
      </c>
      <c r="H239" s="7">
        <f>SUMIFS(df_extratos!I:I,df_extratos!F:F,Conciliacao!BE239,df_extratos!G:G,"CREDITO")+SUMIFS(df_extratos!I:I,df_extratos!F:F,Conciliacao!A239,df_extratos!G:G,"CREDITO")+SUMIFS(df_extratos!I:I,df_extratos!F:F,Conciliacao!BF239,df_extratos!G:G,"CREDITO")+SUMIFS(df_extratos!I:I,df_extratos!F:F,Conciliacao!BG239,df_extratos!G:G,"CREDITO")+SUMIFS(df_extratos!I:I,df_extratos!F:F,Conciliacao!BH239,df_extratos!G:G,"CREDITO")</f>
        <v/>
      </c>
      <c r="I239" s="9">
        <f>H239-SUM(B239:G239)</f>
        <v/>
      </c>
      <c r="J239" s="4">
        <f>SUMIFS(df_blueme_sem_parcelamento!E:E,df_blueme_sem_parcelamento!H:H,Conciliacao!A239)*(-1)</f>
        <v/>
      </c>
      <c r="K239" s="4">
        <f>SUMIFS(df_blueme_com_parcelamento!J:J,df_blueme_com_parcelamento!M:M,Conciliacao!A239)*(-1)</f>
        <v/>
      </c>
      <c r="L239" s="4">
        <f>SUMIFS(df_mutuos!N:N,df_mutuos!B:B,Conciliacao!A239)*(-1)</f>
        <v/>
      </c>
      <c r="M239" s="8">
        <f>SUMIFS(df_bloqueios_judiciais!G:G,df_bloqueios_judiciais!D:D,Conciliacao!A239,df_bloqueios_judiciais!G:G,"&lt;0")</f>
        <v/>
      </c>
      <c r="N239" s="10">
        <f>SUMIFS(df_extratos!I:I,df_extratos!F:F,Conciliacao!BE239,df_extratos!G:G,"DEBITO")+SUMIFS(df_extratos!I:I,df_extratos!F:F,Conciliacao!A239,df_extratos!G:G,"DEBITO")+SUMIFS(df_extratos!I:I,df_extratos!F:F,Conciliacao!BF239,df_extratos!G:G,"DEBITO")+SUMIFS(df_extratos!I:I,df_extratos!F:F,Conciliacao!BG239,df_extratos!G:G,"DEBITO")+SUMIFS(df_extratos!I:I,df_extratos!F:F,Conciliacao!BH239,df_extratos!G:G,"DEBITO")</f>
        <v/>
      </c>
      <c r="O239" s="11">
        <f>N239-SUM(J239:M239)</f>
        <v/>
      </c>
      <c r="P239" s="25">
        <f>SUMIFS(df_ajustes_conciliaco!D:D,df_ajustes_conciliaco!C:C,Conciliacao!A239)</f>
        <v/>
      </c>
      <c r="Q239" s="22">
        <f>O239+I239-P239</f>
        <v/>
      </c>
      <c r="BE239" s="20" t="n">
        <v>45895.5</v>
      </c>
      <c r="BF239" s="20" t="n">
        <v>45895.125</v>
      </c>
      <c r="BG239" s="20" t="n">
        <v>45895.54166666666</v>
      </c>
      <c r="BH239" s="20" t="n">
        <v>45895.625</v>
      </c>
    </row>
    <row r="240">
      <c r="A240" s="5">
        <f>A239+1</f>
        <v/>
      </c>
      <c r="B240" s="3">
        <f>-SUMIFS(df_extrato_zig!G:G,df_extrato_zig!E:E,Conciliacao!A240,df_extrato_zig!D:D,"Saque")-SUMIFS(df_extrato_zig!G:G,df_extrato_zig!E:E,Conciliacao!A240,df_extrato_zig!D:D,"Antecipação")</f>
        <v/>
      </c>
      <c r="C240" s="3">
        <f>SUMIFS(df_extrato_zig!E:E,df_extrato_zig!L:L,Conciliacao!A240,df_extrato_zig!F:F,"DINHEIRO")</f>
        <v/>
      </c>
      <c r="D240" s="3">
        <f>SUMIFS(view_parc_agrup!H:H,view_parc_agrup!G:G,Conciliacao!A240)</f>
        <v/>
      </c>
      <c r="E240" s="3">
        <f>SUMIFS(df_eventos!F:F,df_eventos!H:H,Conciliacao!A240)</f>
        <v/>
      </c>
      <c r="F240" s="3">
        <f>SUMIFS(df_mutuos!M:M,df_mutuos!B:B,Conciliacao!A240)</f>
        <v/>
      </c>
      <c r="G240" s="6">
        <f>SUMIFS(df_bloqueios_judiciais!G:G,df_bloqueios_judiciais!D:D,Conciliacao!A240,df_bloqueios_judiciais!G:G,"&gt;0")</f>
        <v/>
      </c>
      <c r="H240" s="7">
        <f>SUMIFS(df_extratos!I:I,df_extratos!F:F,Conciliacao!BE240,df_extratos!G:G,"CREDITO")+SUMIFS(df_extratos!I:I,df_extratos!F:F,Conciliacao!A240,df_extratos!G:G,"CREDITO")+SUMIFS(df_extratos!I:I,df_extratos!F:F,Conciliacao!BF240,df_extratos!G:G,"CREDITO")+SUMIFS(df_extratos!I:I,df_extratos!F:F,Conciliacao!BG240,df_extratos!G:G,"CREDITO")+SUMIFS(df_extratos!I:I,df_extratos!F:F,Conciliacao!BH240,df_extratos!G:G,"CREDITO")</f>
        <v/>
      </c>
      <c r="I240" s="9">
        <f>H240-SUM(B240:G240)</f>
        <v/>
      </c>
      <c r="J240" s="4">
        <f>SUMIFS(df_blueme_sem_parcelamento!E:E,df_blueme_sem_parcelamento!H:H,Conciliacao!A240)*(-1)</f>
        <v/>
      </c>
      <c r="K240" s="4">
        <f>SUMIFS(df_blueme_com_parcelamento!J:J,df_blueme_com_parcelamento!M:M,Conciliacao!A240)*(-1)</f>
        <v/>
      </c>
      <c r="L240" s="4">
        <f>SUMIFS(df_mutuos!N:N,df_mutuos!B:B,Conciliacao!A240)*(-1)</f>
        <v/>
      </c>
      <c r="M240" s="8">
        <f>SUMIFS(df_bloqueios_judiciais!G:G,df_bloqueios_judiciais!D:D,Conciliacao!A240,df_bloqueios_judiciais!G:G,"&lt;0")</f>
        <v/>
      </c>
      <c r="N240" s="10">
        <f>SUMIFS(df_extratos!I:I,df_extratos!F:F,Conciliacao!BE240,df_extratos!G:G,"DEBITO")+SUMIFS(df_extratos!I:I,df_extratos!F:F,Conciliacao!A240,df_extratos!G:G,"DEBITO")+SUMIFS(df_extratos!I:I,df_extratos!F:F,Conciliacao!BF240,df_extratos!G:G,"DEBITO")+SUMIFS(df_extratos!I:I,df_extratos!F:F,Conciliacao!BG240,df_extratos!G:G,"DEBITO")+SUMIFS(df_extratos!I:I,df_extratos!F:F,Conciliacao!BH240,df_extratos!G:G,"DEBITO")</f>
        <v/>
      </c>
      <c r="O240" s="11">
        <f>N240-SUM(J240:M240)</f>
        <v/>
      </c>
      <c r="P240" s="25">
        <f>SUMIFS(df_ajustes_conciliaco!D:D,df_ajustes_conciliaco!C:C,Conciliacao!A240)</f>
        <v/>
      </c>
      <c r="Q240" s="22">
        <f>O240+I240-P240</f>
        <v/>
      </c>
      <c r="BE240" s="20" t="n">
        <v>45896.5</v>
      </c>
      <c r="BF240" s="20" t="n">
        <v>45896.125</v>
      </c>
      <c r="BG240" s="20" t="n">
        <v>45896.54166666666</v>
      </c>
      <c r="BH240" s="20" t="n">
        <v>45896.625</v>
      </c>
    </row>
    <row r="241">
      <c r="A241" s="5">
        <f>A240+1</f>
        <v/>
      </c>
      <c r="B241" s="3">
        <f>-SUMIFS(df_extrato_zig!G:G,df_extrato_zig!E:E,Conciliacao!A241,df_extrato_zig!D:D,"Saque")-SUMIFS(df_extrato_zig!G:G,df_extrato_zig!E:E,Conciliacao!A241,df_extrato_zig!D:D,"Antecipação")</f>
        <v/>
      </c>
      <c r="C241" s="3">
        <f>SUMIFS(df_extrato_zig!E:E,df_extrato_zig!L:L,Conciliacao!A241,df_extrato_zig!F:F,"DINHEIRO")</f>
        <v/>
      </c>
      <c r="D241" s="3">
        <f>SUMIFS(view_parc_agrup!H:H,view_parc_agrup!G:G,Conciliacao!A241)</f>
        <v/>
      </c>
      <c r="E241" s="3">
        <f>SUMIFS(df_eventos!F:F,df_eventos!H:H,Conciliacao!A241)</f>
        <v/>
      </c>
      <c r="F241" s="3">
        <f>SUMIFS(df_mutuos!M:M,df_mutuos!B:B,Conciliacao!A241)</f>
        <v/>
      </c>
      <c r="G241" s="6">
        <f>SUMIFS(df_bloqueios_judiciais!G:G,df_bloqueios_judiciais!D:D,Conciliacao!A241,df_bloqueios_judiciais!G:G,"&gt;0")</f>
        <v/>
      </c>
      <c r="H241" s="7">
        <f>SUMIFS(df_extratos!I:I,df_extratos!F:F,Conciliacao!BE241,df_extratos!G:G,"CREDITO")+SUMIFS(df_extratos!I:I,df_extratos!F:F,Conciliacao!A241,df_extratos!G:G,"CREDITO")+SUMIFS(df_extratos!I:I,df_extratos!F:F,Conciliacao!BF241,df_extratos!G:G,"CREDITO")+SUMIFS(df_extratos!I:I,df_extratos!F:F,Conciliacao!BG241,df_extratos!G:G,"CREDITO")+SUMIFS(df_extratos!I:I,df_extratos!F:F,Conciliacao!BH241,df_extratos!G:G,"CREDITO")</f>
        <v/>
      </c>
      <c r="I241" s="9">
        <f>H241-SUM(B241:G241)</f>
        <v/>
      </c>
      <c r="J241" s="4">
        <f>SUMIFS(df_blueme_sem_parcelamento!E:E,df_blueme_sem_parcelamento!H:H,Conciliacao!A241)*(-1)</f>
        <v/>
      </c>
      <c r="K241" s="4">
        <f>SUMIFS(df_blueme_com_parcelamento!J:J,df_blueme_com_parcelamento!M:M,Conciliacao!A241)*(-1)</f>
        <v/>
      </c>
      <c r="L241" s="4">
        <f>SUMIFS(df_mutuos!N:N,df_mutuos!B:B,Conciliacao!A241)*(-1)</f>
        <v/>
      </c>
      <c r="M241" s="8">
        <f>SUMIFS(df_bloqueios_judiciais!G:G,df_bloqueios_judiciais!D:D,Conciliacao!A241,df_bloqueios_judiciais!G:G,"&lt;0")</f>
        <v/>
      </c>
      <c r="N241" s="10">
        <f>SUMIFS(df_extratos!I:I,df_extratos!F:F,Conciliacao!BE241,df_extratos!G:G,"DEBITO")+SUMIFS(df_extratos!I:I,df_extratos!F:F,Conciliacao!A241,df_extratos!G:G,"DEBITO")+SUMIFS(df_extratos!I:I,df_extratos!F:F,Conciliacao!BF241,df_extratos!G:G,"DEBITO")+SUMIFS(df_extratos!I:I,df_extratos!F:F,Conciliacao!BG241,df_extratos!G:G,"DEBITO")+SUMIFS(df_extratos!I:I,df_extratos!F:F,Conciliacao!BH241,df_extratos!G:G,"DEBITO")</f>
        <v/>
      </c>
      <c r="O241" s="11">
        <f>N241-SUM(J241:M241)</f>
        <v/>
      </c>
      <c r="P241" s="25">
        <f>SUMIFS(df_ajustes_conciliaco!D:D,df_ajustes_conciliaco!C:C,Conciliacao!A241)</f>
        <v/>
      </c>
      <c r="Q241" s="22">
        <f>O241+I241-P241</f>
        <v/>
      </c>
      <c r="BE241" s="20" t="n">
        <v>45897.5</v>
      </c>
      <c r="BF241" s="20" t="n">
        <v>45897.125</v>
      </c>
      <c r="BG241" s="20" t="n">
        <v>45897.54166666666</v>
      </c>
      <c r="BH241" s="20" t="n">
        <v>45897.625</v>
      </c>
    </row>
    <row r="242">
      <c r="A242" s="5">
        <f>A241+1</f>
        <v/>
      </c>
      <c r="B242" s="3">
        <f>-SUMIFS(df_extrato_zig!G:G,df_extrato_zig!E:E,Conciliacao!A242,df_extrato_zig!D:D,"Saque")-SUMIFS(df_extrato_zig!G:G,df_extrato_zig!E:E,Conciliacao!A242,df_extrato_zig!D:D,"Antecipação")</f>
        <v/>
      </c>
      <c r="C242" s="3">
        <f>SUMIFS(df_extrato_zig!E:E,df_extrato_zig!L:L,Conciliacao!A242,df_extrato_zig!F:F,"DINHEIRO")</f>
        <v/>
      </c>
      <c r="D242" s="3">
        <f>SUMIFS(view_parc_agrup!H:H,view_parc_agrup!G:G,Conciliacao!A242)</f>
        <v/>
      </c>
      <c r="E242" s="3">
        <f>SUMIFS(df_eventos!F:F,df_eventos!H:H,Conciliacao!A242)</f>
        <v/>
      </c>
      <c r="F242" s="3">
        <f>SUMIFS(df_mutuos!M:M,df_mutuos!B:B,Conciliacao!A242)</f>
        <v/>
      </c>
      <c r="G242" s="6">
        <f>SUMIFS(df_bloqueios_judiciais!G:G,df_bloqueios_judiciais!D:D,Conciliacao!A242,df_bloqueios_judiciais!G:G,"&gt;0")</f>
        <v/>
      </c>
      <c r="H242" s="7">
        <f>SUMIFS(df_extratos!I:I,df_extratos!F:F,Conciliacao!BE242,df_extratos!G:G,"CREDITO")+SUMIFS(df_extratos!I:I,df_extratos!F:F,Conciliacao!A242,df_extratos!G:G,"CREDITO")+SUMIFS(df_extratos!I:I,df_extratos!F:F,Conciliacao!BF242,df_extratos!G:G,"CREDITO")+SUMIFS(df_extratos!I:I,df_extratos!F:F,Conciliacao!BG242,df_extratos!G:G,"CREDITO")+SUMIFS(df_extratos!I:I,df_extratos!F:F,Conciliacao!BH242,df_extratos!G:G,"CREDITO")</f>
        <v/>
      </c>
      <c r="I242" s="9">
        <f>H242-SUM(B242:G242)</f>
        <v/>
      </c>
      <c r="J242" s="4">
        <f>SUMIFS(df_blueme_sem_parcelamento!E:E,df_blueme_sem_parcelamento!H:H,Conciliacao!A242)*(-1)</f>
        <v/>
      </c>
      <c r="K242" s="4">
        <f>SUMIFS(df_blueme_com_parcelamento!J:J,df_blueme_com_parcelamento!M:M,Conciliacao!A242)*(-1)</f>
        <v/>
      </c>
      <c r="L242" s="4">
        <f>SUMIFS(df_mutuos!N:N,df_mutuos!B:B,Conciliacao!A242)*(-1)</f>
        <v/>
      </c>
      <c r="M242" s="8">
        <f>SUMIFS(df_bloqueios_judiciais!G:G,df_bloqueios_judiciais!D:D,Conciliacao!A242,df_bloqueios_judiciais!G:G,"&lt;0")</f>
        <v/>
      </c>
      <c r="N242" s="10">
        <f>SUMIFS(df_extratos!I:I,df_extratos!F:F,Conciliacao!BE242,df_extratos!G:G,"DEBITO")+SUMIFS(df_extratos!I:I,df_extratos!F:F,Conciliacao!A242,df_extratos!G:G,"DEBITO")+SUMIFS(df_extratos!I:I,df_extratos!F:F,Conciliacao!BF242,df_extratos!G:G,"DEBITO")+SUMIFS(df_extratos!I:I,df_extratos!F:F,Conciliacao!BG242,df_extratos!G:G,"DEBITO")+SUMIFS(df_extratos!I:I,df_extratos!F:F,Conciliacao!BH242,df_extratos!G:G,"DEBITO")</f>
        <v/>
      </c>
      <c r="O242" s="11">
        <f>N242-SUM(J242:M242)</f>
        <v/>
      </c>
      <c r="P242" s="25">
        <f>SUMIFS(df_ajustes_conciliaco!D:D,df_ajustes_conciliaco!C:C,Conciliacao!A242)</f>
        <v/>
      </c>
      <c r="Q242" s="22">
        <f>O242+I242-P242</f>
        <v/>
      </c>
      <c r="BE242" s="20" t="n">
        <v>45898.5</v>
      </c>
      <c r="BF242" s="20" t="n">
        <v>45898.125</v>
      </c>
      <c r="BG242" s="20" t="n">
        <v>45898.54166666666</v>
      </c>
      <c r="BH242" s="20" t="n">
        <v>45898.625</v>
      </c>
    </row>
    <row r="243">
      <c r="A243" s="5">
        <f>A242+1</f>
        <v/>
      </c>
      <c r="B243" s="3">
        <f>-SUMIFS(df_extrato_zig!G:G,df_extrato_zig!E:E,Conciliacao!A243,df_extrato_zig!D:D,"Saque")-SUMIFS(df_extrato_zig!G:G,df_extrato_zig!E:E,Conciliacao!A243,df_extrato_zig!D:D,"Antecipação")</f>
        <v/>
      </c>
      <c r="C243" s="3">
        <f>SUMIFS(df_extrato_zig!E:E,df_extrato_zig!L:L,Conciliacao!A243,df_extrato_zig!F:F,"DINHEIRO")</f>
        <v/>
      </c>
      <c r="D243" s="3">
        <f>SUMIFS(view_parc_agrup!H:H,view_parc_agrup!G:G,Conciliacao!A243)</f>
        <v/>
      </c>
      <c r="E243" s="3">
        <f>SUMIFS(df_eventos!F:F,df_eventos!H:H,Conciliacao!A243)</f>
        <v/>
      </c>
      <c r="F243" s="3">
        <f>SUMIFS(df_mutuos!M:M,df_mutuos!B:B,Conciliacao!A243)</f>
        <v/>
      </c>
      <c r="G243" s="6">
        <f>SUMIFS(df_bloqueios_judiciais!G:G,df_bloqueios_judiciais!D:D,Conciliacao!A243,df_bloqueios_judiciais!G:G,"&gt;0")</f>
        <v/>
      </c>
      <c r="H243" s="7">
        <f>SUMIFS(df_extratos!I:I,df_extratos!F:F,Conciliacao!BE243,df_extratos!G:G,"CREDITO")+SUMIFS(df_extratos!I:I,df_extratos!F:F,Conciliacao!A243,df_extratos!G:G,"CREDITO")+SUMIFS(df_extratos!I:I,df_extratos!F:F,Conciliacao!BF243,df_extratos!G:G,"CREDITO")+SUMIFS(df_extratos!I:I,df_extratos!F:F,Conciliacao!BG243,df_extratos!G:G,"CREDITO")+SUMIFS(df_extratos!I:I,df_extratos!F:F,Conciliacao!BH243,df_extratos!G:G,"CREDITO")</f>
        <v/>
      </c>
      <c r="I243" s="9">
        <f>H243-SUM(B243:G243)</f>
        <v/>
      </c>
      <c r="J243" s="4">
        <f>SUMIFS(df_blueme_sem_parcelamento!E:E,df_blueme_sem_parcelamento!H:H,Conciliacao!A243)*(-1)</f>
        <v/>
      </c>
      <c r="K243" s="4">
        <f>SUMIFS(df_blueme_com_parcelamento!J:J,df_blueme_com_parcelamento!M:M,Conciliacao!A243)*(-1)</f>
        <v/>
      </c>
      <c r="L243" s="4">
        <f>SUMIFS(df_mutuos!N:N,df_mutuos!B:B,Conciliacao!A243)*(-1)</f>
        <v/>
      </c>
      <c r="M243" s="8">
        <f>SUMIFS(df_bloqueios_judiciais!G:G,df_bloqueios_judiciais!D:D,Conciliacao!A243,df_bloqueios_judiciais!G:G,"&lt;0")</f>
        <v/>
      </c>
      <c r="N243" s="10">
        <f>SUMIFS(df_extratos!I:I,df_extratos!F:F,Conciliacao!BE243,df_extratos!G:G,"DEBITO")+SUMIFS(df_extratos!I:I,df_extratos!F:F,Conciliacao!A243,df_extratos!G:G,"DEBITO")+SUMIFS(df_extratos!I:I,df_extratos!F:F,Conciliacao!BF243,df_extratos!G:G,"DEBITO")+SUMIFS(df_extratos!I:I,df_extratos!F:F,Conciliacao!BG243,df_extratos!G:G,"DEBITO")+SUMIFS(df_extratos!I:I,df_extratos!F:F,Conciliacao!BH243,df_extratos!G:G,"DEBITO")</f>
        <v/>
      </c>
      <c r="O243" s="11">
        <f>N243-SUM(J243:M243)</f>
        <v/>
      </c>
      <c r="P243" s="25">
        <f>SUMIFS(df_ajustes_conciliaco!D:D,df_ajustes_conciliaco!C:C,Conciliacao!A243)</f>
        <v/>
      </c>
      <c r="Q243" s="22">
        <f>O243+I243-P243</f>
        <v/>
      </c>
      <c r="BE243" s="20" t="n">
        <v>45899.5</v>
      </c>
      <c r="BF243" s="20" t="n">
        <v>45899.125</v>
      </c>
      <c r="BG243" s="20" t="n">
        <v>45899.54166666666</v>
      </c>
      <c r="BH243" s="20" t="n">
        <v>45899.625</v>
      </c>
    </row>
    <row r="244">
      <c r="A244" s="5">
        <f>A243+1</f>
        <v/>
      </c>
      <c r="B244" s="3">
        <f>-SUMIFS(df_extrato_zig!G:G,df_extrato_zig!E:E,Conciliacao!A244,df_extrato_zig!D:D,"Saque")-SUMIFS(df_extrato_zig!G:G,df_extrato_zig!E:E,Conciliacao!A244,df_extrato_zig!D:D,"Antecipação")</f>
        <v/>
      </c>
      <c r="C244" s="3">
        <f>SUMIFS(df_extrato_zig!E:E,df_extrato_zig!L:L,Conciliacao!A244,df_extrato_zig!F:F,"DINHEIRO")</f>
        <v/>
      </c>
      <c r="D244" s="3">
        <f>SUMIFS(view_parc_agrup!H:H,view_parc_agrup!G:G,Conciliacao!A244)</f>
        <v/>
      </c>
      <c r="E244" s="3">
        <f>SUMIFS(df_eventos!F:F,df_eventos!H:H,Conciliacao!A244)</f>
        <v/>
      </c>
      <c r="F244" s="3">
        <f>SUMIFS(df_mutuos!M:M,df_mutuos!B:B,Conciliacao!A244)</f>
        <v/>
      </c>
      <c r="G244" s="6">
        <f>SUMIFS(df_bloqueios_judiciais!G:G,df_bloqueios_judiciais!D:D,Conciliacao!A244,df_bloqueios_judiciais!G:G,"&gt;0")</f>
        <v/>
      </c>
      <c r="H244" s="7">
        <f>SUMIFS(df_extratos!I:I,df_extratos!F:F,Conciliacao!BE244,df_extratos!G:G,"CREDITO")+SUMIFS(df_extratos!I:I,df_extratos!F:F,Conciliacao!A244,df_extratos!G:G,"CREDITO")+SUMIFS(df_extratos!I:I,df_extratos!F:F,Conciliacao!BF244,df_extratos!G:G,"CREDITO")+SUMIFS(df_extratos!I:I,df_extratos!F:F,Conciliacao!BG244,df_extratos!G:G,"CREDITO")+SUMIFS(df_extratos!I:I,df_extratos!F:F,Conciliacao!BH244,df_extratos!G:G,"CREDITO")</f>
        <v/>
      </c>
      <c r="I244" s="9">
        <f>H244-SUM(B244:G244)</f>
        <v/>
      </c>
      <c r="J244" s="4">
        <f>SUMIFS(df_blueme_sem_parcelamento!E:E,df_blueme_sem_parcelamento!H:H,Conciliacao!A244)*(-1)</f>
        <v/>
      </c>
      <c r="K244" s="4">
        <f>SUMIFS(df_blueme_com_parcelamento!J:J,df_blueme_com_parcelamento!M:M,Conciliacao!A244)*(-1)</f>
        <v/>
      </c>
      <c r="L244" s="4">
        <f>SUMIFS(df_mutuos!N:N,df_mutuos!B:B,Conciliacao!A244)*(-1)</f>
        <v/>
      </c>
      <c r="M244" s="8">
        <f>SUMIFS(df_bloqueios_judiciais!G:G,df_bloqueios_judiciais!D:D,Conciliacao!A244,df_bloqueios_judiciais!G:G,"&lt;0")</f>
        <v/>
      </c>
      <c r="N244" s="10">
        <f>SUMIFS(df_extratos!I:I,df_extratos!F:F,Conciliacao!BE244,df_extratos!G:G,"DEBITO")+SUMIFS(df_extratos!I:I,df_extratos!F:F,Conciliacao!A244,df_extratos!G:G,"DEBITO")+SUMIFS(df_extratos!I:I,df_extratos!F:F,Conciliacao!BF244,df_extratos!G:G,"DEBITO")+SUMIFS(df_extratos!I:I,df_extratos!F:F,Conciliacao!BG244,df_extratos!G:G,"DEBITO")+SUMIFS(df_extratos!I:I,df_extratos!F:F,Conciliacao!BH244,df_extratos!G:G,"DEBITO")</f>
        <v/>
      </c>
      <c r="O244" s="11">
        <f>N244-SUM(J244:M244)</f>
        <v/>
      </c>
      <c r="P244" s="25">
        <f>SUMIFS(df_ajustes_conciliaco!D:D,df_ajustes_conciliaco!C:C,Conciliacao!A244)</f>
        <v/>
      </c>
      <c r="Q244" s="22">
        <f>O244+I244-P244</f>
        <v/>
      </c>
      <c r="BE244" s="20" t="n">
        <v>45900.5</v>
      </c>
      <c r="BF244" s="20" t="n">
        <v>45900.125</v>
      </c>
      <c r="BG244" s="20" t="n">
        <v>45900.54166666666</v>
      </c>
      <c r="BH244" s="20" t="n">
        <v>45900.625</v>
      </c>
    </row>
    <row r="245">
      <c r="A245" s="5">
        <f>A244+1</f>
        <v/>
      </c>
      <c r="B245" s="3">
        <f>-SUMIFS(df_extrato_zig!G:G,df_extrato_zig!E:E,Conciliacao!A245,df_extrato_zig!D:D,"Saque")-SUMIFS(df_extrato_zig!G:G,df_extrato_zig!E:E,Conciliacao!A245,df_extrato_zig!D:D,"Antecipação")</f>
        <v/>
      </c>
      <c r="C245" s="3">
        <f>SUMIFS(df_extrato_zig!E:E,df_extrato_zig!L:L,Conciliacao!A245,df_extrato_zig!F:F,"DINHEIRO")</f>
        <v/>
      </c>
      <c r="D245" s="3">
        <f>SUMIFS(view_parc_agrup!H:H,view_parc_agrup!G:G,Conciliacao!A245)</f>
        <v/>
      </c>
      <c r="E245" s="3">
        <f>SUMIFS(df_eventos!F:F,df_eventos!H:H,Conciliacao!A245)</f>
        <v/>
      </c>
      <c r="F245" s="3">
        <f>SUMIFS(df_mutuos!M:M,df_mutuos!B:B,Conciliacao!A245)</f>
        <v/>
      </c>
      <c r="G245" s="6">
        <f>SUMIFS(df_bloqueios_judiciais!G:G,df_bloqueios_judiciais!D:D,Conciliacao!A245,df_bloqueios_judiciais!G:G,"&gt;0")</f>
        <v/>
      </c>
      <c r="H245" s="7">
        <f>SUMIFS(df_extratos!I:I,df_extratos!F:F,Conciliacao!BE245,df_extratos!G:G,"CREDITO")+SUMIFS(df_extratos!I:I,df_extratos!F:F,Conciliacao!A245,df_extratos!G:G,"CREDITO")+SUMIFS(df_extratos!I:I,df_extratos!F:F,Conciliacao!BF245,df_extratos!G:G,"CREDITO")+SUMIFS(df_extratos!I:I,df_extratos!F:F,Conciliacao!BG245,df_extratos!G:G,"CREDITO")+SUMIFS(df_extratos!I:I,df_extratos!F:F,Conciliacao!BH245,df_extratos!G:G,"CREDITO")</f>
        <v/>
      </c>
      <c r="I245" s="9">
        <f>H245-SUM(B245:G245)</f>
        <v/>
      </c>
      <c r="J245" s="4">
        <f>SUMIFS(df_blueme_sem_parcelamento!E:E,df_blueme_sem_parcelamento!H:H,Conciliacao!A245)*(-1)</f>
        <v/>
      </c>
      <c r="K245" s="4">
        <f>SUMIFS(df_blueme_com_parcelamento!J:J,df_blueme_com_parcelamento!M:M,Conciliacao!A245)*(-1)</f>
        <v/>
      </c>
      <c r="L245" s="4">
        <f>SUMIFS(df_mutuos!N:N,df_mutuos!B:B,Conciliacao!A245)*(-1)</f>
        <v/>
      </c>
      <c r="M245" s="8">
        <f>SUMIFS(df_bloqueios_judiciais!G:G,df_bloqueios_judiciais!D:D,Conciliacao!A245,df_bloqueios_judiciais!G:G,"&lt;0")</f>
        <v/>
      </c>
      <c r="N245" s="10">
        <f>SUMIFS(df_extratos!I:I,df_extratos!F:F,Conciliacao!BE245,df_extratos!G:G,"DEBITO")+SUMIFS(df_extratos!I:I,df_extratos!F:F,Conciliacao!A245,df_extratos!G:G,"DEBITO")+SUMIFS(df_extratos!I:I,df_extratos!F:F,Conciliacao!BF245,df_extratos!G:G,"DEBITO")+SUMIFS(df_extratos!I:I,df_extratos!F:F,Conciliacao!BG245,df_extratos!G:G,"DEBITO")+SUMIFS(df_extratos!I:I,df_extratos!F:F,Conciliacao!BH245,df_extratos!G:G,"DEBITO")</f>
        <v/>
      </c>
      <c r="O245" s="11">
        <f>N245-SUM(J245:M245)</f>
        <v/>
      </c>
      <c r="P245" s="25">
        <f>SUMIFS(df_ajustes_conciliaco!D:D,df_ajustes_conciliaco!C:C,Conciliacao!A245)</f>
        <v/>
      </c>
      <c r="Q245" s="22">
        <f>O245+I245-P245</f>
        <v/>
      </c>
      <c r="BE245" s="20" t="n">
        <v>45901.5</v>
      </c>
      <c r="BF245" s="20" t="n">
        <v>45901.125</v>
      </c>
      <c r="BG245" s="20" t="n">
        <v>45901.54166666666</v>
      </c>
      <c r="BH245" s="20" t="n">
        <v>45901.625</v>
      </c>
    </row>
    <row r="246">
      <c r="A246" s="5">
        <f>A245+1</f>
        <v/>
      </c>
      <c r="B246" s="3">
        <f>-SUMIFS(df_extrato_zig!G:G,df_extrato_zig!E:E,Conciliacao!A246,df_extrato_zig!D:D,"Saque")-SUMIFS(df_extrato_zig!G:G,df_extrato_zig!E:E,Conciliacao!A246,df_extrato_zig!D:D,"Antecipação")</f>
        <v/>
      </c>
      <c r="C246" s="3">
        <f>SUMIFS(df_extrato_zig!E:E,df_extrato_zig!L:L,Conciliacao!A246,df_extrato_zig!F:F,"DINHEIRO")</f>
        <v/>
      </c>
      <c r="D246" s="3">
        <f>SUMIFS(view_parc_agrup!H:H,view_parc_agrup!G:G,Conciliacao!A246)</f>
        <v/>
      </c>
      <c r="E246" s="3">
        <f>SUMIFS(df_eventos!F:F,df_eventos!H:H,Conciliacao!A246)</f>
        <v/>
      </c>
      <c r="F246" s="3">
        <f>SUMIFS(df_mutuos!M:M,df_mutuos!B:B,Conciliacao!A246)</f>
        <v/>
      </c>
      <c r="G246" s="6">
        <f>SUMIFS(df_bloqueios_judiciais!G:G,df_bloqueios_judiciais!D:D,Conciliacao!A246,df_bloqueios_judiciais!G:G,"&gt;0")</f>
        <v/>
      </c>
      <c r="H246" s="7">
        <f>SUMIFS(df_extratos!I:I,df_extratos!F:F,Conciliacao!BE246,df_extratos!G:G,"CREDITO")+SUMIFS(df_extratos!I:I,df_extratos!F:F,Conciliacao!A246,df_extratos!G:G,"CREDITO")+SUMIFS(df_extratos!I:I,df_extratos!F:F,Conciliacao!BF246,df_extratos!G:G,"CREDITO")+SUMIFS(df_extratos!I:I,df_extratos!F:F,Conciliacao!BG246,df_extratos!G:G,"CREDITO")+SUMIFS(df_extratos!I:I,df_extratos!F:F,Conciliacao!BH246,df_extratos!G:G,"CREDITO")</f>
        <v/>
      </c>
      <c r="I246" s="9">
        <f>H246-SUM(B246:G246)</f>
        <v/>
      </c>
      <c r="J246" s="4">
        <f>SUMIFS(df_blueme_sem_parcelamento!E:E,df_blueme_sem_parcelamento!H:H,Conciliacao!A246)*(-1)</f>
        <v/>
      </c>
      <c r="K246" s="4">
        <f>SUMIFS(df_blueme_com_parcelamento!J:J,df_blueme_com_parcelamento!M:M,Conciliacao!A246)*(-1)</f>
        <v/>
      </c>
      <c r="L246" s="4">
        <f>SUMIFS(df_mutuos!N:N,df_mutuos!B:B,Conciliacao!A246)*(-1)</f>
        <v/>
      </c>
      <c r="M246" s="8">
        <f>SUMIFS(df_bloqueios_judiciais!G:G,df_bloqueios_judiciais!D:D,Conciliacao!A246,df_bloqueios_judiciais!G:G,"&lt;0")</f>
        <v/>
      </c>
      <c r="N246" s="10">
        <f>SUMIFS(df_extratos!I:I,df_extratos!F:F,Conciliacao!BE246,df_extratos!G:G,"DEBITO")+SUMIFS(df_extratos!I:I,df_extratos!F:F,Conciliacao!A246,df_extratos!G:G,"DEBITO")+SUMIFS(df_extratos!I:I,df_extratos!F:F,Conciliacao!BF246,df_extratos!G:G,"DEBITO")+SUMIFS(df_extratos!I:I,df_extratos!F:F,Conciliacao!BG246,df_extratos!G:G,"DEBITO")+SUMIFS(df_extratos!I:I,df_extratos!F:F,Conciliacao!BH246,df_extratos!G:G,"DEBITO")</f>
        <v/>
      </c>
      <c r="O246" s="11">
        <f>N246-SUM(J246:M246)</f>
        <v/>
      </c>
      <c r="P246" s="25">
        <f>SUMIFS(df_ajustes_conciliaco!D:D,df_ajustes_conciliaco!C:C,Conciliacao!A246)</f>
        <v/>
      </c>
      <c r="Q246" s="22">
        <f>O246+I246-P246</f>
        <v/>
      </c>
      <c r="BE246" s="20" t="n">
        <v>45902.5</v>
      </c>
      <c r="BF246" s="20" t="n">
        <v>45902.125</v>
      </c>
      <c r="BG246" s="20" t="n">
        <v>45902.54166666666</v>
      </c>
      <c r="BH246" s="20" t="n">
        <v>45902.625</v>
      </c>
    </row>
    <row r="247">
      <c r="A247" s="5">
        <f>A246+1</f>
        <v/>
      </c>
      <c r="B247" s="3">
        <f>-SUMIFS(df_extrato_zig!G:G,df_extrato_zig!E:E,Conciliacao!A247,df_extrato_zig!D:D,"Saque")-SUMIFS(df_extrato_zig!G:G,df_extrato_zig!E:E,Conciliacao!A247,df_extrato_zig!D:D,"Antecipação")</f>
        <v/>
      </c>
      <c r="C247" s="3">
        <f>SUMIFS(df_extrato_zig!E:E,df_extrato_zig!L:L,Conciliacao!A247,df_extrato_zig!F:F,"DINHEIRO")</f>
        <v/>
      </c>
      <c r="D247" s="3">
        <f>SUMIFS(view_parc_agrup!H:H,view_parc_agrup!G:G,Conciliacao!A247)</f>
        <v/>
      </c>
      <c r="E247" s="3">
        <f>SUMIFS(df_eventos!F:F,df_eventos!H:H,Conciliacao!A247)</f>
        <v/>
      </c>
      <c r="F247" s="3">
        <f>SUMIFS(df_mutuos!M:M,df_mutuos!B:B,Conciliacao!A247)</f>
        <v/>
      </c>
      <c r="G247" s="6">
        <f>SUMIFS(df_bloqueios_judiciais!G:G,df_bloqueios_judiciais!D:D,Conciliacao!A247,df_bloqueios_judiciais!G:G,"&gt;0")</f>
        <v/>
      </c>
      <c r="H247" s="7">
        <f>SUMIFS(df_extratos!I:I,df_extratos!F:F,Conciliacao!BE247,df_extratos!G:G,"CREDITO")+SUMIFS(df_extratos!I:I,df_extratos!F:F,Conciliacao!A247,df_extratos!G:G,"CREDITO")+SUMIFS(df_extratos!I:I,df_extratos!F:F,Conciliacao!BF247,df_extratos!G:G,"CREDITO")+SUMIFS(df_extratos!I:I,df_extratos!F:F,Conciliacao!BG247,df_extratos!G:G,"CREDITO")+SUMIFS(df_extratos!I:I,df_extratos!F:F,Conciliacao!BH247,df_extratos!G:G,"CREDITO")</f>
        <v/>
      </c>
      <c r="I247" s="9">
        <f>H247-SUM(B247:G247)</f>
        <v/>
      </c>
      <c r="J247" s="4">
        <f>SUMIFS(df_blueme_sem_parcelamento!E:E,df_blueme_sem_parcelamento!H:H,Conciliacao!A247)*(-1)</f>
        <v/>
      </c>
      <c r="K247" s="4">
        <f>SUMIFS(df_blueme_com_parcelamento!J:J,df_blueme_com_parcelamento!M:M,Conciliacao!A247)*(-1)</f>
        <v/>
      </c>
      <c r="L247" s="4">
        <f>SUMIFS(df_mutuos!N:N,df_mutuos!B:B,Conciliacao!A247)*(-1)</f>
        <v/>
      </c>
      <c r="M247" s="8">
        <f>SUMIFS(df_bloqueios_judiciais!G:G,df_bloqueios_judiciais!D:D,Conciliacao!A247,df_bloqueios_judiciais!G:G,"&lt;0")</f>
        <v/>
      </c>
      <c r="N247" s="10">
        <f>SUMIFS(df_extratos!I:I,df_extratos!F:F,Conciliacao!BE247,df_extratos!G:G,"DEBITO")+SUMIFS(df_extratos!I:I,df_extratos!F:F,Conciliacao!A247,df_extratos!G:G,"DEBITO")+SUMIFS(df_extratos!I:I,df_extratos!F:F,Conciliacao!BF247,df_extratos!G:G,"DEBITO")+SUMIFS(df_extratos!I:I,df_extratos!F:F,Conciliacao!BG247,df_extratos!G:G,"DEBITO")+SUMIFS(df_extratos!I:I,df_extratos!F:F,Conciliacao!BH247,df_extratos!G:G,"DEBITO")</f>
        <v/>
      </c>
      <c r="O247" s="11">
        <f>N247-SUM(J247:M247)</f>
        <v/>
      </c>
      <c r="P247" s="25">
        <f>SUMIFS(df_ajustes_conciliaco!D:D,df_ajustes_conciliaco!C:C,Conciliacao!A247)</f>
        <v/>
      </c>
      <c r="Q247" s="22">
        <f>O247+I247-P247</f>
        <v/>
      </c>
      <c r="BE247" s="20" t="n">
        <v>45903.5</v>
      </c>
      <c r="BF247" s="20" t="n">
        <v>45903.125</v>
      </c>
      <c r="BG247" s="20" t="n">
        <v>45903.54166666666</v>
      </c>
      <c r="BH247" s="20" t="n">
        <v>45903.625</v>
      </c>
    </row>
    <row r="248">
      <c r="A248" s="5">
        <f>A247+1</f>
        <v/>
      </c>
      <c r="B248" s="3">
        <f>-SUMIFS(df_extrato_zig!G:G,df_extrato_zig!E:E,Conciliacao!A248,df_extrato_zig!D:D,"Saque")-SUMIFS(df_extrato_zig!G:G,df_extrato_zig!E:E,Conciliacao!A248,df_extrato_zig!D:D,"Antecipação")</f>
        <v/>
      </c>
      <c r="C248" s="3">
        <f>SUMIFS(df_extrato_zig!E:E,df_extrato_zig!L:L,Conciliacao!A248,df_extrato_zig!F:F,"DINHEIRO")</f>
        <v/>
      </c>
      <c r="D248" s="3">
        <f>SUMIFS(view_parc_agrup!H:H,view_parc_agrup!G:G,Conciliacao!A248)</f>
        <v/>
      </c>
      <c r="E248" s="3">
        <f>SUMIFS(df_eventos!F:F,df_eventos!H:H,Conciliacao!A248)</f>
        <v/>
      </c>
      <c r="F248" s="3">
        <f>SUMIFS(df_mutuos!M:M,df_mutuos!B:B,Conciliacao!A248)</f>
        <v/>
      </c>
      <c r="G248" s="6">
        <f>SUMIFS(df_bloqueios_judiciais!G:G,df_bloqueios_judiciais!D:D,Conciliacao!A248,df_bloqueios_judiciais!G:G,"&gt;0")</f>
        <v/>
      </c>
      <c r="H248" s="7">
        <f>SUMIFS(df_extratos!I:I,df_extratos!F:F,Conciliacao!BE248,df_extratos!G:G,"CREDITO")+SUMIFS(df_extratos!I:I,df_extratos!F:F,Conciliacao!A248,df_extratos!G:G,"CREDITO")+SUMIFS(df_extratos!I:I,df_extratos!F:F,Conciliacao!BF248,df_extratos!G:G,"CREDITO")+SUMIFS(df_extratos!I:I,df_extratos!F:F,Conciliacao!BG248,df_extratos!G:G,"CREDITO")+SUMIFS(df_extratos!I:I,df_extratos!F:F,Conciliacao!BH248,df_extratos!G:G,"CREDITO")</f>
        <v/>
      </c>
      <c r="I248" s="9">
        <f>H248-SUM(B248:G248)</f>
        <v/>
      </c>
      <c r="J248" s="4">
        <f>SUMIFS(df_blueme_sem_parcelamento!E:E,df_blueme_sem_parcelamento!H:H,Conciliacao!A248)*(-1)</f>
        <v/>
      </c>
      <c r="K248" s="4">
        <f>SUMIFS(df_blueme_com_parcelamento!J:J,df_blueme_com_parcelamento!M:M,Conciliacao!A248)*(-1)</f>
        <v/>
      </c>
      <c r="L248" s="4">
        <f>SUMIFS(df_mutuos!N:N,df_mutuos!B:B,Conciliacao!A248)*(-1)</f>
        <v/>
      </c>
      <c r="M248" s="8">
        <f>SUMIFS(df_bloqueios_judiciais!G:G,df_bloqueios_judiciais!D:D,Conciliacao!A248,df_bloqueios_judiciais!G:G,"&lt;0")</f>
        <v/>
      </c>
      <c r="N248" s="10">
        <f>SUMIFS(df_extratos!I:I,df_extratos!F:F,Conciliacao!BE248,df_extratos!G:G,"DEBITO")+SUMIFS(df_extratos!I:I,df_extratos!F:F,Conciliacao!A248,df_extratos!G:G,"DEBITO")+SUMIFS(df_extratos!I:I,df_extratos!F:F,Conciliacao!BF248,df_extratos!G:G,"DEBITO")+SUMIFS(df_extratos!I:I,df_extratos!F:F,Conciliacao!BG248,df_extratos!G:G,"DEBITO")+SUMIFS(df_extratos!I:I,df_extratos!F:F,Conciliacao!BH248,df_extratos!G:G,"DEBITO")</f>
        <v/>
      </c>
      <c r="O248" s="11">
        <f>N248-SUM(J248:M248)</f>
        <v/>
      </c>
      <c r="P248" s="25">
        <f>SUMIFS(df_ajustes_conciliaco!D:D,df_ajustes_conciliaco!C:C,Conciliacao!A248)</f>
        <v/>
      </c>
      <c r="Q248" s="22">
        <f>O248+I248-P248</f>
        <v/>
      </c>
      <c r="BE248" s="20" t="n">
        <v>45904.5</v>
      </c>
      <c r="BF248" s="20" t="n">
        <v>45904.125</v>
      </c>
      <c r="BG248" s="20" t="n">
        <v>45904.54166666666</v>
      </c>
      <c r="BH248" s="20" t="n">
        <v>45904.625</v>
      </c>
    </row>
    <row r="249">
      <c r="A249" s="5">
        <f>A248+1</f>
        <v/>
      </c>
      <c r="B249" s="3">
        <f>-SUMIFS(df_extrato_zig!G:G,df_extrato_zig!E:E,Conciliacao!A249,df_extrato_zig!D:D,"Saque")-SUMIFS(df_extrato_zig!G:G,df_extrato_zig!E:E,Conciliacao!A249,df_extrato_zig!D:D,"Antecipação")</f>
        <v/>
      </c>
      <c r="C249" s="3">
        <f>SUMIFS(df_extrato_zig!E:E,df_extrato_zig!L:L,Conciliacao!A249,df_extrato_zig!F:F,"DINHEIRO")</f>
        <v/>
      </c>
      <c r="D249" s="3">
        <f>SUMIFS(view_parc_agrup!H:H,view_parc_agrup!G:G,Conciliacao!A249)</f>
        <v/>
      </c>
      <c r="E249" s="3">
        <f>SUMIFS(df_eventos!F:F,df_eventos!H:H,Conciliacao!A249)</f>
        <v/>
      </c>
      <c r="F249" s="3">
        <f>SUMIFS(df_mutuos!M:M,df_mutuos!B:B,Conciliacao!A249)</f>
        <v/>
      </c>
      <c r="G249" s="6">
        <f>SUMIFS(df_bloqueios_judiciais!G:G,df_bloqueios_judiciais!D:D,Conciliacao!A249,df_bloqueios_judiciais!G:G,"&gt;0")</f>
        <v/>
      </c>
      <c r="H249" s="7">
        <f>SUMIFS(df_extratos!I:I,df_extratos!F:F,Conciliacao!BE249,df_extratos!G:G,"CREDITO")+SUMIFS(df_extratos!I:I,df_extratos!F:F,Conciliacao!A249,df_extratos!G:G,"CREDITO")+SUMIFS(df_extratos!I:I,df_extratos!F:F,Conciliacao!BF249,df_extratos!G:G,"CREDITO")+SUMIFS(df_extratos!I:I,df_extratos!F:F,Conciliacao!BG249,df_extratos!G:G,"CREDITO")+SUMIFS(df_extratos!I:I,df_extratos!F:F,Conciliacao!BH249,df_extratos!G:G,"CREDITO")</f>
        <v/>
      </c>
      <c r="I249" s="9">
        <f>H249-SUM(B249:G249)</f>
        <v/>
      </c>
      <c r="J249" s="4">
        <f>SUMIFS(df_blueme_sem_parcelamento!E:E,df_blueme_sem_parcelamento!H:H,Conciliacao!A249)*(-1)</f>
        <v/>
      </c>
      <c r="K249" s="4">
        <f>SUMIFS(df_blueme_com_parcelamento!J:J,df_blueme_com_parcelamento!M:M,Conciliacao!A249)*(-1)</f>
        <v/>
      </c>
      <c r="L249" s="4">
        <f>SUMIFS(df_mutuos!N:N,df_mutuos!B:B,Conciliacao!A249)*(-1)</f>
        <v/>
      </c>
      <c r="M249" s="8">
        <f>SUMIFS(df_bloqueios_judiciais!G:G,df_bloqueios_judiciais!D:D,Conciliacao!A249,df_bloqueios_judiciais!G:G,"&lt;0")</f>
        <v/>
      </c>
      <c r="N249" s="10">
        <f>SUMIFS(df_extratos!I:I,df_extratos!F:F,Conciliacao!BE249,df_extratos!G:G,"DEBITO")+SUMIFS(df_extratos!I:I,df_extratos!F:F,Conciliacao!A249,df_extratos!G:G,"DEBITO")+SUMIFS(df_extratos!I:I,df_extratos!F:F,Conciliacao!BF249,df_extratos!G:G,"DEBITO")+SUMIFS(df_extratos!I:I,df_extratos!F:F,Conciliacao!BG249,df_extratos!G:G,"DEBITO")+SUMIFS(df_extratos!I:I,df_extratos!F:F,Conciliacao!BH249,df_extratos!G:G,"DEBITO")</f>
        <v/>
      </c>
      <c r="O249" s="11">
        <f>N249-SUM(J249:M249)</f>
        <v/>
      </c>
      <c r="P249" s="25">
        <f>SUMIFS(df_ajustes_conciliaco!D:D,df_ajustes_conciliaco!C:C,Conciliacao!A249)</f>
        <v/>
      </c>
      <c r="Q249" s="22">
        <f>O249+I249-P249</f>
        <v/>
      </c>
      <c r="BE249" s="20" t="n">
        <v>45905.5</v>
      </c>
      <c r="BF249" s="20" t="n">
        <v>45905.125</v>
      </c>
      <c r="BG249" s="20" t="n">
        <v>45905.54166666666</v>
      </c>
      <c r="BH249" s="20" t="n">
        <v>45905.625</v>
      </c>
    </row>
    <row r="250">
      <c r="A250" s="5">
        <f>A249+1</f>
        <v/>
      </c>
      <c r="B250" s="3">
        <f>-SUMIFS(df_extrato_zig!G:G,df_extrato_zig!E:E,Conciliacao!A250,df_extrato_zig!D:D,"Saque")-SUMIFS(df_extrato_zig!G:G,df_extrato_zig!E:E,Conciliacao!A250,df_extrato_zig!D:D,"Antecipação")</f>
        <v/>
      </c>
      <c r="C250" s="3">
        <f>SUMIFS(df_extrato_zig!E:E,df_extrato_zig!L:L,Conciliacao!A250,df_extrato_zig!F:F,"DINHEIRO")</f>
        <v/>
      </c>
      <c r="D250" s="3">
        <f>SUMIFS(view_parc_agrup!H:H,view_parc_agrup!G:G,Conciliacao!A250)</f>
        <v/>
      </c>
      <c r="E250" s="3">
        <f>SUMIFS(df_eventos!F:F,df_eventos!H:H,Conciliacao!A250)</f>
        <v/>
      </c>
      <c r="F250" s="3">
        <f>SUMIFS(df_mutuos!M:M,df_mutuos!B:B,Conciliacao!A250)</f>
        <v/>
      </c>
      <c r="G250" s="6">
        <f>SUMIFS(df_bloqueios_judiciais!G:G,df_bloqueios_judiciais!D:D,Conciliacao!A250,df_bloqueios_judiciais!G:G,"&gt;0")</f>
        <v/>
      </c>
      <c r="H250" s="7">
        <f>SUMIFS(df_extratos!I:I,df_extratos!F:F,Conciliacao!BE250,df_extratos!G:G,"CREDITO")+SUMIFS(df_extratos!I:I,df_extratos!F:F,Conciliacao!A250,df_extratos!G:G,"CREDITO")+SUMIFS(df_extratos!I:I,df_extratos!F:F,Conciliacao!BF250,df_extratos!G:G,"CREDITO")+SUMIFS(df_extratos!I:I,df_extratos!F:F,Conciliacao!BG250,df_extratos!G:G,"CREDITO")+SUMIFS(df_extratos!I:I,df_extratos!F:F,Conciliacao!BH250,df_extratos!G:G,"CREDITO")</f>
        <v/>
      </c>
      <c r="I250" s="9">
        <f>H250-SUM(B250:G250)</f>
        <v/>
      </c>
      <c r="J250" s="4">
        <f>SUMIFS(df_blueme_sem_parcelamento!E:E,df_blueme_sem_parcelamento!H:H,Conciliacao!A250)*(-1)</f>
        <v/>
      </c>
      <c r="K250" s="4">
        <f>SUMIFS(df_blueme_com_parcelamento!J:J,df_blueme_com_parcelamento!M:M,Conciliacao!A250)*(-1)</f>
        <v/>
      </c>
      <c r="L250" s="4">
        <f>SUMIFS(df_mutuos!N:N,df_mutuos!B:B,Conciliacao!A250)*(-1)</f>
        <v/>
      </c>
      <c r="M250" s="8">
        <f>SUMIFS(df_bloqueios_judiciais!G:G,df_bloqueios_judiciais!D:D,Conciliacao!A250,df_bloqueios_judiciais!G:G,"&lt;0")</f>
        <v/>
      </c>
      <c r="N250" s="10">
        <f>SUMIFS(df_extratos!I:I,df_extratos!F:F,Conciliacao!BE250,df_extratos!G:G,"DEBITO")+SUMIFS(df_extratos!I:I,df_extratos!F:F,Conciliacao!A250,df_extratos!G:G,"DEBITO")+SUMIFS(df_extratos!I:I,df_extratos!F:F,Conciliacao!BF250,df_extratos!G:G,"DEBITO")+SUMIFS(df_extratos!I:I,df_extratos!F:F,Conciliacao!BG250,df_extratos!G:G,"DEBITO")+SUMIFS(df_extratos!I:I,df_extratos!F:F,Conciliacao!BH250,df_extratos!G:G,"DEBITO")</f>
        <v/>
      </c>
      <c r="O250" s="11">
        <f>N250-SUM(J250:M250)</f>
        <v/>
      </c>
      <c r="P250" s="25">
        <f>SUMIFS(df_ajustes_conciliaco!D:D,df_ajustes_conciliaco!C:C,Conciliacao!A250)</f>
        <v/>
      </c>
      <c r="Q250" s="22">
        <f>O250+I250-P250</f>
        <v/>
      </c>
      <c r="BE250" s="20" t="n">
        <v>45906.5</v>
      </c>
      <c r="BF250" s="20" t="n">
        <v>45906.125</v>
      </c>
      <c r="BG250" s="20" t="n">
        <v>45906.54166666666</v>
      </c>
      <c r="BH250" s="20" t="n">
        <v>45906.625</v>
      </c>
    </row>
    <row r="251">
      <c r="A251" s="5">
        <f>A250+1</f>
        <v/>
      </c>
      <c r="B251" s="3">
        <f>-SUMIFS(df_extrato_zig!G:G,df_extrato_zig!E:E,Conciliacao!A251,df_extrato_zig!D:D,"Saque")-SUMIFS(df_extrato_zig!G:G,df_extrato_zig!E:E,Conciliacao!A251,df_extrato_zig!D:D,"Antecipação")</f>
        <v/>
      </c>
      <c r="C251" s="3">
        <f>SUMIFS(df_extrato_zig!E:E,df_extrato_zig!L:L,Conciliacao!A251,df_extrato_zig!F:F,"DINHEIRO")</f>
        <v/>
      </c>
      <c r="D251" s="3">
        <f>SUMIFS(view_parc_agrup!H:H,view_parc_agrup!G:G,Conciliacao!A251)</f>
        <v/>
      </c>
      <c r="E251" s="3">
        <f>SUMIFS(df_eventos!F:F,df_eventos!H:H,Conciliacao!A251)</f>
        <v/>
      </c>
      <c r="F251" s="3">
        <f>SUMIFS(df_mutuos!M:M,df_mutuos!B:B,Conciliacao!A251)</f>
        <v/>
      </c>
      <c r="G251" s="6">
        <f>SUMIFS(df_bloqueios_judiciais!G:G,df_bloqueios_judiciais!D:D,Conciliacao!A251,df_bloqueios_judiciais!G:G,"&gt;0")</f>
        <v/>
      </c>
      <c r="H251" s="7">
        <f>SUMIFS(df_extratos!I:I,df_extratos!F:F,Conciliacao!BE251,df_extratos!G:G,"CREDITO")+SUMIFS(df_extratos!I:I,df_extratos!F:F,Conciliacao!A251,df_extratos!G:G,"CREDITO")+SUMIFS(df_extratos!I:I,df_extratos!F:F,Conciliacao!BF251,df_extratos!G:G,"CREDITO")+SUMIFS(df_extratos!I:I,df_extratos!F:F,Conciliacao!BG251,df_extratos!G:G,"CREDITO")+SUMIFS(df_extratos!I:I,df_extratos!F:F,Conciliacao!BH251,df_extratos!G:G,"CREDITO")</f>
        <v/>
      </c>
      <c r="I251" s="9">
        <f>H251-SUM(B251:G251)</f>
        <v/>
      </c>
      <c r="J251" s="4">
        <f>SUMIFS(df_blueme_sem_parcelamento!E:E,df_blueme_sem_parcelamento!H:H,Conciliacao!A251)*(-1)</f>
        <v/>
      </c>
      <c r="K251" s="4">
        <f>SUMIFS(df_blueme_com_parcelamento!J:J,df_blueme_com_parcelamento!M:M,Conciliacao!A251)*(-1)</f>
        <v/>
      </c>
      <c r="L251" s="4">
        <f>SUMIFS(df_mutuos!N:N,df_mutuos!B:B,Conciliacao!A251)*(-1)</f>
        <v/>
      </c>
      <c r="M251" s="8">
        <f>SUMIFS(df_bloqueios_judiciais!G:G,df_bloqueios_judiciais!D:D,Conciliacao!A251,df_bloqueios_judiciais!G:G,"&lt;0")</f>
        <v/>
      </c>
      <c r="N251" s="10">
        <f>SUMIFS(df_extratos!I:I,df_extratos!F:F,Conciliacao!BE251,df_extratos!G:G,"DEBITO")+SUMIFS(df_extratos!I:I,df_extratos!F:F,Conciliacao!A251,df_extratos!G:G,"DEBITO")+SUMIFS(df_extratos!I:I,df_extratos!F:F,Conciliacao!BF251,df_extratos!G:G,"DEBITO")+SUMIFS(df_extratos!I:I,df_extratos!F:F,Conciliacao!BG251,df_extratos!G:G,"DEBITO")+SUMIFS(df_extratos!I:I,df_extratos!F:F,Conciliacao!BH251,df_extratos!G:G,"DEBITO")</f>
        <v/>
      </c>
      <c r="O251" s="11">
        <f>N251-SUM(J251:M251)</f>
        <v/>
      </c>
      <c r="P251" s="25">
        <f>SUMIFS(df_ajustes_conciliaco!D:D,df_ajustes_conciliaco!C:C,Conciliacao!A251)</f>
        <v/>
      </c>
      <c r="Q251" s="22">
        <f>O251+I251-P251</f>
        <v/>
      </c>
      <c r="BE251" s="20" t="n">
        <v>45907.5</v>
      </c>
      <c r="BF251" s="20" t="n">
        <v>45907.125</v>
      </c>
      <c r="BG251" s="20" t="n">
        <v>45907.54166666666</v>
      </c>
      <c r="BH251" s="20" t="n">
        <v>45907.625</v>
      </c>
    </row>
    <row r="252">
      <c r="A252" s="5">
        <f>A251+1</f>
        <v/>
      </c>
      <c r="B252" s="3">
        <f>-SUMIFS(df_extrato_zig!G:G,df_extrato_zig!E:E,Conciliacao!A252,df_extrato_zig!D:D,"Saque")-SUMIFS(df_extrato_zig!G:G,df_extrato_zig!E:E,Conciliacao!A252,df_extrato_zig!D:D,"Antecipação")</f>
        <v/>
      </c>
      <c r="C252" s="3">
        <f>SUMIFS(df_extrato_zig!E:E,df_extrato_zig!L:L,Conciliacao!A252,df_extrato_zig!F:F,"DINHEIRO")</f>
        <v/>
      </c>
      <c r="D252" s="3">
        <f>SUMIFS(view_parc_agrup!H:H,view_parc_agrup!G:G,Conciliacao!A252)</f>
        <v/>
      </c>
      <c r="E252" s="3">
        <f>SUMIFS(df_eventos!F:F,df_eventos!H:H,Conciliacao!A252)</f>
        <v/>
      </c>
      <c r="F252" s="3">
        <f>SUMIFS(df_mutuos!M:M,df_mutuos!B:B,Conciliacao!A252)</f>
        <v/>
      </c>
      <c r="G252" s="6">
        <f>SUMIFS(df_bloqueios_judiciais!G:G,df_bloqueios_judiciais!D:D,Conciliacao!A252,df_bloqueios_judiciais!G:G,"&gt;0")</f>
        <v/>
      </c>
      <c r="H252" s="7">
        <f>SUMIFS(df_extratos!I:I,df_extratos!F:F,Conciliacao!BE252,df_extratos!G:G,"CREDITO")+SUMIFS(df_extratos!I:I,df_extratos!F:F,Conciliacao!A252,df_extratos!G:G,"CREDITO")+SUMIFS(df_extratos!I:I,df_extratos!F:F,Conciliacao!BF252,df_extratos!G:G,"CREDITO")+SUMIFS(df_extratos!I:I,df_extratos!F:F,Conciliacao!BG252,df_extratos!G:G,"CREDITO")+SUMIFS(df_extratos!I:I,df_extratos!F:F,Conciliacao!BH252,df_extratos!G:G,"CREDITO")</f>
        <v/>
      </c>
      <c r="I252" s="9">
        <f>H252-SUM(B252:G252)</f>
        <v/>
      </c>
      <c r="J252" s="4">
        <f>SUMIFS(df_blueme_sem_parcelamento!E:E,df_blueme_sem_parcelamento!H:H,Conciliacao!A252)*(-1)</f>
        <v/>
      </c>
      <c r="K252" s="4">
        <f>SUMIFS(df_blueme_com_parcelamento!J:J,df_blueme_com_parcelamento!M:M,Conciliacao!A252)*(-1)</f>
        <v/>
      </c>
      <c r="L252" s="4">
        <f>SUMIFS(df_mutuos!N:N,df_mutuos!B:B,Conciliacao!A252)*(-1)</f>
        <v/>
      </c>
      <c r="M252" s="8">
        <f>SUMIFS(df_bloqueios_judiciais!G:G,df_bloqueios_judiciais!D:D,Conciliacao!A252,df_bloqueios_judiciais!G:G,"&lt;0")</f>
        <v/>
      </c>
      <c r="N252" s="10">
        <f>SUMIFS(df_extratos!I:I,df_extratos!F:F,Conciliacao!BE252,df_extratos!G:G,"DEBITO")+SUMIFS(df_extratos!I:I,df_extratos!F:F,Conciliacao!A252,df_extratos!G:G,"DEBITO")+SUMIFS(df_extratos!I:I,df_extratos!F:F,Conciliacao!BF252,df_extratos!G:G,"DEBITO")+SUMIFS(df_extratos!I:I,df_extratos!F:F,Conciliacao!BG252,df_extratos!G:G,"DEBITO")+SUMIFS(df_extratos!I:I,df_extratos!F:F,Conciliacao!BH252,df_extratos!G:G,"DEBITO")</f>
        <v/>
      </c>
      <c r="O252" s="11">
        <f>N252-SUM(J252:M252)</f>
        <v/>
      </c>
      <c r="P252" s="25">
        <f>SUMIFS(df_ajustes_conciliaco!D:D,df_ajustes_conciliaco!C:C,Conciliacao!A252)</f>
        <v/>
      </c>
      <c r="Q252" s="22">
        <f>O252+I252-P252</f>
        <v/>
      </c>
      <c r="BE252" s="20" t="n">
        <v>45908.5</v>
      </c>
      <c r="BF252" s="20" t="n">
        <v>45908.125</v>
      </c>
      <c r="BG252" s="20" t="n">
        <v>45908.54166666666</v>
      </c>
      <c r="BH252" s="20" t="n">
        <v>45908.625</v>
      </c>
    </row>
    <row r="253">
      <c r="A253" s="5">
        <f>A252+1</f>
        <v/>
      </c>
      <c r="B253" s="3">
        <f>-SUMIFS(df_extrato_zig!G:G,df_extrato_zig!E:E,Conciliacao!A253,df_extrato_zig!D:D,"Saque")-SUMIFS(df_extrato_zig!G:G,df_extrato_zig!E:E,Conciliacao!A253,df_extrato_zig!D:D,"Antecipação")</f>
        <v/>
      </c>
      <c r="C253" s="3">
        <f>SUMIFS(df_extrato_zig!E:E,df_extrato_zig!L:L,Conciliacao!A253,df_extrato_zig!F:F,"DINHEIRO")</f>
        <v/>
      </c>
      <c r="D253" s="3">
        <f>SUMIFS(view_parc_agrup!H:H,view_parc_agrup!G:G,Conciliacao!A253)</f>
        <v/>
      </c>
      <c r="E253" s="3">
        <f>SUMIFS(df_eventos!F:F,df_eventos!H:H,Conciliacao!A253)</f>
        <v/>
      </c>
      <c r="F253" s="3">
        <f>SUMIFS(df_mutuos!M:M,df_mutuos!B:B,Conciliacao!A253)</f>
        <v/>
      </c>
      <c r="G253" s="6">
        <f>SUMIFS(df_bloqueios_judiciais!G:G,df_bloqueios_judiciais!D:D,Conciliacao!A253,df_bloqueios_judiciais!G:G,"&gt;0")</f>
        <v/>
      </c>
      <c r="H253" s="7">
        <f>SUMIFS(df_extratos!I:I,df_extratos!F:F,Conciliacao!BE253,df_extratos!G:G,"CREDITO")+SUMIFS(df_extratos!I:I,df_extratos!F:F,Conciliacao!A253,df_extratos!G:G,"CREDITO")+SUMIFS(df_extratos!I:I,df_extratos!F:F,Conciliacao!BF253,df_extratos!G:G,"CREDITO")+SUMIFS(df_extratos!I:I,df_extratos!F:F,Conciliacao!BG253,df_extratos!G:G,"CREDITO")+SUMIFS(df_extratos!I:I,df_extratos!F:F,Conciliacao!BH253,df_extratos!G:G,"CREDITO")</f>
        <v/>
      </c>
      <c r="I253" s="9">
        <f>H253-SUM(B253:G253)</f>
        <v/>
      </c>
      <c r="J253" s="4">
        <f>SUMIFS(df_blueme_sem_parcelamento!E:E,df_blueme_sem_parcelamento!H:H,Conciliacao!A253)*(-1)</f>
        <v/>
      </c>
      <c r="K253" s="4">
        <f>SUMIFS(df_blueme_com_parcelamento!J:J,df_blueme_com_parcelamento!M:M,Conciliacao!A253)*(-1)</f>
        <v/>
      </c>
      <c r="L253" s="4">
        <f>SUMIFS(df_mutuos!N:N,df_mutuos!B:B,Conciliacao!A253)*(-1)</f>
        <v/>
      </c>
      <c r="M253" s="8">
        <f>SUMIFS(df_bloqueios_judiciais!G:G,df_bloqueios_judiciais!D:D,Conciliacao!A253,df_bloqueios_judiciais!G:G,"&lt;0")</f>
        <v/>
      </c>
      <c r="N253" s="10">
        <f>SUMIFS(df_extratos!I:I,df_extratos!F:F,Conciliacao!BE253,df_extratos!G:G,"DEBITO")+SUMIFS(df_extratos!I:I,df_extratos!F:F,Conciliacao!A253,df_extratos!G:G,"DEBITO")+SUMIFS(df_extratos!I:I,df_extratos!F:F,Conciliacao!BF253,df_extratos!G:G,"DEBITO")+SUMIFS(df_extratos!I:I,df_extratos!F:F,Conciliacao!BG253,df_extratos!G:G,"DEBITO")+SUMIFS(df_extratos!I:I,df_extratos!F:F,Conciliacao!BH253,df_extratos!G:G,"DEBITO")</f>
        <v/>
      </c>
      <c r="O253" s="11">
        <f>N253-SUM(J253:M253)</f>
        <v/>
      </c>
      <c r="P253" s="25">
        <f>SUMIFS(df_ajustes_conciliaco!D:D,df_ajustes_conciliaco!C:C,Conciliacao!A253)</f>
        <v/>
      </c>
      <c r="Q253" s="22">
        <f>O253+I253-P253</f>
        <v/>
      </c>
      <c r="BE253" s="20" t="n">
        <v>45909.5</v>
      </c>
      <c r="BF253" s="20" t="n">
        <v>45909.125</v>
      </c>
      <c r="BG253" s="20" t="n">
        <v>45909.54166666666</v>
      </c>
      <c r="BH253" s="20" t="n">
        <v>45909.625</v>
      </c>
    </row>
    <row r="254">
      <c r="A254" s="5">
        <f>A253+1</f>
        <v/>
      </c>
      <c r="B254" s="3">
        <f>-SUMIFS(df_extrato_zig!G:G,df_extrato_zig!E:E,Conciliacao!A254,df_extrato_zig!D:D,"Saque")-SUMIFS(df_extrato_zig!G:G,df_extrato_zig!E:E,Conciliacao!A254,df_extrato_zig!D:D,"Antecipação")</f>
        <v/>
      </c>
      <c r="C254" s="3">
        <f>SUMIFS(df_extrato_zig!E:E,df_extrato_zig!L:L,Conciliacao!A254,df_extrato_zig!F:F,"DINHEIRO")</f>
        <v/>
      </c>
      <c r="D254" s="3">
        <f>SUMIFS(view_parc_agrup!H:H,view_parc_agrup!G:G,Conciliacao!A254)</f>
        <v/>
      </c>
      <c r="E254" s="3">
        <f>SUMIFS(df_eventos!F:F,df_eventos!H:H,Conciliacao!A254)</f>
        <v/>
      </c>
      <c r="F254" s="3">
        <f>SUMIFS(df_mutuos!M:M,df_mutuos!B:B,Conciliacao!A254)</f>
        <v/>
      </c>
      <c r="G254" s="6">
        <f>SUMIFS(df_bloqueios_judiciais!G:G,df_bloqueios_judiciais!D:D,Conciliacao!A254,df_bloqueios_judiciais!G:G,"&gt;0")</f>
        <v/>
      </c>
      <c r="H254" s="7">
        <f>SUMIFS(df_extratos!I:I,df_extratos!F:F,Conciliacao!BE254,df_extratos!G:G,"CREDITO")+SUMIFS(df_extratos!I:I,df_extratos!F:F,Conciliacao!A254,df_extratos!G:G,"CREDITO")+SUMIFS(df_extratos!I:I,df_extratos!F:F,Conciliacao!BF254,df_extratos!G:G,"CREDITO")+SUMIFS(df_extratos!I:I,df_extratos!F:F,Conciliacao!BG254,df_extratos!G:G,"CREDITO")+SUMIFS(df_extratos!I:I,df_extratos!F:F,Conciliacao!BH254,df_extratos!G:G,"CREDITO")</f>
        <v/>
      </c>
      <c r="I254" s="9">
        <f>H254-SUM(B254:G254)</f>
        <v/>
      </c>
      <c r="J254" s="4">
        <f>SUMIFS(df_blueme_sem_parcelamento!E:E,df_blueme_sem_parcelamento!H:H,Conciliacao!A254)*(-1)</f>
        <v/>
      </c>
      <c r="K254" s="4">
        <f>SUMIFS(df_blueme_com_parcelamento!J:J,df_blueme_com_parcelamento!M:M,Conciliacao!A254)*(-1)</f>
        <v/>
      </c>
      <c r="L254" s="4">
        <f>SUMIFS(df_mutuos!N:N,df_mutuos!B:B,Conciliacao!A254)*(-1)</f>
        <v/>
      </c>
      <c r="M254" s="8">
        <f>SUMIFS(df_bloqueios_judiciais!G:G,df_bloqueios_judiciais!D:D,Conciliacao!A254,df_bloqueios_judiciais!G:G,"&lt;0")</f>
        <v/>
      </c>
      <c r="N254" s="10">
        <f>SUMIFS(df_extratos!I:I,df_extratos!F:F,Conciliacao!BE254,df_extratos!G:G,"DEBITO")+SUMIFS(df_extratos!I:I,df_extratos!F:F,Conciliacao!A254,df_extratos!G:G,"DEBITO")+SUMIFS(df_extratos!I:I,df_extratos!F:F,Conciliacao!BF254,df_extratos!G:G,"DEBITO")+SUMIFS(df_extratos!I:I,df_extratos!F:F,Conciliacao!BG254,df_extratos!G:G,"DEBITO")+SUMIFS(df_extratos!I:I,df_extratos!F:F,Conciliacao!BH254,df_extratos!G:G,"DEBITO")</f>
        <v/>
      </c>
      <c r="O254" s="11">
        <f>N254-SUM(J254:M254)</f>
        <v/>
      </c>
      <c r="P254" s="25">
        <f>SUMIFS(df_ajustes_conciliaco!D:D,df_ajustes_conciliaco!C:C,Conciliacao!A254)</f>
        <v/>
      </c>
      <c r="Q254" s="22">
        <f>O254+I254-P254</f>
        <v/>
      </c>
      <c r="BE254" s="20" t="n">
        <v>45910.5</v>
      </c>
      <c r="BF254" s="20" t="n">
        <v>45910.125</v>
      </c>
      <c r="BG254" s="20" t="n">
        <v>45910.54166666666</v>
      </c>
      <c r="BH254" s="20" t="n">
        <v>45910.625</v>
      </c>
    </row>
    <row r="255">
      <c r="A255" s="5">
        <f>A254+1</f>
        <v/>
      </c>
      <c r="B255" s="3">
        <f>-SUMIFS(df_extrato_zig!G:G,df_extrato_zig!E:E,Conciliacao!A255,df_extrato_zig!D:D,"Saque")-SUMIFS(df_extrato_zig!G:G,df_extrato_zig!E:E,Conciliacao!A255,df_extrato_zig!D:D,"Antecipação")</f>
        <v/>
      </c>
      <c r="C255" s="3">
        <f>SUMIFS(df_extrato_zig!E:E,df_extrato_zig!L:L,Conciliacao!A255,df_extrato_zig!F:F,"DINHEIRO")</f>
        <v/>
      </c>
      <c r="D255" s="3">
        <f>SUMIFS(view_parc_agrup!H:H,view_parc_agrup!G:G,Conciliacao!A255)</f>
        <v/>
      </c>
      <c r="E255" s="3">
        <f>SUMIFS(df_eventos!F:F,df_eventos!H:H,Conciliacao!A255)</f>
        <v/>
      </c>
      <c r="F255" s="3">
        <f>SUMIFS(df_mutuos!M:M,df_mutuos!B:B,Conciliacao!A255)</f>
        <v/>
      </c>
      <c r="G255" s="6">
        <f>SUMIFS(df_bloqueios_judiciais!G:G,df_bloqueios_judiciais!D:D,Conciliacao!A255,df_bloqueios_judiciais!G:G,"&gt;0")</f>
        <v/>
      </c>
      <c r="H255" s="7">
        <f>SUMIFS(df_extratos!I:I,df_extratos!F:F,Conciliacao!BE255,df_extratos!G:G,"CREDITO")+SUMIFS(df_extratos!I:I,df_extratos!F:F,Conciliacao!A255,df_extratos!G:G,"CREDITO")+SUMIFS(df_extratos!I:I,df_extratos!F:F,Conciliacao!BF255,df_extratos!G:G,"CREDITO")+SUMIFS(df_extratos!I:I,df_extratos!F:F,Conciliacao!BG255,df_extratos!G:G,"CREDITO")+SUMIFS(df_extratos!I:I,df_extratos!F:F,Conciliacao!BH255,df_extratos!G:G,"CREDITO")</f>
        <v/>
      </c>
      <c r="I255" s="9">
        <f>H255-SUM(B255:G255)</f>
        <v/>
      </c>
      <c r="J255" s="4">
        <f>SUMIFS(df_blueme_sem_parcelamento!E:E,df_blueme_sem_parcelamento!H:H,Conciliacao!A255)*(-1)</f>
        <v/>
      </c>
      <c r="K255" s="4">
        <f>SUMIFS(df_blueme_com_parcelamento!J:J,df_blueme_com_parcelamento!M:M,Conciliacao!A255)*(-1)</f>
        <v/>
      </c>
      <c r="L255" s="4">
        <f>SUMIFS(df_mutuos!N:N,df_mutuos!B:B,Conciliacao!A255)*(-1)</f>
        <v/>
      </c>
      <c r="M255" s="8">
        <f>SUMIFS(df_bloqueios_judiciais!G:G,df_bloqueios_judiciais!D:D,Conciliacao!A255,df_bloqueios_judiciais!G:G,"&lt;0")</f>
        <v/>
      </c>
      <c r="N255" s="10">
        <f>SUMIFS(df_extratos!I:I,df_extratos!F:F,Conciliacao!BE255,df_extratos!G:G,"DEBITO")+SUMIFS(df_extratos!I:I,df_extratos!F:F,Conciliacao!A255,df_extratos!G:G,"DEBITO")+SUMIFS(df_extratos!I:I,df_extratos!F:F,Conciliacao!BF255,df_extratos!G:G,"DEBITO")+SUMIFS(df_extratos!I:I,df_extratos!F:F,Conciliacao!BG255,df_extratos!G:G,"DEBITO")+SUMIFS(df_extratos!I:I,df_extratos!F:F,Conciliacao!BH255,df_extratos!G:G,"DEBITO")</f>
        <v/>
      </c>
      <c r="O255" s="11">
        <f>N255-SUM(J255:M255)</f>
        <v/>
      </c>
      <c r="P255" s="25">
        <f>SUMIFS(df_ajustes_conciliaco!D:D,df_ajustes_conciliaco!C:C,Conciliacao!A255)</f>
        <v/>
      </c>
      <c r="Q255" s="22">
        <f>O255+I255-P255</f>
        <v/>
      </c>
      <c r="BE255" s="20" t="n">
        <v>45911.5</v>
      </c>
      <c r="BF255" s="20" t="n">
        <v>45911.125</v>
      </c>
      <c r="BG255" s="20" t="n">
        <v>45911.54166666666</v>
      </c>
      <c r="BH255" s="20" t="n">
        <v>45911.625</v>
      </c>
    </row>
    <row r="256">
      <c r="A256" s="5">
        <f>A255+1</f>
        <v/>
      </c>
      <c r="B256" s="3">
        <f>-SUMIFS(df_extrato_zig!G:G,df_extrato_zig!E:E,Conciliacao!A256,df_extrato_zig!D:D,"Saque")-SUMIFS(df_extrato_zig!G:G,df_extrato_zig!E:E,Conciliacao!A256,df_extrato_zig!D:D,"Antecipação")</f>
        <v/>
      </c>
      <c r="C256" s="3">
        <f>SUMIFS(df_extrato_zig!E:E,df_extrato_zig!L:L,Conciliacao!A256,df_extrato_zig!F:F,"DINHEIRO")</f>
        <v/>
      </c>
      <c r="D256" s="3">
        <f>SUMIFS(view_parc_agrup!H:H,view_parc_agrup!G:G,Conciliacao!A256)</f>
        <v/>
      </c>
      <c r="E256" s="3">
        <f>SUMIFS(df_eventos!F:F,df_eventos!H:H,Conciliacao!A256)</f>
        <v/>
      </c>
      <c r="F256" s="3">
        <f>SUMIFS(df_mutuos!M:M,df_mutuos!B:B,Conciliacao!A256)</f>
        <v/>
      </c>
      <c r="G256" s="6">
        <f>SUMIFS(df_bloqueios_judiciais!G:G,df_bloqueios_judiciais!D:D,Conciliacao!A256,df_bloqueios_judiciais!G:G,"&gt;0")</f>
        <v/>
      </c>
      <c r="H256" s="7">
        <f>SUMIFS(df_extratos!I:I,df_extratos!F:F,Conciliacao!BE256,df_extratos!G:G,"CREDITO")+SUMIFS(df_extratos!I:I,df_extratos!F:F,Conciliacao!A256,df_extratos!G:G,"CREDITO")+SUMIFS(df_extratos!I:I,df_extratos!F:F,Conciliacao!BF256,df_extratos!G:G,"CREDITO")+SUMIFS(df_extratos!I:I,df_extratos!F:F,Conciliacao!BG256,df_extratos!G:G,"CREDITO")+SUMIFS(df_extratos!I:I,df_extratos!F:F,Conciliacao!BH256,df_extratos!G:G,"CREDITO")</f>
        <v/>
      </c>
      <c r="I256" s="9">
        <f>H256-SUM(B256:G256)</f>
        <v/>
      </c>
      <c r="J256" s="4">
        <f>SUMIFS(df_blueme_sem_parcelamento!E:E,df_blueme_sem_parcelamento!H:H,Conciliacao!A256)*(-1)</f>
        <v/>
      </c>
      <c r="K256" s="4">
        <f>SUMIFS(df_blueme_com_parcelamento!J:J,df_blueme_com_parcelamento!M:M,Conciliacao!A256)*(-1)</f>
        <v/>
      </c>
      <c r="L256" s="4">
        <f>SUMIFS(df_mutuos!N:N,df_mutuos!B:B,Conciliacao!A256)*(-1)</f>
        <v/>
      </c>
      <c r="M256" s="8">
        <f>SUMIFS(df_bloqueios_judiciais!G:G,df_bloqueios_judiciais!D:D,Conciliacao!A256,df_bloqueios_judiciais!G:G,"&lt;0")</f>
        <v/>
      </c>
      <c r="N256" s="10">
        <f>SUMIFS(df_extratos!I:I,df_extratos!F:F,Conciliacao!BE256,df_extratos!G:G,"DEBITO")+SUMIFS(df_extratos!I:I,df_extratos!F:F,Conciliacao!A256,df_extratos!G:G,"DEBITO")+SUMIFS(df_extratos!I:I,df_extratos!F:F,Conciliacao!BF256,df_extratos!G:G,"DEBITO")+SUMIFS(df_extratos!I:I,df_extratos!F:F,Conciliacao!BG256,df_extratos!G:G,"DEBITO")+SUMIFS(df_extratos!I:I,df_extratos!F:F,Conciliacao!BH256,df_extratos!G:G,"DEBITO")</f>
        <v/>
      </c>
      <c r="O256" s="11">
        <f>N256-SUM(J256:M256)</f>
        <v/>
      </c>
      <c r="P256" s="25">
        <f>SUMIFS(df_ajustes_conciliaco!D:D,df_ajustes_conciliaco!C:C,Conciliacao!A256)</f>
        <v/>
      </c>
      <c r="Q256" s="22">
        <f>O256+I256-P256</f>
        <v/>
      </c>
      <c r="BE256" s="20" t="n">
        <v>45912.5</v>
      </c>
      <c r="BF256" s="20" t="n">
        <v>45912.125</v>
      </c>
      <c r="BG256" s="20" t="n">
        <v>45912.54166666666</v>
      </c>
      <c r="BH256" s="20" t="n">
        <v>45912.625</v>
      </c>
    </row>
    <row r="257">
      <c r="A257" s="5">
        <f>A256+1</f>
        <v/>
      </c>
      <c r="B257" s="3">
        <f>-SUMIFS(df_extrato_zig!G:G,df_extrato_zig!E:E,Conciliacao!A257,df_extrato_zig!D:D,"Saque")-SUMIFS(df_extrato_zig!G:G,df_extrato_zig!E:E,Conciliacao!A257,df_extrato_zig!D:D,"Antecipação")</f>
        <v/>
      </c>
      <c r="C257" s="3">
        <f>SUMIFS(df_extrato_zig!E:E,df_extrato_zig!L:L,Conciliacao!A257,df_extrato_zig!F:F,"DINHEIRO")</f>
        <v/>
      </c>
      <c r="D257" s="3">
        <f>SUMIFS(view_parc_agrup!H:H,view_parc_agrup!G:G,Conciliacao!A257)</f>
        <v/>
      </c>
      <c r="E257" s="3">
        <f>SUMIFS(df_eventos!F:F,df_eventos!H:H,Conciliacao!A257)</f>
        <v/>
      </c>
      <c r="F257" s="3">
        <f>SUMIFS(df_mutuos!M:M,df_mutuos!B:B,Conciliacao!A257)</f>
        <v/>
      </c>
      <c r="G257" s="6">
        <f>SUMIFS(df_bloqueios_judiciais!G:G,df_bloqueios_judiciais!D:D,Conciliacao!A257,df_bloqueios_judiciais!G:G,"&gt;0")</f>
        <v/>
      </c>
      <c r="H257" s="7">
        <f>SUMIFS(df_extratos!I:I,df_extratos!F:F,Conciliacao!BE257,df_extratos!G:G,"CREDITO")+SUMIFS(df_extratos!I:I,df_extratos!F:F,Conciliacao!A257,df_extratos!G:G,"CREDITO")+SUMIFS(df_extratos!I:I,df_extratos!F:F,Conciliacao!BF257,df_extratos!G:G,"CREDITO")+SUMIFS(df_extratos!I:I,df_extratos!F:F,Conciliacao!BG257,df_extratos!G:G,"CREDITO")+SUMIFS(df_extratos!I:I,df_extratos!F:F,Conciliacao!BH257,df_extratos!G:G,"CREDITO")</f>
        <v/>
      </c>
      <c r="I257" s="9">
        <f>H257-SUM(B257:G257)</f>
        <v/>
      </c>
      <c r="J257" s="4">
        <f>SUMIFS(df_blueme_sem_parcelamento!E:E,df_blueme_sem_parcelamento!H:H,Conciliacao!A257)*(-1)</f>
        <v/>
      </c>
      <c r="K257" s="4">
        <f>SUMIFS(df_blueme_com_parcelamento!J:J,df_blueme_com_parcelamento!M:M,Conciliacao!A257)*(-1)</f>
        <v/>
      </c>
      <c r="L257" s="4">
        <f>SUMIFS(df_mutuos!N:N,df_mutuos!B:B,Conciliacao!A257)*(-1)</f>
        <v/>
      </c>
      <c r="M257" s="8">
        <f>SUMIFS(df_bloqueios_judiciais!G:G,df_bloqueios_judiciais!D:D,Conciliacao!A257,df_bloqueios_judiciais!G:G,"&lt;0")</f>
        <v/>
      </c>
      <c r="N257" s="10">
        <f>SUMIFS(df_extratos!I:I,df_extratos!F:F,Conciliacao!BE257,df_extratos!G:G,"DEBITO")+SUMIFS(df_extratos!I:I,df_extratos!F:F,Conciliacao!A257,df_extratos!G:G,"DEBITO")+SUMIFS(df_extratos!I:I,df_extratos!F:F,Conciliacao!BF257,df_extratos!G:G,"DEBITO")+SUMIFS(df_extratos!I:I,df_extratos!F:F,Conciliacao!BG257,df_extratos!G:G,"DEBITO")+SUMIFS(df_extratos!I:I,df_extratos!F:F,Conciliacao!BH257,df_extratos!G:G,"DEBITO")</f>
        <v/>
      </c>
      <c r="O257" s="11">
        <f>N257-SUM(J257:M257)</f>
        <v/>
      </c>
      <c r="P257" s="25">
        <f>SUMIFS(df_ajustes_conciliaco!D:D,df_ajustes_conciliaco!C:C,Conciliacao!A257)</f>
        <v/>
      </c>
      <c r="Q257" s="22">
        <f>O257+I257-P257</f>
        <v/>
      </c>
      <c r="BE257" s="20" t="n">
        <v>45913.5</v>
      </c>
      <c r="BF257" s="20" t="n">
        <v>45913.125</v>
      </c>
      <c r="BG257" s="20" t="n">
        <v>45913.54166666666</v>
      </c>
      <c r="BH257" s="20" t="n">
        <v>45913.625</v>
      </c>
    </row>
    <row r="258">
      <c r="A258" s="5">
        <f>A257+1</f>
        <v/>
      </c>
      <c r="B258" s="3">
        <f>-SUMIFS(df_extrato_zig!G:G,df_extrato_zig!E:E,Conciliacao!A258,df_extrato_zig!D:D,"Saque")-SUMIFS(df_extrato_zig!G:G,df_extrato_zig!E:E,Conciliacao!A258,df_extrato_zig!D:D,"Antecipação")</f>
        <v/>
      </c>
      <c r="C258" s="3">
        <f>SUMIFS(df_extrato_zig!E:E,df_extrato_zig!L:L,Conciliacao!A258,df_extrato_zig!F:F,"DINHEIRO")</f>
        <v/>
      </c>
      <c r="D258" s="3">
        <f>SUMIFS(view_parc_agrup!H:H,view_parc_agrup!G:G,Conciliacao!A258)</f>
        <v/>
      </c>
      <c r="E258" s="3">
        <f>SUMIFS(df_eventos!F:F,df_eventos!H:H,Conciliacao!A258)</f>
        <v/>
      </c>
      <c r="F258" s="3">
        <f>SUMIFS(df_mutuos!M:M,df_mutuos!B:B,Conciliacao!A258)</f>
        <v/>
      </c>
      <c r="G258" s="6">
        <f>SUMIFS(df_bloqueios_judiciais!G:G,df_bloqueios_judiciais!D:D,Conciliacao!A258,df_bloqueios_judiciais!G:G,"&gt;0")</f>
        <v/>
      </c>
      <c r="H258" s="7">
        <f>SUMIFS(df_extratos!I:I,df_extratos!F:F,Conciliacao!BE258,df_extratos!G:G,"CREDITO")+SUMIFS(df_extratos!I:I,df_extratos!F:F,Conciliacao!A258,df_extratos!G:G,"CREDITO")+SUMIFS(df_extratos!I:I,df_extratos!F:F,Conciliacao!BF258,df_extratos!G:G,"CREDITO")+SUMIFS(df_extratos!I:I,df_extratos!F:F,Conciliacao!BG258,df_extratos!G:G,"CREDITO")+SUMIFS(df_extratos!I:I,df_extratos!F:F,Conciliacao!BH258,df_extratos!G:G,"CREDITO")</f>
        <v/>
      </c>
      <c r="I258" s="9">
        <f>H258-SUM(B258:G258)</f>
        <v/>
      </c>
      <c r="J258" s="4">
        <f>SUMIFS(df_blueme_sem_parcelamento!E:E,df_blueme_sem_parcelamento!H:H,Conciliacao!A258)*(-1)</f>
        <v/>
      </c>
      <c r="K258" s="4">
        <f>SUMIFS(df_blueme_com_parcelamento!J:J,df_blueme_com_parcelamento!M:M,Conciliacao!A258)*(-1)</f>
        <v/>
      </c>
      <c r="L258" s="4">
        <f>SUMIFS(df_mutuos!N:N,df_mutuos!B:B,Conciliacao!A258)*(-1)</f>
        <v/>
      </c>
      <c r="M258" s="8">
        <f>SUMIFS(df_bloqueios_judiciais!G:G,df_bloqueios_judiciais!D:D,Conciliacao!A258,df_bloqueios_judiciais!G:G,"&lt;0")</f>
        <v/>
      </c>
      <c r="N258" s="10">
        <f>SUMIFS(df_extratos!I:I,df_extratos!F:F,Conciliacao!BE258,df_extratos!G:G,"DEBITO")+SUMIFS(df_extratos!I:I,df_extratos!F:F,Conciliacao!A258,df_extratos!G:G,"DEBITO")+SUMIFS(df_extratos!I:I,df_extratos!F:F,Conciliacao!BF258,df_extratos!G:G,"DEBITO")+SUMIFS(df_extratos!I:I,df_extratos!F:F,Conciliacao!BG258,df_extratos!G:G,"DEBITO")+SUMIFS(df_extratos!I:I,df_extratos!F:F,Conciliacao!BH258,df_extratos!G:G,"DEBITO")</f>
        <v/>
      </c>
      <c r="O258" s="11">
        <f>N258-SUM(J258:M258)</f>
        <v/>
      </c>
      <c r="P258" s="25">
        <f>SUMIFS(df_ajustes_conciliaco!D:D,df_ajustes_conciliaco!C:C,Conciliacao!A258)</f>
        <v/>
      </c>
      <c r="Q258" s="22">
        <f>O258+I258-P258</f>
        <v/>
      </c>
      <c r="BE258" s="20" t="n">
        <v>45914.5</v>
      </c>
      <c r="BF258" s="20" t="n">
        <v>45914.125</v>
      </c>
      <c r="BG258" s="20" t="n">
        <v>45914.54166666666</v>
      </c>
      <c r="BH258" s="20" t="n">
        <v>45914.625</v>
      </c>
    </row>
    <row r="259">
      <c r="A259" s="5">
        <f>A258+1</f>
        <v/>
      </c>
      <c r="B259" s="3">
        <f>-SUMIFS(df_extrato_zig!G:G,df_extrato_zig!E:E,Conciliacao!A259,df_extrato_zig!D:D,"Saque")-SUMIFS(df_extrato_zig!G:G,df_extrato_zig!E:E,Conciliacao!A259,df_extrato_zig!D:D,"Antecipação")</f>
        <v/>
      </c>
      <c r="C259" s="3">
        <f>SUMIFS(df_extrato_zig!E:E,df_extrato_zig!L:L,Conciliacao!A259,df_extrato_zig!F:F,"DINHEIRO")</f>
        <v/>
      </c>
      <c r="D259" s="3">
        <f>SUMIFS(view_parc_agrup!H:H,view_parc_agrup!G:G,Conciliacao!A259)</f>
        <v/>
      </c>
      <c r="E259" s="3">
        <f>SUMIFS(df_eventos!F:F,df_eventos!H:H,Conciliacao!A259)</f>
        <v/>
      </c>
      <c r="F259" s="3">
        <f>SUMIFS(df_mutuos!M:M,df_mutuos!B:B,Conciliacao!A259)</f>
        <v/>
      </c>
      <c r="G259" s="6">
        <f>SUMIFS(df_bloqueios_judiciais!G:G,df_bloqueios_judiciais!D:D,Conciliacao!A259,df_bloqueios_judiciais!G:G,"&gt;0")</f>
        <v/>
      </c>
      <c r="H259" s="7">
        <f>SUMIFS(df_extratos!I:I,df_extratos!F:F,Conciliacao!BE259,df_extratos!G:G,"CREDITO")+SUMIFS(df_extratos!I:I,df_extratos!F:F,Conciliacao!A259,df_extratos!G:G,"CREDITO")+SUMIFS(df_extratos!I:I,df_extratos!F:F,Conciliacao!BF259,df_extratos!G:G,"CREDITO")+SUMIFS(df_extratos!I:I,df_extratos!F:F,Conciliacao!BG259,df_extratos!G:G,"CREDITO")+SUMIFS(df_extratos!I:I,df_extratos!F:F,Conciliacao!BH259,df_extratos!G:G,"CREDITO")</f>
        <v/>
      </c>
      <c r="I259" s="9">
        <f>H259-SUM(B259:G259)</f>
        <v/>
      </c>
      <c r="J259" s="4">
        <f>SUMIFS(df_blueme_sem_parcelamento!E:E,df_blueme_sem_parcelamento!H:H,Conciliacao!A259)*(-1)</f>
        <v/>
      </c>
      <c r="K259" s="4">
        <f>SUMIFS(df_blueme_com_parcelamento!J:J,df_blueme_com_parcelamento!M:M,Conciliacao!A259)*(-1)</f>
        <v/>
      </c>
      <c r="L259" s="4">
        <f>SUMIFS(df_mutuos!N:N,df_mutuos!B:B,Conciliacao!A259)*(-1)</f>
        <v/>
      </c>
      <c r="M259" s="8">
        <f>SUMIFS(df_bloqueios_judiciais!G:G,df_bloqueios_judiciais!D:D,Conciliacao!A259,df_bloqueios_judiciais!G:G,"&lt;0")</f>
        <v/>
      </c>
      <c r="N259" s="10">
        <f>SUMIFS(df_extratos!I:I,df_extratos!F:F,Conciliacao!BE259,df_extratos!G:G,"DEBITO")+SUMIFS(df_extratos!I:I,df_extratos!F:F,Conciliacao!A259,df_extratos!G:G,"DEBITO")+SUMIFS(df_extratos!I:I,df_extratos!F:F,Conciliacao!BF259,df_extratos!G:G,"DEBITO")+SUMIFS(df_extratos!I:I,df_extratos!F:F,Conciliacao!BG259,df_extratos!G:G,"DEBITO")+SUMIFS(df_extratos!I:I,df_extratos!F:F,Conciliacao!BH259,df_extratos!G:G,"DEBITO")</f>
        <v/>
      </c>
      <c r="O259" s="11">
        <f>N259-SUM(J259:M259)</f>
        <v/>
      </c>
      <c r="P259" s="25">
        <f>SUMIFS(df_ajustes_conciliaco!D:D,df_ajustes_conciliaco!C:C,Conciliacao!A259)</f>
        <v/>
      </c>
      <c r="Q259" s="22">
        <f>O259+I259-P259</f>
        <v/>
      </c>
      <c r="BE259" s="20" t="n">
        <v>45915.5</v>
      </c>
      <c r="BF259" s="20" t="n">
        <v>45915.125</v>
      </c>
      <c r="BG259" s="20" t="n">
        <v>45915.54166666666</v>
      </c>
      <c r="BH259" s="20" t="n">
        <v>45915.625</v>
      </c>
    </row>
    <row r="260">
      <c r="A260" s="5">
        <f>A259+1</f>
        <v/>
      </c>
      <c r="B260" s="3">
        <f>-SUMIFS(df_extrato_zig!G:G,df_extrato_zig!E:E,Conciliacao!A260,df_extrato_zig!D:D,"Saque")-SUMIFS(df_extrato_zig!G:G,df_extrato_zig!E:E,Conciliacao!A260,df_extrato_zig!D:D,"Antecipação")</f>
        <v/>
      </c>
      <c r="C260" s="3">
        <f>SUMIFS(df_extrato_zig!E:E,df_extrato_zig!L:L,Conciliacao!A260,df_extrato_zig!F:F,"DINHEIRO")</f>
        <v/>
      </c>
      <c r="D260" s="3">
        <f>SUMIFS(view_parc_agrup!H:H,view_parc_agrup!G:G,Conciliacao!A260)</f>
        <v/>
      </c>
      <c r="E260" s="3">
        <f>SUMIFS(df_eventos!F:F,df_eventos!H:H,Conciliacao!A260)</f>
        <v/>
      </c>
      <c r="F260" s="3">
        <f>SUMIFS(df_mutuos!M:M,df_mutuos!B:B,Conciliacao!A260)</f>
        <v/>
      </c>
      <c r="G260" s="6">
        <f>SUMIFS(df_bloqueios_judiciais!G:G,df_bloqueios_judiciais!D:D,Conciliacao!A260,df_bloqueios_judiciais!G:G,"&gt;0")</f>
        <v/>
      </c>
      <c r="H260" s="7">
        <f>SUMIFS(df_extratos!I:I,df_extratos!F:F,Conciliacao!BE260,df_extratos!G:G,"CREDITO")+SUMIFS(df_extratos!I:I,df_extratos!F:F,Conciliacao!A260,df_extratos!G:G,"CREDITO")+SUMIFS(df_extratos!I:I,df_extratos!F:F,Conciliacao!BF260,df_extratos!G:G,"CREDITO")+SUMIFS(df_extratos!I:I,df_extratos!F:F,Conciliacao!BG260,df_extratos!G:G,"CREDITO")+SUMIFS(df_extratos!I:I,df_extratos!F:F,Conciliacao!BH260,df_extratos!G:G,"CREDITO")</f>
        <v/>
      </c>
      <c r="I260" s="9">
        <f>H260-SUM(B260:G260)</f>
        <v/>
      </c>
      <c r="J260" s="4">
        <f>SUMIFS(df_blueme_sem_parcelamento!E:E,df_blueme_sem_parcelamento!H:H,Conciliacao!A260)*(-1)</f>
        <v/>
      </c>
      <c r="K260" s="4">
        <f>SUMIFS(df_blueme_com_parcelamento!J:J,df_blueme_com_parcelamento!M:M,Conciliacao!A260)*(-1)</f>
        <v/>
      </c>
      <c r="L260" s="4">
        <f>SUMIFS(df_mutuos!N:N,df_mutuos!B:B,Conciliacao!A260)*(-1)</f>
        <v/>
      </c>
      <c r="M260" s="8">
        <f>SUMIFS(df_bloqueios_judiciais!G:G,df_bloqueios_judiciais!D:D,Conciliacao!A260,df_bloqueios_judiciais!G:G,"&lt;0")</f>
        <v/>
      </c>
      <c r="N260" s="10">
        <f>SUMIFS(df_extratos!I:I,df_extratos!F:F,Conciliacao!BE260,df_extratos!G:G,"DEBITO")+SUMIFS(df_extratos!I:I,df_extratos!F:F,Conciliacao!A260,df_extratos!G:G,"DEBITO")+SUMIFS(df_extratos!I:I,df_extratos!F:F,Conciliacao!BF260,df_extratos!G:G,"DEBITO")+SUMIFS(df_extratos!I:I,df_extratos!F:F,Conciliacao!BG260,df_extratos!G:G,"DEBITO")+SUMIFS(df_extratos!I:I,df_extratos!F:F,Conciliacao!BH260,df_extratos!G:G,"DEBITO")</f>
        <v/>
      </c>
      <c r="O260" s="11">
        <f>N260-SUM(J260:M260)</f>
        <v/>
      </c>
      <c r="P260" s="25">
        <f>SUMIFS(df_ajustes_conciliaco!D:D,df_ajustes_conciliaco!C:C,Conciliacao!A260)</f>
        <v/>
      </c>
      <c r="Q260" s="22">
        <f>O260+I260-P260</f>
        <v/>
      </c>
      <c r="BE260" s="20" t="n">
        <v>45916.5</v>
      </c>
      <c r="BF260" s="20" t="n">
        <v>45916.125</v>
      </c>
      <c r="BG260" s="20" t="n">
        <v>45916.54166666666</v>
      </c>
      <c r="BH260" s="20" t="n">
        <v>45916.625</v>
      </c>
    </row>
    <row r="261">
      <c r="A261" s="5">
        <f>A260+1</f>
        <v/>
      </c>
      <c r="B261" s="3">
        <f>-SUMIFS(df_extrato_zig!G:G,df_extrato_zig!E:E,Conciliacao!A261,df_extrato_zig!D:D,"Saque")-SUMIFS(df_extrato_zig!G:G,df_extrato_zig!E:E,Conciliacao!A261,df_extrato_zig!D:D,"Antecipação")</f>
        <v/>
      </c>
      <c r="C261" s="3">
        <f>SUMIFS(df_extrato_zig!E:E,df_extrato_zig!L:L,Conciliacao!A261,df_extrato_zig!F:F,"DINHEIRO")</f>
        <v/>
      </c>
      <c r="D261" s="3">
        <f>SUMIFS(view_parc_agrup!H:H,view_parc_agrup!G:G,Conciliacao!A261)</f>
        <v/>
      </c>
      <c r="E261" s="3">
        <f>SUMIFS(df_eventos!F:F,df_eventos!H:H,Conciliacao!A261)</f>
        <v/>
      </c>
      <c r="F261" s="3">
        <f>SUMIFS(df_mutuos!M:M,df_mutuos!B:B,Conciliacao!A261)</f>
        <v/>
      </c>
      <c r="G261" s="6">
        <f>SUMIFS(df_bloqueios_judiciais!G:G,df_bloqueios_judiciais!D:D,Conciliacao!A261,df_bloqueios_judiciais!G:G,"&gt;0")</f>
        <v/>
      </c>
      <c r="H261" s="7">
        <f>SUMIFS(df_extratos!I:I,df_extratos!F:F,Conciliacao!BE261,df_extratos!G:G,"CREDITO")+SUMIFS(df_extratos!I:I,df_extratos!F:F,Conciliacao!A261,df_extratos!G:G,"CREDITO")+SUMIFS(df_extratos!I:I,df_extratos!F:F,Conciliacao!BF261,df_extratos!G:G,"CREDITO")+SUMIFS(df_extratos!I:I,df_extratos!F:F,Conciliacao!BG261,df_extratos!G:G,"CREDITO")+SUMIFS(df_extratos!I:I,df_extratos!F:F,Conciliacao!BH261,df_extratos!G:G,"CREDITO")</f>
        <v/>
      </c>
      <c r="I261" s="9">
        <f>H261-SUM(B261:G261)</f>
        <v/>
      </c>
      <c r="J261" s="4">
        <f>SUMIFS(df_blueme_sem_parcelamento!E:E,df_blueme_sem_parcelamento!H:H,Conciliacao!A261)*(-1)</f>
        <v/>
      </c>
      <c r="K261" s="4">
        <f>SUMIFS(df_blueme_com_parcelamento!J:J,df_blueme_com_parcelamento!M:M,Conciliacao!A261)*(-1)</f>
        <v/>
      </c>
      <c r="L261" s="4">
        <f>SUMIFS(df_mutuos!N:N,df_mutuos!B:B,Conciliacao!A261)*(-1)</f>
        <v/>
      </c>
      <c r="M261" s="8">
        <f>SUMIFS(df_bloqueios_judiciais!G:G,df_bloqueios_judiciais!D:D,Conciliacao!A261,df_bloqueios_judiciais!G:G,"&lt;0")</f>
        <v/>
      </c>
      <c r="N261" s="10">
        <f>SUMIFS(df_extratos!I:I,df_extratos!F:F,Conciliacao!BE261,df_extratos!G:G,"DEBITO")+SUMIFS(df_extratos!I:I,df_extratos!F:F,Conciliacao!A261,df_extratos!G:G,"DEBITO")+SUMIFS(df_extratos!I:I,df_extratos!F:F,Conciliacao!BF261,df_extratos!G:G,"DEBITO")+SUMIFS(df_extratos!I:I,df_extratos!F:F,Conciliacao!BG261,df_extratos!G:G,"DEBITO")+SUMIFS(df_extratos!I:I,df_extratos!F:F,Conciliacao!BH261,df_extratos!G:G,"DEBITO")</f>
        <v/>
      </c>
      <c r="O261" s="11">
        <f>N261-SUM(J261:M261)</f>
        <v/>
      </c>
      <c r="P261" s="25">
        <f>SUMIFS(df_ajustes_conciliaco!D:D,df_ajustes_conciliaco!C:C,Conciliacao!A261)</f>
        <v/>
      </c>
      <c r="Q261" s="22">
        <f>O261+I261-P261</f>
        <v/>
      </c>
      <c r="BE261" s="20" t="n">
        <v>45917.5</v>
      </c>
      <c r="BF261" s="20" t="n">
        <v>45917.125</v>
      </c>
      <c r="BG261" s="20" t="n">
        <v>45917.54166666666</v>
      </c>
      <c r="BH261" s="20" t="n">
        <v>45917.625</v>
      </c>
    </row>
    <row r="262">
      <c r="A262" s="5">
        <f>A261+1</f>
        <v/>
      </c>
      <c r="B262" s="3">
        <f>-SUMIFS(df_extrato_zig!G:G,df_extrato_zig!E:E,Conciliacao!A262,df_extrato_zig!D:D,"Saque")-SUMIFS(df_extrato_zig!G:G,df_extrato_zig!E:E,Conciliacao!A262,df_extrato_zig!D:D,"Antecipação")</f>
        <v/>
      </c>
      <c r="C262" s="3">
        <f>SUMIFS(df_extrato_zig!E:E,df_extrato_zig!L:L,Conciliacao!A262,df_extrato_zig!F:F,"DINHEIRO")</f>
        <v/>
      </c>
      <c r="D262" s="3">
        <f>SUMIFS(view_parc_agrup!H:H,view_parc_agrup!G:G,Conciliacao!A262)</f>
        <v/>
      </c>
      <c r="E262" s="3">
        <f>SUMIFS(df_eventos!F:F,df_eventos!H:H,Conciliacao!A262)</f>
        <v/>
      </c>
      <c r="F262" s="3">
        <f>SUMIFS(df_mutuos!M:M,df_mutuos!B:B,Conciliacao!A262)</f>
        <v/>
      </c>
      <c r="G262" s="6">
        <f>SUMIFS(df_bloqueios_judiciais!G:G,df_bloqueios_judiciais!D:D,Conciliacao!A262,df_bloqueios_judiciais!G:G,"&gt;0")</f>
        <v/>
      </c>
      <c r="H262" s="7">
        <f>SUMIFS(df_extratos!I:I,df_extratos!F:F,Conciliacao!BE262,df_extratos!G:G,"CREDITO")+SUMIFS(df_extratos!I:I,df_extratos!F:F,Conciliacao!A262,df_extratos!G:G,"CREDITO")+SUMIFS(df_extratos!I:I,df_extratos!F:F,Conciliacao!BF262,df_extratos!G:G,"CREDITO")+SUMIFS(df_extratos!I:I,df_extratos!F:F,Conciliacao!BG262,df_extratos!G:G,"CREDITO")+SUMIFS(df_extratos!I:I,df_extratos!F:F,Conciliacao!BH262,df_extratos!G:G,"CREDITO")</f>
        <v/>
      </c>
      <c r="I262" s="9">
        <f>H262-SUM(B262:G262)</f>
        <v/>
      </c>
      <c r="J262" s="4">
        <f>SUMIFS(df_blueme_sem_parcelamento!E:E,df_blueme_sem_parcelamento!H:H,Conciliacao!A262)*(-1)</f>
        <v/>
      </c>
      <c r="K262" s="4">
        <f>SUMIFS(df_blueme_com_parcelamento!J:J,df_blueme_com_parcelamento!M:M,Conciliacao!A262)*(-1)</f>
        <v/>
      </c>
      <c r="L262" s="4">
        <f>SUMIFS(df_mutuos!N:N,df_mutuos!B:B,Conciliacao!A262)*(-1)</f>
        <v/>
      </c>
      <c r="M262" s="8">
        <f>SUMIFS(df_bloqueios_judiciais!G:G,df_bloqueios_judiciais!D:D,Conciliacao!A262,df_bloqueios_judiciais!G:G,"&lt;0")</f>
        <v/>
      </c>
      <c r="N262" s="10">
        <f>SUMIFS(df_extratos!I:I,df_extratos!F:F,Conciliacao!BE262,df_extratos!G:G,"DEBITO")+SUMIFS(df_extratos!I:I,df_extratos!F:F,Conciliacao!A262,df_extratos!G:G,"DEBITO")+SUMIFS(df_extratos!I:I,df_extratos!F:F,Conciliacao!BF262,df_extratos!G:G,"DEBITO")+SUMIFS(df_extratos!I:I,df_extratos!F:F,Conciliacao!BG262,df_extratos!G:G,"DEBITO")+SUMIFS(df_extratos!I:I,df_extratos!F:F,Conciliacao!BH262,df_extratos!G:G,"DEBITO")</f>
        <v/>
      </c>
      <c r="O262" s="11">
        <f>N262-SUM(J262:M262)</f>
        <v/>
      </c>
      <c r="P262" s="25">
        <f>SUMIFS(df_ajustes_conciliaco!D:D,df_ajustes_conciliaco!C:C,Conciliacao!A262)</f>
        <v/>
      </c>
      <c r="Q262" s="22">
        <f>O262+I262-P262</f>
        <v/>
      </c>
      <c r="BE262" s="20" t="n">
        <v>45918.5</v>
      </c>
      <c r="BF262" s="20" t="n">
        <v>45918.125</v>
      </c>
      <c r="BG262" s="20" t="n">
        <v>45918.54166666666</v>
      </c>
      <c r="BH262" s="20" t="n">
        <v>45918.625</v>
      </c>
    </row>
    <row r="263">
      <c r="A263" s="5">
        <f>A262+1</f>
        <v/>
      </c>
      <c r="B263" s="3">
        <f>-SUMIFS(df_extrato_zig!G:G,df_extrato_zig!E:E,Conciliacao!A263,df_extrato_zig!D:D,"Saque")-SUMIFS(df_extrato_zig!G:G,df_extrato_zig!E:E,Conciliacao!A263,df_extrato_zig!D:D,"Antecipação")</f>
        <v/>
      </c>
      <c r="C263" s="3">
        <f>SUMIFS(df_extrato_zig!E:E,df_extrato_zig!L:L,Conciliacao!A263,df_extrato_zig!F:F,"DINHEIRO")</f>
        <v/>
      </c>
      <c r="D263" s="3">
        <f>SUMIFS(view_parc_agrup!H:H,view_parc_agrup!G:G,Conciliacao!A263)</f>
        <v/>
      </c>
      <c r="E263" s="3">
        <f>SUMIFS(df_eventos!F:F,df_eventos!H:H,Conciliacao!A263)</f>
        <v/>
      </c>
      <c r="F263" s="3">
        <f>SUMIFS(df_mutuos!M:M,df_mutuos!B:B,Conciliacao!A263)</f>
        <v/>
      </c>
      <c r="G263" s="6">
        <f>SUMIFS(df_bloqueios_judiciais!G:G,df_bloqueios_judiciais!D:D,Conciliacao!A263,df_bloqueios_judiciais!G:G,"&gt;0")</f>
        <v/>
      </c>
      <c r="H263" s="7">
        <f>SUMIFS(df_extratos!I:I,df_extratos!F:F,Conciliacao!BE263,df_extratos!G:G,"CREDITO")+SUMIFS(df_extratos!I:I,df_extratos!F:F,Conciliacao!A263,df_extratos!G:G,"CREDITO")+SUMIFS(df_extratos!I:I,df_extratos!F:F,Conciliacao!BF263,df_extratos!G:G,"CREDITO")+SUMIFS(df_extratos!I:I,df_extratos!F:F,Conciliacao!BG263,df_extratos!G:G,"CREDITO")+SUMIFS(df_extratos!I:I,df_extratos!F:F,Conciliacao!BH263,df_extratos!G:G,"CREDITO")</f>
        <v/>
      </c>
      <c r="I263" s="9">
        <f>H263-SUM(B263:G263)</f>
        <v/>
      </c>
      <c r="J263" s="4">
        <f>SUMIFS(df_blueme_sem_parcelamento!E:E,df_blueme_sem_parcelamento!H:H,Conciliacao!A263)*(-1)</f>
        <v/>
      </c>
      <c r="K263" s="4">
        <f>SUMIFS(df_blueme_com_parcelamento!J:J,df_blueme_com_parcelamento!M:M,Conciliacao!A263)*(-1)</f>
        <v/>
      </c>
      <c r="L263" s="4">
        <f>SUMIFS(df_mutuos!N:N,df_mutuos!B:B,Conciliacao!A263)*(-1)</f>
        <v/>
      </c>
      <c r="M263" s="8">
        <f>SUMIFS(df_bloqueios_judiciais!G:G,df_bloqueios_judiciais!D:D,Conciliacao!A263,df_bloqueios_judiciais!G:G,"&lt;0")</f>
        <v/>
      </c>
      <c r="N263" s="10">
        <f>SUMIFS(df_extratos!I:I,df_extratos!F:F,Conciliacao!BE263,df_extratos!G:G,"DEBITO")+SUMIFS(df_extratos!I:I,df_extratos!F:F,Conciliacao!A263,df_extratos!G:G,"DEBITO")+SUMIFS(df_extratos!I:I,df_extratos!F:F,Conciliacao!BF263,df_extratos!G:G,"DEBITO")+SUMIFS(df_extratos!I:I,df_extratos!F:F,Conciliacao!BG263,df_extratos!G:G,"DEBITO")+SUMIFS(df_extratos!I:I,df_extratos!F:F,Conciliacao!BH263,df_extratos!G:G,"DEBITO")</f>
        <v/>
      </c>
      <c r="O263" s="11">
        <f>N263-SUM(J263:M263)</f>
        <v/>
      </c>
      <c r="P263" s="25">
        <f>SUMIFS(df_ajustes_conciliaco!D:D,df_ajustes_conciliaco!C:C,Conciliacao!A263)</f>
        <v/>
      </c>
      <c r="Q263" s="22">
        <f>O263+I263-P263</f>
        <v/>
      </c>
      <c r="BE263" s="20" t="n">
        <v>45919.5</v>
      </c>
      <c r="BF263" s="20" t="n">
        <v>45919.125</v>
      </c>
      <c r="BG263" s="20" t="n">
        <v>45919.54166666666</v>
      </c>
      <c r="BH263" s="20" t="n">
        <v>45919.625</v>
      </c>
    </row>
    <row r="264">
      <c r="A264" s="5">
        <f>A263+1</f>
        <v/>
      </c>
      <c r="B264" s="3">
        <f>-SUMIFS(df_extrato_zig!G:G,df_extrato_zig!E:E,Conciliacao!A264,df_extrato_zig!D:D,"Saque")-SUMIFS(df_extrato_zig!G:G,df_extrato_zig!E:E,Conciliacao!A264,df_extrato_zig!D:D,"Antecipação")</f>
        <v/>
      </c>
      <c r="C264" s="3">
        <f>SUMIFS(df_extrato_zig!E:E,df_extrato_zig!L:L,Conciliacao!A264,df_extrato_zig!F:F,"DINHEIRO")</f>
        <v/>
      </c>
      <c r="D264" s="3">
        <f>SUMIFS(view_parc_agrup!H:H,view_parc_agrup!G:G,Conciliacao!A264)</f>
        <v/>
      </c>
      <c r="E264" s="3">
        <f>SUMIFS(df_eventos!F:F,df_eventos!H:H,Conciliacao!A264)</f>
        <v/>
      </c>
      <c r="F264" s="3">
        <f>SUMIFS(df_mutuos!M:M,df_mutuos!B:B,Conciliacao!A264)</f>
        <v/>
      </c>
      <c r="G264" s="6">
        <f>SUMIFS(df_bloqueios_judiciais!G:G,df_bloqueios_judiciais!D:D,Conciliacao!A264,df_bloqueios_judiciais!G:G,"&gt;0")</f>
        <v/>
      </c>
      <c r="H264" s="7">
        <f>SUMIFS(df_extratos!I:I,df_extratos!F:F,Conciliacao!BE264,df_extratos!G:G,"CREDITO")+SUMIFS(df_extratos!I:I,df_extratos!F:F,Conciliacao!A264,df_extratos!G:G,"CREDITO")+SUMIFS(df_extratos!I:I,df_extratos!F:F,Conciliacao!BF264,df_extratos!G:G,"CREDITO")+SUMIFS(df_extratos!I:I,df_extratos!F:F,Conciliacao!BG264,df_extratos!G:G,"CREDITO")+SUMIFS(df_extratos!I:I,df_extratos!F:F,Conciliacao!BH264,df_extratos!G:G,"CREDITO")</f>
        <v/>
      </c>
      <c r="I264" s="9">
        <f>H264-SUM(B264:G264)</f>
        <v/>
      </c>
      <c r="J264" s="4">
        <f>SUMIFS(df_blueme_sem_parcelamento!E:E,df_blueme_sem_parcelamento!H:H,Conciliacao!A264)*(-1)</f>
        <v/>
      </c>
      <c r="K264" s="4">
        <f>SUMIFS(df_blueme_com_parcelamento!J:J,df_blueme_com_parcelamento!M:M,Conciliacao!A264)*(-1)</f>
        <v/>
      </c>
      <c r="L264" s="4">
        <f>SUMIFS(df_mutuos!N:N,df_mutuos!B:B,Conciliacao!A264)*(-1)</f>
        <v/>
      </c>
      <c r="M264" s="8">
        <f>SUMIFS(df_bloqueios_judiciais!G:G,df_bloqueios_judiciais!D:D,Conciliacao!A264,df_bloqueios_judiciais!G:G,"&lt;0")</f>
        <v/>
      </c>
      <c r="N264" s="10">
        <f>SUMIFS(df_extratos!I:I,df_extratos!F:F,Conciliacao!BE264,df_extratos!G:G,"DEBITO")+SUMIFS(df_extratos!I:I,df_extratos!F:F,Conciliacao!A264,df_extratos!G:G,"DEBITO")+SUMIFS(df_extratos!I:I,df_extratos!F:F,Conciliacao!BF264,df_extratos!G:G,"DEBITO")+SUMIFS(df_extratos!I:I,df_extratos!F:F,Conciliacao!BG264,df_extratos!G:G,"DEBITO")+SUMIFS(df_extratos!I:I,df_extratos!F:F,Conciliacao!BH264,df_extratos!G:G,"DEBITO")</f>
        <v/>
      </c>
      <c r="O264" s="11">
        <f>N264-SUM(J264:M264)</f>
        <v/>
      </c>
      <c r="P264" s="25">
        <f>SUMIFS(df_ajustes_conciliaco!D:D,df_ajustes_conciliaco!C:C,Conciliacao!A264)</f>
        <v/>
      </c>
      <c r="Q264" s="22">
        <f>O264+I264-P264</f>
        <v/>
      </c>
      <c r="BE264" s="20" t="n">
        <v>45920.5</v>
      </c>
      <c r="BF264" s="20" t="n">
        <v>45920.125</v>
      </c>
      <c r="BG264" s="20" t="n">
        <v>45920.54166666666</v>
      </c>
      <c r="BH264" s="20" t="n">
        <v>45920.625</v>
      </c>
    </row>
    <row r="265">
      <c r="A265" s="5">
        <f>A264+1</f>
        <v/>
      </c>
      <c r="B265" s="3">
        <f>-SUMIFS(df_extrato_zig!G:G,df_extrato_zig!E:E,Conciliacao!A265,df_extrato_zig!D:D,"Saque")-SUMIFS(df_extrato_zig!G:G,df_extrato_zig!E:E,Conciliacao!A265,df_extrato_zig!D:D,"Antecipação")</f>
        <v/>
      </c>
      <c r="C265" s="3">
        <f>SUMIFS(df_extrato_zig!E:E,df_extrato_zig!L:L,Conciliacao!A265,df_extrato_zig!F:F,"DINHEIRO")</f>
        <v/>
      </c>
      <c r="D265" s="3">
        <f>SUMIFS(view_parc_agrup!H:H,view_parc_agrup!G:G,Conciliacao!A265)</f>
        <v/>
      </c>
      <c r="E265" s="3">
        <f>SUMIFS(df_eventos!F:F,df_eventos!H:H,Conciliacao!A265)</f>
        <v/>
      </c>
      <c r="F265" s="3">
        <f>SUMIFS(df_mutuos!M:M,df_mutuos!B:B,Conciliacao!A265)</f>
        <v/>
      </c>
      <c r="G265" s="6">
        <f>SUMIFS(df_bloqueios_judiciais!G:G,df_bloqueios_judiciais!D:D,Conciliacao!A265,df_bloqueios_judiciais!G:G,"&gt;0")</f>
        <v/>
      </c>
      <c r="H265" s="7">
        <f>SUMIFS(df_extratos!I:I,df_extratos!F:F,Conciliacao!BE265,df_extratos!G:G,"CREDITO")+SUMIFS(df_extratos!I:I,df_extratos!F:F,Conciliacao!A265,df_extratos!G:G,"CREDITO")+SUMIFS(df_extratos!I:I,df_extratos!F:F,Conciliacao!BF265,df_extratos!G:G,"CREDITO")+SUMIFS(df_extratos!I:I,df_extratos!F:F,Conciliacao!BG265,df_extratos!G:G,"CREDITO")+SUMIFS(df_extratos!I:I,df_extratos!F:F,Conciliacao!BH265,df_extratos!G:G,"CREDITO")</f>
        <v/>
      </c>
      <c r="I265" s="9">
        <f>H265-SUM(B265:G265)</f>
        <v/>
      </c>
      <c r="J265" s="4">
        <f>SUMIFS(df_blueme_sem_parcelamento!E:E,df_blueme_sem_parcelamento!H:H,Conciliacao!A265)*(-1)</f>
        <v/>
      </c>
      <c r="K265" s="4">
        <f>SUMIFS(df_blueme_com_parcelamento!J:J,df_blueme_com_parcelamento!M:M,Conciliacao!A265)*(-1)</f>
        <v/>
      </c>
      <c r="L265" s="4">
        <f>SUMIFS(df_mutuos!N:N,df_mutuos!B:B,Conciliacao!A265)*(-1)</f>
        <v/>
      </c>
      <c r="M265" s="8">
        <f>SUMIFS(df_bloqueios_judiciais!G:G,df_bloqueios_judiciais!D:D,Conciliacao!A265,df_bloqueios_judiciais!G:G,"&lt;0")</f>
        <v/>
      </c>
      <c r="N265" s="10">
        <f>SUMIFS(df_extratos!I:I,df_extratos!F:F,Conciliacao!BE265,df_extratos!G:G,"DEBITO")+SUMIFS(df_extratos!I:I,df_extratos!F:F,Conciliacao!A265,df_extratos!G:G,"DEBITO")+SUMIFS(df_extratos!I:I,df_extratos!F:F,Conciliacao!BF265,df_extratos!G:G,"DEBITO")+SUMIFS(df_extratos!I:I,df_extratos!F:F,Conciliacao!BG265,df_extratos!G:G,"DEBITO")+SUMIFS(df_extratos!I:I,df_extratos!F:F,Conciliacao!BH265,df_extratos!G:G,"DEBITO")</f>
        <v/>
      </c>
      <c r="O265" s="11">
        <f>N265-SUM(J265:M265)</f>
        <v/>
      </c>
      <c r="P265" s="25">
        <f>SUMIFS(df_ajustes_conciliaco!D:D,df_ajustes_conciliaco!C:C,Conciliacao!A265)</f>
        <v/>
      </c>
      <c r="Q265" s="22">
        <f>O265+I265-P265</f>
        <v/>
      </c>
      <c r="BE265" s="20" t="n">
        <v>45921.5</v>
      </c>
      <c r="BF265" s="20" t="n">
        <v>45921.125</v>
      </c>
      <c r="BG265" s="20" t="n">
        <v>45921.54166666666</v>
      </c>
      <c r="BH265" s="20" t="n">
        <v>45921.625</v>
      </c>
    </row>
    <row r="266">
      <c r="A266" s="5">
        <f>A265+1</f>
        <v/>
      </c>
      <c r="B266" s="3">
        <f>-SUMIFS(df_extrato_zig!G:G,df_extrato_zig!E:E,Conciliacao!A266,df_extrato_zig!D:D,"Saque")-SUMIFS(df_extrato_zig!G:G,df_extrato_zig!E:E,Conciliacao!A266,df_extrato_zig!D:D,"Antecipação")</f>
        <v/>
      </c>
      <c r="C266" s="3">
        <f>SUMIFS(df_extrato_zig!E:E,df_extrato_zig!L:L,Conciliacao!A266,df_extrato_zig!F:F,"DINHEIRO")</f>
        <v/>
      </c>
      <c r="D266" s="3">
        <f>SUMIFS(view_parc_agrup!H:H,view_parc_agrup!G:G,Conciliacao!A266)</f>
        <v/>
      </c>
      <c r="E266" s="3">
        <f>SUMIFS(df_eventos!F:F,df_eventos!H:H,Conciliacao!A266)</f>
        <v/>
      </c>
      <c r="F266" s="3">
        <f>SUMIFS(df_mutuos!M:M,df_mutuos!B:B,Conciliacao!A266)</f>
        <v/>
      </c>
      <c r="G266" s="6">
        <f>SUMIFS(df_bloqueios_judiciais!G:G,df_bloqueios_judiciais!D:D,Conciliacao!A266,df_bloqueios_judiciais!G:G,"&gt;0")</f>
        <v/>
      </c>
      <c r="H266" s="7">
        <f>SUMIFS(df_extratos!I:I,df_extratos!F:F,Conciliacao!BE266,df_extratos!G:G,"CREDITO")+SUMIFS(df_extratos!I:I,df_extratos!F:F,Conciliacao!A266,df_extratos!G:G,"CREDITO")+SUMIFS(df_extratos!I:I,df_extratos!F:F,Conciliacao!BF266,df_extratos!G:G,"CREDITO")+SUMIFS(df_extratos!I:I,df_extratos!F:F,Conciliacao!BG266,df_extratos!G:G,"CREDITO")+SUMIFS(df_extratos!I:I,df_extratos!F:F,Conciliacao!BH266,df_extratos!G:G,"CREDITO")</f>
        <v/>
      </c>
      <c r="I266" s="9">
        <f>H266-SUM(B266:G266)</f>
        <v/>
      </c>
      <c r="J266" s="4">
        <f>SUMIFS(df_blueme_sem_parcelamento!E:E,df_blueme_sem_parcelamento!H:H,Conciliacao!A266)*(-1)</f>
        <v/>
      </c>
      <c r="K266" s="4">
        <f>SUMIFS(df_blueme_com_parcelamento!J:J,df_blueme_com_parcelamento!M:M,Conciliacao!A266)*(-1)</f>
        <v/>
      </c>
      <c r="L266" s="4">
        <f>SUMIFS(df_mutuos!N:N,df_mutuos!B:B,Conciliacao!A266)*(-1)</f>
        <v/>
      </c>
      <c r="M266" s="8">
        <f>SUMIFS(df_bloqueios_judiciais!G:G,df_bloqueios_judiciais!D:D,Conciliacao!A266,df_bloqueios_judiciais!G:G,"&lt;0")</f>
        <v/>
      </c>
      <c r="N266" s="10">
        <f>SUMIFS(df_extratos!I:I,df_extratos!F:F,Conciliacao!BE266,df_extratos!G:G,"DEBITO")+SUMIFS(df_extratos!I:I,df_extratos!F:F,Conciliacao!A266,df_extratos!G:G,"DEBITO")+SUMIFS(df_extratos!I:I,df_extratos!F:F,Conciliacao!BF266,df_extratos!G:G,"DEBITO")+SUMIFS(df_extratos!I:I,df_extratos!F:F,Conciliacao!BG266,df_extratos!G:G,"DEBITO")+SUMIFS(df_extratos!I:I,df_extratos!F:F,Conciliacao!BH266,df_extratos!G:G,"DEBITO")</f>
        <v/>
      </c>
      <c r="O266" s="11">
        <f>N266-SUM(J266:M266)</f>
        <v/>
      </c>
      <c r="P266" s="25">
        <f>SUMIFS(df_ajustes_conciliaco!D:D,df_ajustes_conciliaco!C:C,Conciliacao!A266)</f>
        <v/>
      </c>
      <c r="Q266" s="22">
        <f>O266+I266-P266</f>
        <v/>
      </c>
      <c r="BE266" s="20" t="n">
        <v>45922.5</v>
      </c>
      <c r="BF266" s="20" t="n">
        <v>45922.125</v>
      </c>
      <c r="BG266" s="20" t="n">
        <v>45922.54166666666</v>
      </c>
      <c r="BH266" s="20" t="n">
        <v>45922.625</v>
      </c>
    </row>
    <row r="267">
      <c r="A267" s="5">
        <f>A266+1</f>
        <v/>
      </c>
      <c r="B267" s="3">
        <f>-SUMIFS(df_extrato_zig!G:G,df_extrato_zig!E:E,Conciliacao!A267,df_extrato_zig!D:D,"Saque")-SUMIFS(df_extrato_zig!G:G,df_extrato_zig!E:E,Conciliacao!A267,df_extrato_zig!D:D,"Antecipação")</f>
        <v/>
      </c>
      <c r="C267" s="3">
        <f>SUMIFS(df_extrato_zig!E:E,df_extrato_zig!L:L,Conciliacao!A267,df_extrato_zig!F:F,"DINHEIRO")</f>
        <v/>
      </c>
      <c r="D267" s="3">
        <f>SUMIFS(view_parc_agrup!H:H,view_parc_agrup!G:G,Conciliacao!A267)</f>
        <v/>
      </c>
      <c r="E267" s="3">
        <f>SUMIFS(df_eventos!F:F,df_eventos!H:H,Conciliacao!A267)</f>
        <v/>
      </c>
      <c r="F267" s="3">
        <f>SUMIFS(df_mutuos!M:M,df_mutuos!B:B,Conciliacao!A267)</f>
        <v/>
      </c>
      <c r="G267" s="6">
        <f>SUMIFS(df_bloqueios_judiciais!G:G,df_bloqueios_judiciais!D:D,Conciliacao!A267,df_bloqueios_judiciais!G:G,"&gt;0")</f>
        <v/>
      </c>
      <c r="H267" s="7">
        <f>SUMIFS(df_extratos!I:I,df_extratos!F:F,Conciliacao!BE267,df_extratos!G:G,"CREDITO")+SUMIFS(df_extratos!I:I,df_extratos!F:F,Conciliacao!A267,df_extratos!G:G,"CREDITO")+SUMIFS(df_extratos!I:I,df_extratos!F:F,Conciliacao!BF267,df_extratos!G:G,"CREDITO")+SUMIFS(df_extratos!I:I,df_extratos!F:F,Conciliacao!BG267,df_extratos!G:G,"CREDITO")+SUMIFS(df_extratos!I:I,df_extratos!F:F,Conciliacao!BH267,df_extratos!G:G,"CREDITO")</f>
        <v/>
      </c>
      <c r="I267" s="9">
        <f>H267-SUM(B267:G267)</f>
        <v/>
      </c>
      <c r="J267" s="4">
        <f>SUMIFS(df_blueme_sem_parcelamento!E:E,df_blueme_sem_parcelamento!H:H,Conciliacao!A267)*(-1)</f>
        <v/>
      </c>
      <c r="K267" s="4">
        <f>SUMIFS(df_blueme_com_parcelamento!J:J,df_blueme_com_parcelamento!M:M,Conciliacao!A267)*(-1)</f>
        <v/>
      </c>
      <c r="L267" s="4">
        <f>SUMIFS(df_mutuos!N:N,df_mutuos!B:B,Conciliacao!A267)*(-1)</f>
        <v/>
      </c>
      <c r="M267" s="8">
        <f>SUMIFS(df_bloqueios_judiciais!G:G,df_bloqueios_judiciais!D:D,Conciliacao!A267,df_bloqueios_judiciais!G:G,"&lt;0")</f>
        <v/>
      </c>
      <c r="N267" s="10">
        <f>SUMIFS(df_extratos!I:I,df_extratos!F:F,Conciliacao!BE267,df_extratos!G:G,"DEBITO")+SUMIFS(df_extratos!I:I,df_extratos!F:F,Conciliacao!A267,df_extratos!G:G,"DEBITO")+SUMIFS(df_extratos!I:I,df_extratos!F:F,Conciliacao!BF267,df_extratos!G:G,"DEBITO")+SUMIFS(df_extratos!I:I,df_extratos!F:F,Conciliacao!BG267,df_extratos!G:G,"DEBITO")+SUMIFS(df_extratos!I:I,df_extratos!F:F,Conciliacao!BH267,df_extratos!G:G,"DEBITO")</f>
        <v/>
      </c>
      <c r="O267" s="11">
        <f>N267-SUM(J267:M267)</f>
        <v/>
      </c>
      <c r="P267" s="25">
        <f>SUMIFS(df_ajustes_conciliaco!D:D,df_ajustes_conciliaco!C:C,Conciliacao!A267)</f>
        <v/>
      </c>
      <c r="Q267" s="22">
        <f>O267+I267-P267</f>
        <v/>
      </c>
      <c r="BE267" s="20" t="n">
        <v>45923.5</v>
      </c>
      <c r="BF267" s="20" t="n">
        <v>45923.125</v>
      </c>
      <c r="BG267" s="20" t="n">
        <v>45923.54166666666</v>
      </c>
      <c r="BH267" s="20" t="n">
        <v>45923.625</v>
      </c>
    </row>
    <row r="268">
      <c r="A268" s="5">
        <f>A267+1</f>
        <v/>
      </c>
      <c r="B268" s="3">
        <f>-SUMIFS(df_extrato_zig!G:G,df_extrato_zig!E:E,Conciliacao!A268,df_extrato_zig!D:D,"Saque")-SUMIFS(df_extrato_zig!G:G,df_extrato_zig!E:E,Conciliacao!A268,df_extrato_zig!D:D,"Antecipação")</f>
        <v/>
      </c>
      <c r="C268" s="3">
        <f>SUMIFS(df_extrato_zig!E:E,df_extrato_zig!L:L,Conciliacao!A268,df_extrato_zig!F:F,"DINHEIRO")</f>
        <v/>
      </c>
      <c r="D268" s="3">
        <f>SUMIFS(view_parc_agrup!H:H,view_parc_agrup!G:G,Conciliacao!A268)</f>
        <v/>
      </c>
      <c r="E268" s="3">
        <f>SUMIFS(df_eventos!F:F,df_eventos!H:H,Conciliacao!A268)</f>
        <v/>
      </c>
      <c r="F268" s="3">
        <f>SUMIFS(df_mutuos!M:M,df_mutuos!B:B,Conciliacao!A268)</f>
        <v/>
      </c>
      <c r="G268" s="6">
        <f>SUMIFS(df_bloqueios_judiciais!G:G,df_bloqueios_judiciais!D:D,Conciliacao!A268,df_bloqueios_judiciais!G:G,"&gt;0")</f>
        <v/>
      </c>
      <c r="H268" s="7">
        <f>SUMIFS(df_extratos!I:I,df_extratos!F:F,Conciliacao!BE268,df_extratos!G:G,"CREDITO")+SUMIFS(df_extratos!I:I,df_extratos!F:F,Conciliacao!A268,df_extratos!G:G,"CREDITO")+SUMIFS(df_extratos!I:I,df_extratos!F:F,Conciliacao!BF268,df_extratos!G:G,"CREDITO")+SUMIFS(df_extratos!I:I,df_extratos!F:F,Conciliacao!BG268,df_extratos!G:G,"CREDITO")+SUMIFS(df_extratos!I:I,df_extratos!F:F,Conciliacao!BH268,df_extratos!G:G,"CREDITO")</f>
        <v/>
      </c>
      <c r="I268" s="9">
        <f>H268-SUM(B268:G268)</f>
        <v/>
      </c>
      <c r="J268" s="4">
        <f>SUMIFS(df_blueme_sem_parcelamento!E:E,df_blueme_sem_parcelamento!H:H,Conciliacao!A268)*(-1)</f>
        <v/>
      </c>
      <c r="K268" s="4">
        <f>SUMIFS(df_blueme_com_parcelamento!J:J,df_blueme_com_parcelamento!M:M,Conciliacao!A268)*(-1)</f>
        <v/>
      </c>
      <c r="L268" s="4">
        <f>SUMIFS(df_mutuos!N:N,df_mutuos!B:B,Conciliacao!A268)*(-1)</f>
        <v/>
      </c>
      <c r="M268" s="8">
        <f>SUMIFS(df_bloqueios_judiciais!G:G,df_bloqueios_judiciais!D:D,Conciliacao!A268,df_bloqueios_judiciais!G:G,"&lt;0")</f>
        <v/>
      </c>
      <c r="N268" s="10">
        <f>SUMIFS(df_extratos!I:I,df_extratos!F:F,Conciliacao!BE268,df_extratos!G:G,"DEBITO")+SUMIFS(df_extratos!I:I,df_extratos!F:F,Conciliacao!A268,df_extratos!G:G,"DEBITO")+SUMIFS(df_extratos!I:I,df_extratos!F:F,Conciliacao!BF268,df_extratos!G:G,"DEBITO")+SUMIFS(df_extratos!I:I,df_extratos!F:F,Conciliacao!BG268,df_extratos!G:G,"DEBITO")+SUMIFS(df_extratos!I:I,df_extratos!F:F,Conciliacao!BH268,df_extratos!G:G,"DEBITO")</f>
        <v/>
      </c>
      <c r="O268" s="11">
        <f>N268-SUM(J268:M268)</f>
        <v/>
      </c>
      <c r="P268" s="25">
        <f>SUMIFS(df_ajustes_conciliaco!D:D,df_ajustes_conciliaco!C:C,Conciliacao!A268)</f>
        <v/>
      </c>
      <c r="Q268" s="22">
        <f>O268+I268-P268</f>
        <v/>
      </c>
      <c r="BE268" s="20" t="n">
        <v>45924.5</v>
      </c>
      <c r="BF268" s="20" t="n">
        <v>45924.125</v>
      </c>
      <c r="BG268" s="20" t="n">
        <v>45924.54166666666</v>
      </c>
      <c r="BH268" s="20" t="n">
        <v>45924.625</v>
      </c>
    </row>
    <row r="269">
      <c r="A269" s="5">
        <f>A268+1</f>
        <v/>
      </c>
      <c r="B269" s="3">
        <f>-SUMIFS(df_extrato_zig!G:G,df_extrato_zig!E:E,Conciliacao!A269,df_extrato_zig!D:D,"Saque")-SUMIFS(df_extrato_zig!G:G,df_extrato_zig!E:E,Conciliacao!A269,df_extrato_zig!D:D,"Antecipação")</f>
        <v/>
      </c>
      <c r="C269" s="3">
        <f>SUMIFS(df_extrato_zig!E:E,df_extrato_zig!L:L,Conciliacao!A269,df_extrato_zig!F:F,"DINHEIRO")</f>
        <v/>
      </c>
      <c r="D269" s="3">
        <f>SUMIFS(view_parc_agrup!H:H,view_parc_agrup!G:G,Conciliacao!A269)</f>
        <v/>
      </c>
      <c r="E269" s="3">
        <f>SUMIFS(df_eventos!F:F,df_eventos!H:H,Conciliacao!A269)</f>
        <v/>
      </c>
      <c r="F269" s="3">
        <f>SUMIFS(df_mutuos!M:M,df_mutuos!B:B,Conciliacao!A269)</f>
        <v/>
      </c>
      <c r="G269" s="6">
        <f>SUMIFS(df_bloqueios_judiciais!G:G,df_bloqueios_judiciais!D:D,Conciliacao!A269,df_bloqueios_judiciais!G:G,"&gt;0")</f>
        <v/>
      </c>
      <c r="H269" s="7">
        <f>SUMIFS(df_extratos!I:I,df_extratos!F:F,Conciliacao!BE269,df_extratos!G:G,"CREDITO")+SUMIFS(df_extratos!I:I,df_extratos!F:F,Conciliacao!A269,df_extratos!G:G,"CREDITO")+SUMIFS(df_extratos!I:I,df_extratos!F:F,Conciliacao!BF269,df_extratos!G:G,"CREDITO")+SUMIFS(df_extratos!I:I,df_extratos!F:F,Conciliacao!BG269,df_extratos!G:G,"CREDITO")+SUMIFS(df_extratos!I:I,df_extratos!F:F,Conciliacao!BH269,df_extratos!G:G,"CREDITO")</f>
        <v/>
      </c>
      <c r="I269" s="9">
        <f>H269-SUM(B269:G269)</f>
        <v/>
      </c>
      <c r="J269" s="4">
        <f>SUMIFS(df_blueme_sem_parcelamento!E:E,df_blueme_sem_parcelamento!H:H,Conciliacao!A269)*(-1)</f>
        <v/>
      </c>
      <c r="K269" s="4">
        <f>SUMIFS(df_blueme_com_parcelamento!J:J,df_blueme_com_parcelamento!M:M,Conciliacao!A269)*(-1)</f>
        <v/>
      </c>
      <c r="L269" s="4">
        <f>SUMIFS(df_mutuos!N:N,df_mutuos!B:B,Conciliacao!A269)*(-1)</f>
        <v/>
      </c>
      <c r="M269" s="8">
        <f>SUMIFS(df_bloqueios_judiciais!G:G,df_bloqueios_judiciais!D:D,Conciliacao!A269,df_bloqueios_judiciais!G:G,"&lt;0")</f>
        <v/>
      </c>
      <c r="N269" s="10">
        <f>SUMIFS(df_extratos!I:I,df_extratos!F:F,Conciliacao!BE269,df_extratos!G:G,"DEBITO")+SUMIFS(df_extratos!I:I,df_extratos!F:F,Conciliacao!A269,df_extratos!G:G,"DEBITO")+SUMIFS(df_extratos!I:I,df_extratos!F:F,Conciliacao!BF269,df_extratos!G:G,"DEBITO")+SUMIFS(df_extratos!I:I,df_extratos!F:F,Conciliacao!BG269,df_extratos!G:G,"DEBITO")+SUMIFS(df_extratos!I:I,df_extratos!F:F,Conciliacao!BH269,df_extratos!G:G,"DEBITO")</f>
        <v/>
      </c>
      <c r="O269" s="11">
        <f>N269-SUM(J269:M269)</f>
        <v/>
      </c>
      <c r="P269" s="25">
        <f>SUMIFS(df_ajustes_conciliaco!D:D,df_ajustes_conciliaco!C:C,Conciliacao!A269)</f>
        <v/>
      </c>
      <c r="Q269" s="22">
        <f>O269+I269-P269</f>
        <v/>
      </c>
      <c r="BE269" s="20" t="n">
        <v>45925.5</v>
      </c>
      <c r="BF269" s="20" t="n">
        <v>45925.125</v>
      </c>
      <c r="BG269" s="20" t="n">
        <v>45925.54166666666</v>
      </c>
      <c r="BH269" s="20" t="n">
        <v>45925.625</v>
      </c>
    </row>
    <row r="270">
      <c r="A270" s="5">
        <f>A269+1</f>
        <v/>
      </c>
      <c r="B270" s="3">
        <f>-SUMIFS(df_extrato_zig!G:G,df_extrato_zig!E:E,Conciliacao!A270,df_extrato_zig!D:D,"Saque")-SUMIFS(df_extrato_zig!G:G,df_extrato_zig!E:E,Conciliacao!A270,df_extrato_zig!D:D,"Antecipação")</f>
        <v/>
      </c>
      <c r="C270" s="3">
        <f>SUMIFS(df_extrato_zig!E:E,df_extrato_zig!L:L,Conciliacao!A270,df_extrato_zig!F:F,"DINHEIRO")</f>
        <v/>
      </c>
      <c r="D270" s="3">
        <f>SUMIFS(view_parc_agrup!H:H,view_parc_agrup!G:G,Conciliacao!A270)</f>
        <v/>
      </c>
      <c r="E270" s="3">
        <f>SUMIFS(df_eventos!F:F,df_eventos!H:H,Conciliacao!A270)</f>
        <v/>
      </c>
      <c r="F270" s="3">
        <f>SUMIFS(df_mutuos!M:M,df_mutuos!B:B,Conciliacao!A270)</f>
        <v/>
      </c>
      <c r="G270" s="6">
        <f>SUMIFS(df_bloqueios_judiciais!G:G,df_bloqueios_judiciais!D:D,Conciliacao!A270,df_bloqueios_judiciais!G:G,"&gt;0")</f>
        <v/>
      </c>
      <c r="H270" s="7">
        <f>SUMIFS(df_extratos!I:I,df_extratos!F:F,Conciliacao!BE270,df_extratos!G:G,"CREDITO")+SUMIFS(df_extratos!I:I,df_extratos!F:F,Conciliacao!A270,df_extratos!G:G,"CREDITO")+SUMIFS(df_extratos!I:I,df_extratos!F:F,Conciliacao!BF270,df_extratos!G:G,"CREDITO")+SUMIFS(df_extratos!I:I,df_extratos!F:F,Conciliacao!BG270,df_extratos!G:G,"CREDITO")+SUMIFS(df_extratos!I:I,df_extratos!F:F,Conciliacao!BH270,df_extratos!G:G,"CREDITO")</f>
        <v/>
      </c>
      <c r="I270" s="9">
        <f>H270-SUM(B270:G270)</f>
        <v/>
      </c>
      <c r="J270" s="4">
        <f>SUMIFS(df_blueme_sem_parcelamento!E:E,df_blueme_sem_parcelamento!H:H,Conciliacao!A270)*(-1)</f>
        <v/>
      </c>
      <c r="K270" s="4">
        <f>SUMIFS(df_blueme_com_parcelamento!J:J,df_blueme_com_parcelamento!M:M,Conciliacao!A270)*(-1)</f>
        <v/>
      </c>
      <c r="L270" s="4">
        <f>SUMIFS(df_mutuos!N:N,df_mutuos!B:B,Conciliacao!A270)*(-1)</f>
        <v/>
      </c>
      <c r="M270" s="8">
        <f>SUMIFS(df_bloqueios_judiciais!G:G,df_bloqueios_judiciais!D:D,Conciliacao!A270,df_bloqueios_judiciais!G:G,"&lt;0")</f>
        <v/>
      </c>
      <c r="N270" s="10">
        <f>SUMIFS(df_extratos!I:I,df_extratos!F:F,Conciliacao!BE270,df_extratos!G:G,"DEBITO")+SUMIFS(df_extratos!I:I,df_extratos!F:F,Conciliacao!A270,df_extratos!G:G,"DEBITO")+SUMIFS(df_extratos!I:I,df_extratos!F:F,Conciliacao!BF270,df_extratos!G:G,"DEBITO")+SUMIFS(df_extratos!I:I,df_extratos!F:F,Conciliacao!BG270,df_extratos!G:G,"DEBITO")+SUMIFS(df_extratos!I:I,df_extratos!F:F,Conciliacao!BH270,df_extratos!G:G,"DEBITO")</f>
        <v/>
      </c>
      <c r="O270" s="11">
        <f>N270-SUM(J270:M270)</f>
        <v/>
      </c>
      <c r="P270" s="25">
        <f>SUMIFS(df_ajustes_conciliaco!D:D,df_ajustes_conciliaco!C:C,Conciliacao!A270)</f>
        <v/>
      </c>
      <c r="Q270" s="22">
        <f>O270+I270-P270</f>
        <v/>
      </c>
      <c r="BE270" s="20" t="n">
        <v>45926.5</v>
      </c>
      <c r="BF270" s="20" t="n">
        <v>45926.125</v>
      </c>
      <c r="BG270" s="20" t="n">
        <v>45926.54166666666</v>
      </c>
      <c r="BH270" s="20" t="n">
        <v>45926.625</v>
      </c>
    </row>
    <row r="271">
      <c r="A271" s="5">
        <f>A270+1</f>
        <v/>
      </c>
      <c r="B271" s="3">
        <f>-SUMIFS(df_extrato_zig!G:G,df_extrato_zig!E:E,Conciliacao!A271,df_extrato_zig!D:D,"Saque")-SUMIFS(df_extrato_zig!G:G,df_extrato_zig!E:E,Conciliacao!A271,df_extrato_zig!D:D,"Antecipação")</f>
        <v/>
      </c>
      <c r="C271" s="3">
        <f>SUMIFS(df_extrato_zig!E:E,df_extrato_zig!L:L,Conciliacao!A271,df_extrato_zig!F:F,"DINHEIRO")</f>
        <v/>
      </c>
      <c r="D271" s="3">
        <f>SUMIFS(view_parc_agrup!H:H,view_parc_agrup!G:G,Conciliacao!A271)</f>
        <v/>
      </c>
      <c r="E271" s="3">
        <f>SUMIFS(df_eventos!F:F,df_eventos!H:H,Conciliacao!A271)</f>
        <v/>
      </c>
      <c r="F271" s="3">
        <f>SUMIFS(df_mutuos!M:M,df_mutuos!B:B,Conciliacao!A271)</f>
        <v/>
      </c>
      <c r="G271" s="6">
        <f>SUMIFS(df_bloqueios_judiciais!G:G,df_bloqueios_judiciais!D:D,Conciliacao!A271,df_bloqueios_judiciais!G:G,"&gt;0")</f>
        <v/>
      </c>
      <c r="H271" s="7">
        <f>SUMIFS(df_extratos!I:I,df_extratos!F:F,Conciliacao!BE271,df_extratos!G:G,"CREDITO")+SUMIFS(df_extratos!I:I,df_extratos!F:F,Conciliacao!A271,df_extratos!G:G,"CREDITO")+SUMIFS(df_extratos!I:I,df_extratos!F:F,Conciliacao!BF271,df_extratos!G:G,"CREDITO")+SUMIFS(df_extratos!I:I,df_extratos!F:F,Conciliacao!BG271,df_extratos!G:G,"CREDITO")+SUMIFS(df_extratos!I:I,df_extratos!F:F,Conciliacao!BH271,df_extratos!G:G,"CREDITO")</f>
        <v/>
      </c>
      <c r="I271" s="9">
        <f>H271-SUM(B271:G271)</f>
        <v/>
      </c>
      <c r="J271" s="4">
        <f>SUMIFS(df_blueme_sem_parcelamento!E:E,df_blueme_sem_parcelamento!H:H,Conciliacao!A271)*(-1)</f>
        <v/>
      </c>
      <c r="K271" s="4">
        <f>SUMIFS(df_blueme_com_parcelamento!J:J,df_blueme_com_parcelamento!M:M,Conciliacao!A271)*(-1)</f>
        <v/>
      </c>
      <c r="L271" s="4">
        <f>SUMIFS(df_mutuos!N:N,df_mutuos!B:B,Conciliacao!A271)*(-1)</f>
        <v/>
      </c>
      <c r="M271" s="8">
        <f>SUMIFS(df_bloqueios_judiciais!G:G,df_bloqueios_judiciais!D:D,Conciliacao!A271,df_bloqueios_judiciais!G:G,"&lt;0")</f>
        <v/>
      </c>
      <c r="N271" s="10">
        <f>SUMIFS(df_extratos!I:I,df_extratos!F:F,Conciliacao!BE271,df_extratos!G:G,"DEBITO")+SUMIFS(df_extratos!I:I,df_extratos!F:F,Conciliacao!A271,df_extratos!G:G,"DEBITO")+SUMIFS(df_extratos!I:I,df_extratos!F:F,Conciliacao!BF271,df_extratos!G:G,"DEBITO")+SUMIFS(df_extratos!I:I,df_extratos!F:F,Conciliacao!BG271,df_extratos!G:G,"DEBITO")+SUMIFS(df_extratos!I:I,df_extratos!F:F,Conciliacao!BH271,df_extratos!G:G,"DEBITO")</f>
        <v/>
      </c>
      <c r="O271" s="11">
        <f>N271-SUM(J271:M271)</f>
        <v/>
      </c>
      <c r="P271" s="25">
        <f>SUMIFS(df_ajustes_conciliaco!D:D,df_ajustes_conciliaco!C:C,Conciliacao!A271)</f>
        <v/>
      </c>
      <c r="Q271" s="22">
        <f>O271+I271-P271</f>
        <v/>
      </c>
      <c r="BE271" s="20" t="n">
        <v>45927.5</v>
      </c>
      <c r="BF271" s="20" t="n">
        <v>45927.125</v>
      </c>
      <c r="BG271" s="20" t="n">
        <v>45927.54166666666</v>
      </c>
      <c r="BH271" s="20" t="n">
        <v>45927.625</v>
      </c>
    </row>
    <row r="272">
      <c r="A272" s="5">
        <f>A271+1</f>
        <v/>
      </c>
      <c r="B272" s="3">
        <f>-SUMIFS(df_extrato_zig!G:G,df_extrato_zig!E:E,Conciliacao!A272,df_extrato_zig!D:D,"Saque")-SUMIFS(df_extrato_zig!G:G,df_extrato_zig!E:E,Conciliacao!A272,df_extrato_zig!D:D,"Antecipação")</f>
        <v/>
      </c>
      <c r="C272" s="3">
        <f>SUMIFS(df_extrato_zig!E:E,df_extrato_zig!L:L,Conciliacao!A272,df_extrato_zig!F:F,"DINHEIRO")</f>
        <v/>
      </c>
      <c r="D272" s="3">
        <f>SUMIFS(view_parc_agrup!H:H,view_parc_agrup!G:G,Conciliacao!A272)</f>
        <v/>
      </c>
      <c r="E272" s="3">
        <f>SUMIFS(df_eventos!F:F,df_eventos!H:H,Conciliacao!A272)</f>
        <v/>
      </c>
      <c r="F272" s="3">
        <f>SUMIFS(df_mutuos!M:M,df_mutuos!B:B,Conciliacao!A272)</f>
        <v/>
      </c>
      <c r="G272" s="6">
        <f>SUMIFS(df_bloqueios_judiciais!G:G,df_bloqueios_judiciais!D:D,Conciliacao!A272,df_bloqueios_judiciais!G:G,"&gt;0")</f>
        <v/>
      </c>
      <c r="H272" s="7">
        <f>SUMIFS(df_extratos!I:I,df_extratos!F:F,Conciliacao!BE272,df_extratos!G:G,"CREDITO")+SUMIFS(df_extratos!I:I,df_extratos!F:F,Conciliacao!A272,df_extratos!G:G,"CREDITO")+SUMIFS(df_extratos!I:I,df_extratos!F:F,Conciliacao!BF272,df_extratos!G:G,"CREDITO")+SUMIFS(df_extratos!I:I,df_extratos!F:F,Conciliacao!BG272,df_extratos!G:G,"CREDITO")+SUMIFS(df_extratos!I:I,df_extratos!F:F,Conciliacao!BH272,df_extratos!G:G,"CREDITO")</f>
        <v/>
      </c>
      <c r="I272" s="9">
        <f>H272-SUM(B272:G272)</f>
        <v/>
      </c>
      <c r="J272" s="4">
        <f>SUMIFS(df_blueme_sem_parcelamento!E:E,df_blueme_sem_parcelamento!H:H,Conciliacao!A272)*(-1)</f>
        <v/>
      </c>
      <c r="K272" s="4">
        <f>SUMIFS(df_blueme_com_parcelamento!J:J,df_blueme_com_parcelamento!M:M,Conciliacao!A272)*(-1)</f>
        <v/>
      </c>
      <c r="L272" s="4">
        <f>SUMIFS(df_mutuos!N:N,df_mutuos!B:B,Conciliacao!A272)*(-1)</f>
        <v/>
      </c>
      <c r="M272" s="8">
        <f>SUMIFS(df_bloqueios_judiciais!G:G,df_bloqueios_judiciais!D:D,Conciliacao!A272,df_bloqueios_judiciais!G:G,"&lt;0")</f>
        <v/>
      </c>
      <c r="N272" s="10">
        <f>SUMIFS(df_extratos!I:I,df_extratos!F:F,Conciliacao!BE272,df_extratos!G:G,"DEBITO")+SUMIFS(df_extratos!I:I,df_extratos!F:F,Conciliacao!A272,df_extratos!G:G,"DEBITO")+SUMIFS(df_extratos!I:I,df_extratos!F:F,Conciliacao!BF272,df_extratos!G:G,"DEBITO")+SUMIFS(df_extratos!I:I,df_extratos!F:F,Conciliacao!BG272,df_extratos!G:G,"DEBITO")+SUMIFS(df_extratos!I:I,df_extratos!F:F,Conciliacao!BH272,df_extratos!G:G,"DEBITO")</f>
        <v/>
      </c>
      <c r="O272" s="11">
        <f>N272-SUM(J272:M272)</f>
        <v/>
      </c>
      <c r="P272" s="25">
        <f>SUMIFS(df_ajustes_conciliaco!D:D,df_ajustes_conciliaco!C:C,Conciliacao!A272)</f>
        <v/>
      </c>
      <c r="Q272" s="22">
        <f>O272+I272-P272</f>
        <v/>
      </c>
      <c r="BE272" s="20" t="n">
        <v>45928.5</v>
      </c>
      <c r="BF272" s="20" t="n">
        <v>45928.125</v>
      </c>
      <c r="BG272" s="20" t="n">
        <v>45928.54166666666</v>
      </c>
      <c r="BH272" s="20" t="n">
        <v>45928.625</v>
      </c>
    </row>
    <row r="273">
      <c r="A273" s="5">
        <f>A272+1</f>
        <v/>
      </c>
      <c r="B273" s="3">
        <f>-SUMIFS(df_extrato_zig!G:G,df_extrato_zig!E:E,Conciliacao!A273,df_extrato_zig!D:D,"Saque")-SUMIFS(df_extrato_zig!G:G,df_extrato_zig!E:E,Conciliacao!A273,df_extrato_zig!D:D,"Antecipação")</f>
        <v/>
      </c>
      <c r="C273" s="3">
        <f>SUMIFS(df_extrato_zig!E:E,df_extrato_zig!L:L,Conciliacao!A273,df_extrato_zig!F:F,"DINHEIRO")</f>
        <v/>
      </c>
      <c r="D273" s="3">
        <f>SUMIFS(view_parc_agrup!H:H,view_parc_agrup!G:G,Conciliacao!A273)</f>
        <v/>
      </c>
      <c r="E273" s="3">
        <f>SUMIFS(df_eventos!F:F,df_eventos!H:H,Conciliacao!A273)</f>
        <v/>
      </c>
      <c r="F273" s="3">
        <f>SUMIFS(df_mutuos!M:M,df_mutuos!B:B,Conciliacao!A273)</f>
        <v/>
      </c>
      <c r="G273" s="6">
        <f>SUMIFS(df_bloqueios_judiciais!G:G,df_bloqueios_judiciais!D:D,Conciliacao!A273,df_bloqueios_judiciais!G:G,"&gt;0")</f>
        <v/>
      </c>
      <c r="H273" s="7">
        <f>SUMIFS(df_extratos!I:I,df_extratos!F:F,Conciliacao!BE273,df_extratos!G:G,"CREDITO")+SUMIFS(df_extratos!I:I,df_extratos!F:F,Conciliacao!A273,df_extratos!G:G,"CREDITO")+SUMIFS(df_extratos!I:I,df_extratos!F:F,Conciliacao!BF273,df_extratos!G:G,"CREDITO")+SUMIFS(df_extratos!I:I,df_extratos!F:F,Conciliacao!BG273,df_extratos!G:G,"CREDITO")+SUMIFS(df_extratos!I:I,df_extratos!F:F,Conciliacao!BH273,df_extratos!G:G,"CREDITO")</f>
        <v/>
      </c>
      <c r="I273" s="9">
        <f>H273-SUM(B273:G273)</f>
        <v/>
      </c>
      <c r="J273" s="4">
        <f>SUMIFS(df_blueme_sem_parcelamento!E:E,df_blueme_sem_parcelamento!H:H,Conciliacao!A273)*(-1)</f>
        <v/>
      </c>
      <c r="K273" s="4">
        <f>SUMIFS(df_blueme_com_parcelamento!J:J,df_blueme_com_parcelamento!M:M,Conciliacao!A273)*(-1)</f>
        <v/>
      </c>
      <c r="L273" s="4">
        <f>SUMIFS(df_mutuos!N:N,df_mutuos!B:B,Conciliacao!A273)*(-1)</f>
        <v/>
      </c>
      <c r="M273" s="8">
        <f>SUMIFS(df_bloqueios_judiciais!G:G,df_bloqueios_judiciais!D:D,Conciliacao!A273,df_bloqueios_judiciais!G:G,"&lt;0")</f>
        <v/>
      </c>
      <c r="N273" s="10">
        <f>SUMIFS(df_extratos!I:I,df_extratos!F:F,Conciliacao!BE273,df_extratos!G:G,"DEBITO")+SUMIFS(df_extratos!I:I,df_extratos!F:F,Conciliacao!A273,df_extratos!G:G,"DEBITO")+SUMIFS(df_extratos!I:I,df_extratos!F:F,Conciliacao!BF273,df_extratos!G:G,"DEBITO")+SUMIFS(df_extratos!I:I,df_extratos!F:F,Conciliacao!BG273,df_extratos!G:G,"DEBITO")+SUMIFS(df_extratos!I:I,df_extratos!F:F,Conciliacao!BH273,df_extratos!G:G,"DEBITO")</f>
        <v/>
      </c>
      <c r="O273" s="11">
        <f>N273-SUM(J273:M273)</f>
        <v/>
      </c>
      <c r="P273" s="25">
        <f>SUMIFS(df_ajustes_conciliaco!D:D,df_ajustes_conciliaco!C:C,Conciliacao!A273)</f>
        <v/>
      </c>
      <c r="Q273" s="22">
        <f>O273+I273-P273</f>
        <v/>
      </c>
      <c r="BE273" s="20" t="n">
        <v>45929.5</v>
      </c>
      <c r="BF273" s="20" t="n">
        <v>45929.125</v>
      </c>
      <c r="BG273" s="20" t="n">
        <v>45929.54166666666</v>
      </c>
      <c r="BH273" s="20" t="n">
        <v>45929.625</v>
      </c>
    </row>
    <row r="274">
      <c r="A274" s="5">
        <f>A273+1</f>
        <v/>
      </c>
      <c r="B274" s="3">
        <f>-SUMIFS(df_extrato_zig!G:G,df_extrato_zig!E:E,Conciliacao!A274,df_extrato_zig!D:D,"Saque")-SUMIFS(df_extrato_zig!G:G,df_extrato_zig!E:E,Conciliacao!A274,df_extrato_zig!D:D,"Antecipação")</f>
        <v/>
      </c>
      <c r="C274" s="3">
        <f>SUMIFS(df_extrato_zig!E:E,df_extrato_zig!L:L,Conciliacao!A274,df_extrato_zig!F:F,"DINHEIRO")</f>
        <v/>
      </c>
      <c r="D274" s="3">
        <f>SUMIFS(view_parc_agrup!H:H,view_parc_agrup!G:G,Conciliacao!A274)</f>
        <v/>
      </c>
      <c r="E274" s="3">
        <f>SUMIFS(df_eventos!F:F,df_eventos!H:H,Conciliacao!A274)</f>
        <v/>
      </c>
      <c r="F274" s="3">
        <f>SUMIFS(df_mutuos!M:M,df_mutuos!B:B,Conciliacao!A274)</f>
        <v/>
      </c>
      <c r="G274" s="6">
        <f>SUMIFS(df_bloqueios_judiciais!G:G,df_bloqueios_judiciais!D:D,Conciliacao!A274,df_bloqueios_judiciais!G:G,"&gt;0")</f>
        <v/>
      </c>
      <c r="H274" s="7">
        <f>SUMIFS(df_extratos!I:I,df_extratos!F:F,Conciliacao!BE274,df_extratos!G:G,"CREDITO")+SUMIFS(df_extratos!I:I,df_extratos!F:F,Conciliacao!A274,df_extratos!G:G,"CREDITO")+SUMIFS(df_extratos!I:I,df_extratos!F:F,Conciliacao!BF274,df_extratos!G:G,"CREDITO")+SUMIFS(df_extratos!I:I,df_extratos!F:F,Conciliacao!BG274,df_extratos!G:G,"CREDITO")+SUMIFS(df_extratos!I:I,df_extratos!F:F,Conciliacao!BH274,df_extratos!G:G,"CREDITO")</f>
        <v/>
      </c>
      <c r="I274" s="9">
        <f>H274-SUM(B274:G274)</f>
        <v/>
      </c>
      <c r="J274" s="4">
        <f>SUMIFS(df_blueme_sem_parcelamento!E:E,df_blueme_sem_parcelamento!H:H,Conciliacao!A274)*(-1)</f>
        <v/>
      </c>
      <c r="K274" s="4">
        <f>SUMIFS(df_blueme_com_parcelamento!J:J,df_blueme_com_parcelamento!M:M,Conciliacao!A274)*(-1)</f>
        <v/>
      </c>
      <c r="L274" s="4">
        <f>SUMIFS(df_mutuos!N:N,df_mutuos!B:B,Conciliacao!A274)*(-1)</f>
        <v/>
      </c>
      <c r="M274" s="8">
        <f>SUMIFS(df_bloqueios_judiciais!G:G,df_bloqueios_judiciais!D:D,Conciliacao!A274,df_bloqueios_judiciais!G:G,"&lt;0")</f>
        <v/>
      </c>
      <c r="N274" s="10">
        <f>SUMIFS(df_extratos!I:I,df_extratos!F:F,Conciliacao!BE274,df_extratos!G:G,"DEBITO")+SUMIFS(df_extratos!I:I,df_extratos!F:F,Conciliacao!A274,df_extratos!G:G,"DEBITO")+SUMIFS(df_extratos!I:I,df_extratos!F:F,Conciliacao!BF274,df_extratos!G:G,"DEBITO")+SUMIFS(df_extratos!I:I,df_extratos!F:F,Conciliacao!BG274,df_extratos!G:G,"DEBITO")+SUMIFS(df_extratos!I:I,df_extratos!F:F,Conciliacao!BH274,df_extratos!G:G,"DEBITO")</f>
        <v/>
      </c>
      <c r="O274" s="11">
        <f>N274-SUM(J274:M274)</f>
        <v/>
      </c>
      <c r="P274" s="25">
        <f>SUMIFS(df_ajustes_conciliaco!D:D,df_ajustes_conciliaco!C:C,Conciliacao!A274)</f>
        <v/>
      </c>
      <c r="Q274" s="22">
        <f>O274+I274-P274</f>
        <v/>
      </c>
      <c r="BE274" s="20" t="n">
        <v>45930.5</v>
      </c>
      <c r="BF274" s="20" t="n">
        <v>45930.125</v>
      </c>
      <c r="BG274" s="20" t="n">
        <v>45930.54166666666</v>
      </c>
      <c r="BH274" s="20" t="n">
        <v>45930.625</v>
      </c>
    </row>
    <row r="275">
      <c r="A275" s="5">
        <f>A274+1</f>
        <v/>
      </c>
      <c r="B275" s="3">
        <f>-SUMIFS(df_extrato_zig!G:G,df_extrato_zig!E:E,Conciliacao!A275,df_extrato_zig!D:D,"Saque")-SUMIFS(df_extrato_zig!G:G,df_extrato_zig!E:E,Conciliacao!A275,df_extrato_zig!D:D,"Antecipação")</f>
        <v/>
      </c>
      <c r="C275" s="3">
        <f>SUMIFS(df_extrato_zig!E:E,df_extrato_zig!L:L,Conciliacao!A275,df_extrato_zig!F:F,"DINHEIRO")</f>
        <v/>
      </c>
      <c r="D275" s="3">
        <f>SUMIFS(view_parc_agrup!H:H,view_parc_agrup!G:G,Conciliacao!A275)</f>
        <v/>
      </c>
      <c r="E275" s="3">
        <f>SUMIFS(df_eventos!F:F,df_eventos!H:H,Conciliacao!A275)</f>
        <v/>
      </c>
      <c r="F275" s="3">
        <f>SUMIFS(df_mutuos!M:M,df_mutuos!B:B,Conciliacao!A275)</f>
        <v/>
      </c>
      <c r="G275" s="6">
        <f>SUMIFS(df_bloqueios_judiciais!G:G,df_bloqueios_judiciais!D:D,Conciliacao!A275,df_bloqueios_judiciais!G:G,"&gt;0")</f>
        <v/>
      </c>
      <c r="H275" s="7">
        <f>SUMIFS(df_extratos!I:I,df_extratos!F:F,Conciliacao!BE275,df_extratos!G:G,"CREDITO")+SUMIFS(df_extratos!I:I,df_extratos!F:F,Conciliacao!A275,df_extratos!G:G,"CREDITO")+SUMIFS(df_extratos!I:I,df_extratos!F:F,Conciliacao!BF275,df_extratos!G:G,"CREDITO")+SUMIFS(df_extratos!I:I,df_extratos!F:F,Conciliacao!BG275,df_extratos!G:G,"CREDITO")+SUMIFS(df_extratos!I:I,df_extratos!F:F,Conciliacao!BH275,df_extratos!G:G,"CREDITO")</f>
        <v/>
      </c>
      <c r="I275" s="9">
        <f>H275-SUM(B275:G275)</f>
        <v/>
      </c>
      <c r="J275" s="4">
        <f>SUMIFS(df_blueme_sem_parcelamento!E:E,df_blueme_sem_parcelamento!H:H,Conciliacao!A275)*(-1)</f>
        <v/>
      </c>
      <c r="K275" s="4">
        <f>SUMIFS(df_blueme_com_parcelamento!J:J,df_blueme_com_parcelamento!M:M,Conciliacao!A275)*(-1)</f>
        <v/>
      </c>
      <c r="L275" s="4">
        <f>SUMIFS(df_mutuos!N:N,df_mutuos!B:B,Conciliacao!A275)*(-1)</f>
        <v/>
      </c>
      <c r="M275" s="8">
        <f>SUMIFS(df_bloqueios_judiciais!G:G,df_bloqueios_judiciais!D:D,Conciliacao!A275,df_bloqueios_judiciais!G:G,"&lt;0")</f>
        <v/>
      </c>
      <c r="N275" s="10">
        <f>SUMIFS(df_extratos!I:I,df_extratos!F:F,Conciliacao!BE275,df_extratos!G:G,"DEBITO")+SUMIFS(df_extratos!I:I,df_extratos!F:F,Conciliacao!A275,df_extratos!G:G,"DEBITO")+SUMIFS(df_extratos!I:I,df_extratos!F:F,Conciliacao!BF275,df_extratos!G:G,"DEBITO")+SUMIFS(df_extratos!I:I,df_extratos!F:F,Conciliacao!BG275,df_extratos!G:G,"DEBITO")+SUMIFS(df_extratos!I:I,df_extratos!F:F,Conciliacao!BH275,df_extratos!G:G,"DEBITO")</f>
        <v/>
      </c>
      <c r="O275" s="11">
        <f>N275-SUM(J275:M275)</f>
        <v/>
      </c>
      <c r="P275" s="25">
        <f>SUMIFS(df_ajustes_conciliaco!D:D,df_ajustes_conciliaco!C:C,Conciliacao!A275)</f>
        <v/>
      </c>
      <c r="Q275" s="22">
        <f>O275+I275-P275</f>
        <v/>
      </c>
      <c r="BE275" s="20" t="n">
        <v>45931.5</v>
      </c>
      <c r="BF275" s="20" t="n">
        <v>45931.125</v>
      </c>
      <c r="BG275" s="20" t="n">
        <v>45931.54166666666</v>
      </c>
      <c r="BH275" s="20" t="n">
        <v>45931.625</v>
      </c>
    </row>
    <row r="276">
      <c r="A276" s="5">
        <f>A275+1</f>
        <v/>
      </c>
      <c r="B276" s="3">
        <f>-SUMIFS(df_extrato_zig!G:G,df_extrato_zig!E:E,Conciliacao!A276,df_extrato_zig!D:D,"Saque")-SUMIFS(df_extrato_zig!G:G,df_extrato_zig!E:E,Conciliacao!A276,df_extrato_zig!D:D,"Antecipação")</f>
        <v/>
      </c>
      <c r="C276" s="3">
        <f>SUMIFS(df_extrato_zig!E:E,df_extrato_zig!L:L,Conciliacao!A276,df_extrato_zig!F:F,"DINHEIRO")</f>
        <v/>
      </c>
      <c r="D276" s="3">
        <f>SUMIFS(view_parc_agrup!H:H,view_parc_agrup!G:G,Conciliacao!A276)</f>
        <v/>
      </c>
      <c r="E276" s="3">
        <f>SUMIFS(df_eventos!F:F,df_eventos!H:H,Conciliacao!A276)</f>
        <v/>
      </c>
      <c r="F276" s="3">
        <f>SUMIFS(df_mutuos!M:M,df_mutuos!B:B,Conciliacao!A276)</f>
        <v/>
      </c>
      <c r="G276" s="6">
        <f>SUMIFS(df_bloqueios_judiciais!G:G,df_bloqueios_judiciais!D:D,Conciliacao!A276,df_bloqueios_judiciais!G:G,"&gt;0")</f>
        <v/>
      </c>
      <c r="H276" s="7">
        <f>SUMIFS(df_extratos!I:I,df_extratos!F:F,Conciliacao!BE276,df_extratos!G:G,"CREDITO")+SUMIFS(df_extratos!I:I,df_extratos!F:F,Conciliacao!A276,df_extratos!G:G,"CREDITO")+SUMIFS(df_extratos!I:I,df_extratos!F:F,Conciliacao!BF276,df_extratos!G:G,"CREDITO")+SUMIFS(df_extratos!I:I,df_extratos!F:F,Conciliacao!BG276,df_extratos!G:G,"CREDITO")+SUMIFS(df_extratos!I:I,df_extratos!F:F,Conciliacao!BH276,df_extratos!G:G,"CREDITO")</f>
        <v/>
      </c>
      <c r="I276" s="9">
        <f>H276-SUM(B276:G276)</f>
        <v/>
      </c>
      <c r="J276" s="4">
        <f>SUMIFS(df_blueme_sem_parcelamento!E:E,df_blueme_sem_parcelamento!H:H,Conciliacao!A276)*(-1)</f>
        <v/>
      </c>
      <c r="K276" s="4">
        <f>SUMIFS(df_blueme_com_parcelamento!J:J,df_blueme_com_parcelamento!M:M,Conciliacao!A276)*(-1)</f>
        <v/>
      </c>
      <c r="L276" s="4">
        <f>SUMIFS(df_mutuos!N:N,df_mutuos!B:B,Conciliacao!A276)*(-1)</f>
        <v/>
      </c>
      <c r="M276" s="8">
        <f>SUMIFS(df_bloqueios_judiciais!G:G,df_bloqueios_judiciais!D:D,Conciliacao!A276,df_bloqueios_judiciais!G:G,"&lt;0")</f>
        <v/>
      </c>
      <c r="N276" s="10">
        <f>SUMIFS(df_extratos!I:I,df_extratos!F:F,Conciliacao!BE276,df_extratos!G:G,"DEBITO")+SUMIFS(df_extratos!I:I,df_extratos!F:F,Conciliacao!A276,df_extratos!G:G,"DEBITO")+SUMIFS(df_extratos!I:I,df_extratos!F:F,Conciliacao!BF276,df_extratos!G:G,"DEBITO")+SUMIFS(df_extratos!I:I,df_extratos!F:F,Conciliacao!BG276,df_extratos!G:G,"DEBITO")+SUMIFS(df_extratos!I:I,df_extratos!F:F,Conciliacao!BH276,df_extratos!G:G,"DEBITO")</f>
        <v/>
      </c>
      <c r="O276" s="11">
        <f>N276-SUM(J276:M276)</f>
        <v/>
      </c>
      <c r="P276" s="25">
        <f>SUMIFS(df_ajustes_conciliaco!D:D,df_ajustes_conciliaco!C:C,Conciliacao!A276)</f>
        <v/>
      </c>
      <c r="Q276" s="22">
        <f>O276+I276-P276</f>
        <v/>
      </c>
      <c r="BE276" s="20" t="n">
        <v>45932.5</v>
      </c>
      <c r="BF276" s="20" t="n">
        <v>45932.125</v>
      </c>
      <c r="BG276" s="20" t="n">
        <v>45932.54166666666</v>
      </c>
      <c r="BH276" s="20" t="n">
        <v>45932.625</v>
      </c>
    </row>
    <row r="277">
      <c r="A277" s="5">
        <f>A276+1</f>
        <v/>
      </c>
      <c r="B277" s="3">
        <f>-SUMIFS(df_extrato_zig!G:G,df_extrato_zig!E:E,Conciliacao!A277,df_extrato_zig!D:D,"Saque")-SUMIFS(df_extrato_zig!G:G,df_extrato_zig!E:E,Conciliacao!A277,df_extrato_zig!D:D,"Antecipação")</f>
        <v/>
      </c>
      <c r="C277" s="3">
        <f>SUMIFS(df_extrato_zig!E:E,df_extrato_zig!L:L,Conciliacao!A277,df_extrato_zig!F:F,"DINHEIRO")</f>
        <v/>
      </c>
      <c r="D277" s="3">
        <f>SUMIFS(view_parc_agrup!H:H,view_parc_agrup!G:G,Conciliacao!A277)</f>
        <v/>
      </c>
      <c r="E277" s="3">
        <f>SUMIFS(df_eventos!F:F,df_eventos!H:H,Conciliacao!A277)</f>
        <v/>
      </c>
      <c r="F277" s="3">
        <f>SUMIFS(df_mutuos!M:M,df_mutuos!B:B,Conciliacao!A277)</f>
        <v/>
      </c>
      <c r="G277" s="6">
        <f>SUMIFS(df_bloqueios_judiciais!G:G,df_bloqueios_judiciais!D:D,Conciliacao!A277,df_bloqueios_judiciais!G:G,"&gt;0")</f>
        <v/>
      </c>
      <c r="H277" s="7">
        <f>SUMIFS(df_extratos!I:I,df_extratos!F:F,Conciliacao!BE277,df_extratos!G:G,"CREDITO")+SUMIFS(df_extratos!I:I,df_extratos!F:F,Conciliacao!A277,df_extratos!G:G,"CREDITO")+SUMIFS(df_extratos!I:I,df_extratos!F:F,Conciliacao!BF277,df_extratos!G:G,"CREDITO")+SUMIFS(df_extratos!I:I,df_extratos!F:F,Conciliacao!BG277,df_extratos!G:G,"CREDITO")+SUMIFS(df_extratos!I:I,df_extratos!F:F,Conciliacao!BH277,df_extratos!G:G,"CREDITO")</f>
        <v/>
      </c>
      <c r="I277" s="9">
        <f>H277-SUM(B277:G277)</f>
        <v/>
      </c>
      <c r="J277" s="4">
        <f>SUMIFS(df_blueme_sem_parcelamento!E:E,df_blueme_sem_parcelamento!H:H,Conciliacao!A277)*(-1)</f>
        <v/>
      </c>
      <c r="K277" s="4">
        <f>SUMIFS(df_blueme_com_parcelamento!J:J,df_blueme_com_parcelamento!M:M,Conciliacao!A277)*(-1)</f>
        <v/>
      </c>
      <c r="L277" s="4">
        <f>SUMIFS(df_mutuos!N:N,df_mutuos!B:B,Conciliacao!A277)*(-1)</f>
        <v/>
      </c>
      <c r="M277" s="8">
        <f>SUMIFS(df_bloqueios_judiciais!G:G,df_bloqueios_judiciais!D:D,Conciliacao!A277,df_bloqueios_judiciais!G:G,"&lt;0")</f>
        <v/>
      </c>
      <c r="N277" s="10">
        <f>SUMIFS(df_extratos!I:I,df_extratos!F:F,Conciliacao!BE277,df_extratos!G:G,"DEBITO")+SUMIFS(df_extratos!I:I,df_extratos!F:F,Conciliacao!A277,df_extratos!G:G,"DEBITO")+SUMIFS(df_extratos!I:I,df_extratos!F:F,Conciliacao!BF277,df_extratos!G:G,"DEBITO")+SUMIFS(df_extratos!I:I,df_extratos!F:F,Conciliacao!BG277,df_extratos!G:G,"DEBITO")+SUMIFS(df_extratos!I:I,df_extratos!F:F,Conciliacao!BH277,df_extratos!G:G,"DEBITO")</f>
        <v/>
      </c>
      <c r="O277" s="11">
        <f>N277-SUM(J277:M277)</f>
        <v/>
      </c>
      <c r="P277" s="25">
        <f>SUMIFS(df_ajustes_conciliaco!D:D,df_ajustes_conciliaco!C:C,Conciliacao!A277)</f>
        <v/>
      </c>
      <c r="Q277" s="22">
        <f>O277+I277-P277</f>
        <v/>
      </c>
      <c r="BE277" s="20" t="n">
        <v>45933.5</v>
      </c>
      <c r="BF277" s="20" t="n">
        <v>45933.125</v>
      </c>
      <c r="BG277" s="20" t="n">
        <v>45933.54166666666</v>
      </c>
      <c r="BH277" s="20" t="n">
        <v>45933.625</v>
      </c>
    </row>
    <row r="278">
      <c r="A278" s="5">
        <f>A277+1</f>
        <v/>
      </c>
      <c r="B278" s="3">
        <f>-SUMIFS(df_extrato_zig!G:G,df_extrato_zig!E:E,Conciliacao!A278,df_extrato_zig!D:D,"Saque")-SUMIFS(df_extrato_zig!G:G,df_extrato_zig!E:E,Conciliacao!A278,df_extrato_zig!D:D,"Antecipação")</f>
        <v/>
      </c>
      <c r="C278" s="3">
        <f>SUMIFS(df_extrato_zig!E:E,df_extrato_zig!L:L,Conciliacao!A278,df_extrato_zig!F:F,"DINHEIRO")</f>
        <v/>
      </c>
      <c r="D278" s="3">
        <f>SUMIFS(view_parc_agrup!H:H,view_parc_agrup!G:G,Conciliacao!A278)</f>
        <v/>
      </c>
      <c r="E278" s="3">
        <f>SUMIFS(df_eventos!F:F,df_eventos!H:H,Conciliacao!A278)</f>
        <v/>
      </c>
      <c r="F278" s="3">
        <f>SUMIFS(df_mutuos!M:M,df_mutuos!B:B,Conciliacao!A278)</f>
        <v/>
      </c>
      <c r="G278" s="6">
        <f>SUMIFS(df_bloqueios_judiciais!G:G,df_bloqueios_judiciais!D:D,Conciliacao!A278,df_bloqueios_judiciais!G:G,"&gt;0")</f>
        <v/>
      </c>
      <c r="H278" s="7">
        <f>SUMIFS(df_extratos!I:I,df_extratos!F:F,Conciliacao!BE278,df_extratos!G:G,"CREDITO")+SUMIFS(df_extratos!I:I,df_extratos!F:F,Conciliacao!A278,df_extratos!G:G,"CREDITO")+SUMIFS(df_extratos!I:I,df_extratos!F:F,Conciliacao!BF278,df_extratos!G:G,"CREDITO")+SUMIFS(df_extratos!I:I,df_extratos!F:F,Conciliacao!BG278,df_extratos!G:G,"CREDITO")+SUMIFS(df_extratos!I:I,df_extratos!F:F,Conciliacao!BH278,df_extratos!G:G,"CREDITO")</f>
        <v/>
      </c>
      <c r="I278" s="9">
        <f>H278-SUM(B278:G278)</f>
        <v/>
      </c>
      <c r="J278" s="4">
        <f>SUMIFS(df_blueme_sem_parcelamento!E:E,df_blueme_sem_parcelamento!H:H,Conciliacao!A278)*(-1)</f>
        <v/>
      </c>
      <c r="K278" s="4">
        <f>SUMIFS(df_blueme_com_parcelamento!J:J,df_blueme_com_parcelamento!M:M,Conciliacao!A278)*(-1)</f>
        <v/>
      </c>
      <c r="L278" s="4">
        <f>SUMIFS(df_mutuos!N:N,df_mutuos!B:B,Conciliacao!A278)*(-1)</f>
        <v/>
      </c>
      <c r="M278" s="8">
        <f>SUMIFS(df_bloqueios_judiciais!G:G,df_bloqueios_judiciais!D:D,Conciliacao!A278,df_bloqueios_judiciais!G:G,"&lt;0")</f>
        <v/>
      </c>
      <c r="N278" s="10">
        <f>SUMIFS(df_extratos!I:I,df_extratos!F:F,Conciliacao!BE278,df_extratos!G:G,"DEBITO")+SUMIFS(df_extratos!I:I,df_extratos!F:F,Conciliacao!A278,df_extratos!G:G,"DEBITO")+SUMIFS(df_extratos!I:I,df_extratos!F:F,Conciliacao!BF278,df_extratos!G:G,"DEBITO")+SUMIFS(df_extratos!I:I,df_extratos!F:F,Conciliacao!BG278,df_extratos!G:G,"DEBITO")+SUMIFS(df_extratos!I:I,df_extratos!F:F,Conciliacao!BH278,df_extratos!G:G,"DEBITO")</f>
        <v/>
      </c>
      <c r="O278" s="11">
        <f>N278-SUM(J278:M278)</f>
        <v/>
      </c>
      <c r="P278" s="25">
        <f>SUMIFS(df_ajustes_conciliaco!D:D,df_ajustes_conciliaco!C:C,Conciliacao!A278)</f>
        <v/>
      </c>
      <c r="Q278" s="22">
        <f>O278+I278-P278</f>
        <v/>
      </c>
      <c r="BE278" s="20" t="n">
        <v>45934.5</v>
      </c>
      <c r="BF278" s="20" t="n">
        <v>45934.125</v>
      </c>
      <c r="BG278" s="20" t="n">
        <v>45934.54166666666</v>
      </c>
      <c r="BH278" s="20" t="n">
        <v>45934.625</v>
      </c>
    </row>
    <row r="279">
      <c r="A279" s="5">
        <f>A278+1</f>
        <v/>
      </c>
      <c r="B279" s="3">
        <f>-SUMIFS(df_extrato_zig!G:G,df_extrato_zig!E:E,Conciliacao!A279,df_extrato_zig!D:D,"Saque")-SUMIFS(df_extrato_zig!G:G,df_extrato_zig!E:E,Conciliacao!A279,df_extrato_zig!D:D,"Antecipação")</f>
        <v/>
      </c>
      <c r="C279" s="3">
        <f>SUMIFS(df_extrato_zig!E:E,df_extrato_zig!L:L,Conciliacao!A279,df_extrato_zig!F:F,"DINHEIRO")</f>
        <v/>
      </c>
      <c r="D279" s="3">
        <f>SUMIFS(view_parc_agrup!H:H,view_parc_agrup!G:G,Conciliacao!A279)</f>
        <v/>
      </c>
      <c r="E279" s="3">
        <f>SUMIFS(df_eventos!F:F,df_eventos!H:H,Conciliacao!A279)</f>
        <v/>
      </c>
      <c r="F279" s="3">
        <f>SUMIFS(df_mutuos!M:M,df_mutuos!B:B,Conciliacao!A279)</f>
        <v/>
      </c>
      <c r="G279" s="6">
        <f>SUMIFS(df_bloqueios_judiciais!G:G,df_bloqueios_judiciais!D:D,Conciliacao!A279,df_bloqueios_judiciais!G:G,"&gt;0")</f>
        <v/>
      </c>
      <c r="H279" s="7">
        <f>SUMIFS(df_extratos!I:I,df_extratos!F:F,Conciliacao!BE279,df_extratos!G:G,"CREDITO")+SUMIFS(df_extratos!I:I,df_extratos!F:F,Conciliacao!A279,df_extratos!G:G,"CREDITO")+SUMIFS(df_extratos!I:I,df_extratos!F:F,Conciliacao!BF279,df_extratos!G:G,"CREDITO")+SUMIFS(df_extratos!I:I,df_extratos!F:F,Conciliacao!BG279,df_extratos!G:G,"CREDITO")+SUMIFS(df_extratos!I:I,df_extratos!F:F,Conciliacao!BH279,df_extratos!G:G,"CREDITO")</f>
        <v/>
      </c>
      <c r="I279" s="9">
        <f>H279-SUM(B279:G279)</f>
        <v/>
      </c>
      <c r="J279" s="4">
        <f>SUMIFS(df_blueme_sem_parcelamento!E:E,df_blueme_sem_parcelamento!H:H,Conciliacao!A279)*(-1)</f>
        <v/>
      </c>
      <c r="K279" s="4">
        <f>SUMIFS(df_blueme_com_parcelamento!J:J,df_blueme_com_parcelamento!M:M,Conciliacao!A279)*(-1)</f>
        <v/>
      </c>
      <c r="L279" s="4">
        <f>SUMIFS(df_mutuos!N:N,df_mutuos!B:B,Conciliacao!A279)*(-1)</f>
        <v/>
      </c>
      <c r="M279" s="8">
        <f>SUMIFS(df_bloqueios_judiciais!G:G,df_bloqueios_judiciais!D:D,Conciliacao!A279,df_bloqueios_judiciais!G:G,"&lt;0")</f>
        <v/>
      </c>
      <c r="N279" s="10">
        <f>SUMIFS(df_extratos!I:I,df_extratos!F:F,Conciliacao!BE279,df_extratos!G:G,"DEBITO")+SUMIFS(df_extratos!I:I,df_extratos!F:F,Conciliacao!A279,df_extratos!G:G,"DEBITO")+SUMIFS(df_extratos!I:I,df_extratos!F:F,Conciliacao!BF279,df_extratos!G:G,"DEBITO")+SUMIFS(df_extratos!I:I,df_extratos!F:F,Conciliacao!BG279,df_extratos!G:G,"DEBITO")+SUMIFS(df_extratos!I:I,df_extratos!F:F,Conciliacao!BH279,df_extratos!G:G,"DEBITO")</f>
        <v/>
      </c>
      <c r="O279" s="11">
        <f>N279-SUM(J279:M279)</f>
        <v/>
      </c>
      <c r="P279" s="25">
        <f>SUMIFS(df_ajustes_conciliaco!D:D,df_ajustes_conciliaco!C:C,Conciliacao!A279)</f>
        <v/>
      </c>
      <c r="Q279" s="22">
        <f>O279+I279-P279</f>
        <v/>
      </c>
      <c r="BE279" s="20" t="n">
        <v>45935.5</v>
      </c>
      <c r="BF279" s="20" t="n">
        <v>45935.125</v>
      </c>
      <c r="BG279" s="20" t="n">
        <v>45935.54166666666</v>
      </c>
      <c r="BH279" s="20" t="n">
        <v>45935.625</v>
      </c>
    </row>
    <row r="280">
      <c r="A280" s="5">
        <f>A279+1</f>
        <v/>
      </c>
      <c r="B280" s="3">
        <f>-SUMIFS(df_extrato_zig!G:G,df_extrato_zig!E:E,Conciliacao!A280,df_extrato_zig!D:D,"Saque")-SUMIFS(df_extrato_zig!G:G,df_extrato_zig!E:E,Conciliacao!A280,df_extrato_zig!D:D,"Antecipação")</f>
        <v/>
      </c>
      <c r="C280" s="3">
        <f>SUMIFS(df_extrato_zig!E:E,df_extrato_zig!L:L,Conciliacao!A280,df_extrato_zig!F:F,"DINHEIRO")</f>
        <v/>
      </c>
      <c r="D280" s="3">
        <f>SUMIFS(view_parc_agrup!H:H,view_parc_agrup!G:G,Conciliacao!A280)</f>
        <v/>
      </c>
      <c r="E280" s="3">
        <f>SUMIFS(df_eventos!F:F,df_eventos!H:H,Conciliacao!A280)</f>
        <v/>
      </c>
      <c r="F280" s="3">
        <f>SUMIFS(df_mutuos!M:M,df_mutuos!B:B,Conciliacao!A280)</f>
        <v/>
      </c>
      <c r="G280" s="6">
        <f>SUMIFS(df_bloqueios_judiciais!G:G,df_bloqueios_judiciais!D:D,Conciliacao!A280,df_bloqueios_judiciais!G:G,"&gt;0")</f>
        <v/>
      </c>
      <c r="H280" s="7">
        <f>SUMIFS(df_extratos!I:I,df_extratos!F:F,Conciliacao!BE280,df_extratos!G:G,"CREDITO")+SUMIFS(df_extratos!I:I,df_extratos!F:F,Conciliacao!A280,df_extratos!G:G,"CREDITO")+SUMIFS(df_extratos!I:I,df_extratos!F:F,Conciliacao!BF280,df_extratos!G:G,"CREDITO")+SUMIFS(df_extratos!I:I,df_extratos!F:F,Conciliacao!BG280,df_extratos!G:G,"CREDITO")+SUMIFS(df_extratos!I:I,df_extratos!F:F,Conciliacao!BH280,df_extratos!G:G,"CREDITO")</f>
        <v/>
      </c>
      <c r="I280" s="9">
        <f>H280-SUM(B280:G280)</f>
        <v/>
      </c>
      <c r="J280" s="4">
        <f>SUMIFS(df_blueme_sem_parcelamento!E:E,df_blueme_sem_parcelamento!H:H,Conciliacao!A280)*(-1)</f>
        <v/>
      </c>
      <c r="K280" s="4">
        <f>SUMIFS(df_blueme_com_parcelamento!J:J,df_blueme_com_parcelamento!M:M,Conciliacao!A280)*(-1)</f>
        <v/>
      </c>
      <c r="L280" s="4">
        <f>SUMIFS(df_mutuos!N:N,df_mutuos!B:B,Conciliacao!A280)*(-1)</f>
        <v/>
      </c>
      <c r="M280" s="8">
        <f>SUMIFS(df_bloqueios_judiciais!G:G,df_bloqueios_judiciais!D:D,Conciliacao!A280,df_bloqueios_judiciais!G:G,"&lt;0")</f>
        <v/>
      </c>
      <c r="N280" s="10">
        <f>SUMIFS(df_extratos!I:I,df_extratos!F:F,Conciliacao!BE280,df_extratos!G:G,"DEBITO")+SUMIFS(df_extratos!I:I,df_extratos!F:F,Conciliacao!A280,df_extratos!G:G,"DEBITO")+SUMIFS(df_extratos!I:I,df_extratos!F:F,Conciliacao!BF280,df_extratos!G:G,"DEBITO")+SUMIFS(df_extratos!I:I,df_extratos!F:F,Conciliacao!BG280,df_extratos!G:G,"DEBITO")+SUMIFS(df_extratos!I:I,df_extratos!F:F,Conciliacao!BH280,df_extratos!G:G,"DEBITO")</f>
        <v/>
      </c>
      <c r="O280" s="11">
        <f>N280-SUM(J280:M280)</f>
        <v/>
      </c>
      <c r="P280" s="25">
        <f>SUMIFS(df_ajustes_conciliaco!D:D,df_ajustes_conciliaco!C:C,Conciliacao!A280)</f>
        <v/>
      </c>
      <c r="Q280" s="22">
        <f>O280+I280-P280</f>
        <v/>
      </c>
      <c r="BE280" s="20" t="n">
        <v>45936.5</v>
      </c>
      <c r="BF280" s="20" t="n">
        <v>45936.125</v>
      </c>
      <c r="BG280" s="20" t="n">
        <v>45936.54166666666</v>
      </c>
      <c r="BH280" s="20" t="n">
        <v>45936.625</v>
      </c>
    </row>
    <row r="281">
      <c r="A281" s="5">
        <f>A280+1</f>
        <v/>
      </c>
      <c r="B281" s="3">
        <f>-SUMIFS(df_extrato_zig!G:G,df_extrato_zig!E:E,Conciliacao!A281,df_extrato_zig!D:D,"Saque")-SUMIFS(df_extrato_zig!G:G,df_extrato_zig!E:E,Conciliacao!A281,df_extrato_zig!D:D,"Antecipação")</f>
        <v/>
      </c>
      <c r="C281" s="3">
        <f>SUMIFS(df_extrato_zig!E:E,df_extrato_zig!L:L,Conciliacao!A281,df_extrato_zig!F:F,"DINHEIRO")</f>
        <v/>
      </c>
      <c r="D281" s="3">
        <f>SUMIFS(view_parc_agrup!H:H,view_parc_agrup!G:G,Conciliacao!A281)</f>
        <v/>
      </c>
      <c r="E281" s="3">
        <f>SUMIFS(df_eventos!F:F,df_eventos!H:H,Conciliacao!A281)</f>
        <v/>
      </c>
      <c r="F281" s="3">
        <f>SUMIFS(df_mutuos!M:M,df_mutuos!B:B,Conciliacao!A281)</f>
        <v/>
      </c>
      <c r="G281" s="6">
        <f>SUMIFS(df_bloqueios_judiciais!G:G,df_bloqueios_judiciais!D:D,Conciliacao!A281,df_bloqueios_judiciais!G:G,"&gt;0")</f>
        <v/>
      </c>
      <c r="H281" s="7">
        <f>SUMIFS(df_extratos!I:I,df_extratos!F:F,Conciliacao!BE281,df_extratos!G:G,"CREDITO")+SUMIFS(df_extratos!I:I,df_extratos!F:F,Conciliacao!A281,df_extratos!G:G,"CREDITO")+SUMIFS(df_extratos!I:I,df_extratos!F:F,Conciliacao!BF281,df_extratos!G:G,"CREDITO")+SUMIFS(df_extratos!I:I,df_extratos!F:F,Conciliacao!BG281,df_extratos!G:G,"CREDITO")+SUMIFS(df_extratos!I:I,df_extratos!F:F,Conciliacao!BH281,df_extratos!G:G,"CREDITO")</f>
        <v/>
      </c>
      <c r="I281" s="9">
        <f>H281-SUM(B281:G281)</f>
        <v/>
      </c>
      <c r="J281" s="4">
        <f>SUMIFS(df_blueme_sem_parcelamento!E:E,df_blueme_sem_parcelamento!H:H,Conciliacao!A281)*(-1)</f>
        <v/>
      </c>
      <c r="K281" s="4">
        <f>SUMIFS(df_blueme_com_parcelamento!J:J,df_blueme_com_parcelamento!M:M,Conciliacao!A281)*(-1)</f>
        <v/>
      </c>
      <c r="L281" s="4">
        <f>SUMIFS(df_mutuos!N:N,df_mutuos!B:B,Conciliacao!A281)*(-1)</f>
        <v/>
      </c>
      <c r="M281" s="8">
        <f>SUMIFS(df_bloqueios_judiciais!G:G,df_bloqueios_judiciais!D:D,Conciliacao!A281,df_bloqueios_judiciais!G:G,"&lt;0")</f>
        <v/>
      </c>
      <c r="N281" s="10">
        <f>SUMIFS(df_extratos!I:I,df_extratos!F:F,Conciliacao!BE281,df_extratos!G:G,"DEBITO")+SUMIFS(df_extratos!I:I,df_extratos!F:F,Conciliacao!A281,df_extratos!G:G,"DEBITO")+SUMIFS(df_extratos!I:I,df_extratos!F:F,Conciliacao!BF281,df_extratos!G:G,"DEBITO")+SUMIFS(df_extratos!I:I,df_extratos!F:F,Conciliacao!BG281,df_extratos!G:G,"DEBITO")+SUMIFS(df_extratos!I:I,df_extratos!F:F,Conciliacao!BH281,df_extratos!G:G,"DEBITO")</f>
        <v/>
      </c>
      <c r="O281" s="11">
        <f>N281-SUM(J281:M281)</f>
        <v/>
      </c>
      <c r="P281" s="25">
        <f>SUMIFS(df_ajustes_conciliaco!D:D,df_ajustes_conciliaco!C:C,Conciliacao!A281)</f>
        <v/>
      </c>
      <c r="Q281" s="22">
        <f>O281+I281-P281</f>
        <v/>
      </c>
      <c r="BE281" s="20" t="n">
        <v>45937.5</v>
      </c>
      <c r="BF281" s="20" t="n">
        <v>45937.125</v>
      </c>
      <c r="BG281" s="20" t="n">
        <v>45937.54166666666</v>
      </c>
      <c r="BH281" s="20" t="n">
        <v>45937.625</v>
      </c>
    </row>
    <row r="282">
      <c r="A282" s="5">
        <f>A281+1</f>
        <v/>
      </c>
      <c r="B282" s="3">
        <f>-SUMIFS(df_extrato_zig!G:G,df_extrato_zig!E:E,Conciliacao!A282,df_extrato_zig!D:D,"Saque")-SUMIFS(df_extrato_zig!G:G,df_extrato_zig!E:E,Conciliacao!A282,df_extrato_zig!D:D,"Antecipação")</f>
        <v/>
      </c>
      <c r="C282" s="3">
        <f>SUMIFS(df_extrato_zig!E:E,df_extrato_zig!L:L,Conciliacao!A282,df_extrato_zig!F:F,"DINHEIRO")</f>
        <v/>
      </c>
      <c r="D282" s="3">
        <f>SUMIFS(view_parc_agrup!H:H,view_parc_agrup!G:G,Conciliacao!A282)</f>
        <v/>
      </c>
      <c r="E282" s="3">
        <f>SUMIFS(df_eventos!F:F,df_eventos!H:H,Conciliacao!A282)</f>
        <v/>
      </c>
      <c r="F282" s="3">
        <f>SUMIFS(df_mutuos!M:M,df_mutuos!B:B,Conciliacao!A282)</f>
        <v/>
      </c>
      <c r="G282" s="6">
        <f>SUMIFS(df_bloqueios_judiciais!G:G,df_bloqueios_judiciais!D:D,Conciliacao!A282,df_bloqueios_judiciais!G:G,"&gt;0")</f>
        <v/>
      </c>
      <c r="H282" s="7">
        <f>SUMIFS(df_extratos!I:I,df_extratos!F:F,Conciliacao!BE282,df_extratos!G:G,"CREDITO")+SUMIFS(df_extratos!I:I,df_extratos!F:F,Conciliacao!A282,df_extratos!G:G,"CREDITO")+SUMIFS(df_extratos!I:I,df_extratos!F:F,Conciliacao!BF282,df_extratos!G:G,"CREDITO")+SUMIFS(df_extratos!I:I,df_extratos!F:F,Conciliacao!BG282,df_extratos!G:G,"CREDITO")+SUMIFS(df_extratos!I:I,df_extratos!F:F,Conciliacao!BH282,df_extratos!G:G,"CREDITO")</f>
        <v/>
      </c>
      <c r="I282" s="9">
        <f>H282-SUM(B282:G282)</f>
        <v/>
      </c>
      <c r="J282" s="4">
        <f>SUMIFS(df_blueme_sem_parcelamento!E:E,df_blueme_sem_parcelamento!H:H,Conciliacao!A282)*(-1)</f>
        <v/>
      </c>
      <c r="K282" s="4">
        <f>SUMIFS(df_blueme_com_parcelamento!J:J,df_blueme_com_parcelamento!M:M,Conciliacao!A282)*(-1)</f>
        <v/>
      </c>
      <c r="L282" s="4">
        <f>SUMIFS(df_mutuos!N:N,df_mutuos!B:B,Conciliacao!A282)*(-1)</f>
        <v/>
      </c>
      <c r="M282" s="8">
        <f>SUMIFS(df_bloqueios_judiciais!G:G,df_bloqueios_judiciais!D:D,Conciliacao!A282,df_bloqueios_judiciais!G:G,"&lt;0")</f>
        <v/>
      </c>
      <c r="N282" s="10">
        <f>SUMIFS(df_extratos!I:I,df_extratos!F:F,Conciliacao!BE282,df_extratos!G:G,"DEBITO")+SUMIFS(df_extratos!I:I,df_extratos!F:F,Conciliacao!A282,df_extratos!G:G,"DEBITO")+SUMIFS(df_extratos!I:I,df_extratos!F:F,Conciliacao!BF282,df_extratos!G:G,"DEBITO")+SUMIFS(df_extratos!I:I,df_extratos!F:F,Conciliacao!BG282,df_extratos!G:G,"DEBITO")+SUMIFS(df_extratos!I:I,df_extratos!F:F,Conciliacao!BH282,df_extratos!G:G,"DEBITO")</f>
        <v/>
      </c>
      <c r="O282" s="11">
        <f>N282-SUM(J282:M282)</f>
        <v/>
      </c>
      <c r="P282" s="25">
        <f>SUMIFS(df_ajustes_conciliaco!D:D,df_ajustes_conciliaco!C:C,Conciliacao!A282)</f>
        <v/>
      </c>
      <c r="Q282" s="22">
        <f>O282+I282-P282</f>
        <v/>
      </c>
      <c r="BE282" s="20" t="n">
        <v>45938.5</v>
      </c>
      <c r="BF282" s="20" t="n">
        <v>45938.125</v>
      </c>
      <c r="BG282" s="20" t="n">
        <v>45938.54166666666</v>
      </c>
      <c r="BH282" s="20" t="n">
        <v>45938.625</v>
      </c>
    </row>
    <row r="283">
      <c r="A283" s="5">
        <f>A282+1</f>
        <v/>
      </c>
      <c r="B283" s="3">
        <f>-SUMIFS(df_extrato_zig!G:G,df_extrato_zig!E:E,Conciliacao!A283,df_extrato_zig!D:D,"Saque")-SUMIFS(df_extrato_zig!G:G,df_extrato_zig!E:E,Conciliacao!A283,df_extrato_zig!D:D,"Antecipação")</f>
        <v/>
      </c>
      <c r="C283" s="3">
        <f>SUMIFS(df_extrato_zig!E:E,df_extrato_zig!L:L,Conciliacao!A283,df_extrato_zig!F:F,"DINHEIRO")</f>
        <v/>
      </c>
      <c r="D283" s="3">
        <f>SUMIFS(view_parc_agrup!H:H,view_parc_agrup!G:G,Conciliacao!A283)</f>
        <v/>
      </c>
      <c r="E283" s="3">
        <f>SUMIFS(df_eventos!F:F,df_eventos!H:H,Conciliacao!A283)</f>
        <v/>
      </c>
      <c r="F283" s="3">
        <f>SUMIFS(df_mutuos!M:M,df_mutuos!B:B,Conciliacao!A283)</f>
        <v/>
      </c>
      <c r="G283" s="6">
        <f>SUMIFS(df_bloqueios_judiciais!G:G,df_bloqueios_judiciais!D:D,Conciliacao!A283,df_bloqueios_judiciais!G:G,"&gt;0")</f>
        <v/>
      </c>
      <c r="H283" s="7">
        <f>SUMIFS(df_extratos!I:I,df_extratos!F:F,Conciliacao!BE283,df_extratos!G:G,"CREDITO")+SUMIFS(df_extratos!I:I,df_extratos!F:F,Conciliacao!A283,df_extratos!G:G,"CREDITO")+SUMIFS(df_extratos!I:I,df_extratos!F:F,Conciliacao!BF283,df_extratos!G:G,"CREDITO")+SUMIFS(df_extratos!I:I,df_extratos!F:F,Conciliacao!BG283,df_extratos!G:G,"CREDITO")+SUMIFS(df_extratos!I:I,df_extratos!F:F,Conciliacao!BH283,df_extratos!G:G,"CREDITO")</f>
        <v/>
      </c>
      <c r="I283" s="9">
        <f>H283-SUM(B283:G283)</f>
        <v/>
      </c>
      <c r="J283" s="4">
        <f>SUMIFS(df_blueme_sem_parcelamento!E:E,df_blueme_sem_parcelamento!H:H,Conciliacao!A283)*(-1)</f>
        <v/>
      </c>
      <c r="K283" s="4">
        <f>SUMIFS(df_blueme_com_parcelamento!J:J,df_blueme_com_parcelamento!M:M,Conciliacao!A283)*(-1)</f>
        <v/>
      </c>
      <c r="L283" s="4">
        <f>SUMIFS(df_mutuos!N:N,df_mutuos!B:B,Conciliacao!A283)*(-1)</f>
        <v/>
      </c>
      <c r="M283" s="8">
        <f>SUMIFS(df_bloqueios_judiciais!G:G,df_bloqueios_judiciais!D:D,Conciliacao!A283,df_bloqueios_judiciais!G:G,"&lt;0")</f>
        <v/>
      </c>
      <c r="N283" s="10">
        <f>SUMIFS(df_extratos!I:I,df_extratos!F:F,Conciliacao!BE283,df_extratos!G:G,"DEBITO")+SUMIFS(df_extratos!I:I,df_extratos!F:F,Conciliacao!A283,df_extratos!G:G,"DEBITO")+SUMIFS(df_extratos!I:I,df_extratos!F:F,Conciliacao!BF283,df_extratos!G:G,"DEBITO")+SUMIFS(df_extratos!I:I,df_extratos!F:F,Conciliacao!BG283,df_extratos!G:G,"DEBITO")+SUMIFS(df_extratos!I:I,df_extratos!F:F,Conciliacao!BH283,df_extratos!G:G,"DEBITO")</f>
        <v/>
      </c>
      <c r="O283" s="11">
        <f>N283-SUM(J283:M283)</f>
        <v/>
      </c>
      <c r="P283" s="25">
        <f>SUMIFS(df_ajustes_conciliaco!D:D,df_ajustes_conciliaco!C:C,Conciliacao!A283)</f>
        <v/>
      </c>
      <c r="Q283" s="22">
        <f>O283+I283-P283</f>
        <v/>
      </c>
      <c r="BE283" s="20" t="n">
        <v>45939.5</v>
      </c>
      <c r="BF283" s="20" t="n">
        <v>45939.125</v>
      </c>
      <c r="BG283" s="20" t="n">
        <v>45939.54166666666</v>
      </c>
      <c r="BH283" s="20" t="n">
        <v>45939.625</v>
      </c>
    </row>
    <row r="284">
      <c r="A284" s="5">
        <f>A283+1</f>
        <v/>
      </c>
      <c r="B284" s="3">
        <f>-SUMIFS(df_extrato_zig!G:G,df_extrato_zig!E:E,Conciliacao!A284,df_extrato_zig!D:D,"Saque")-SUMIFS(df_extrato_zig!G:G,df_extrato_zig!E:E,Conciliacao!A284,df_extrato_zig!D:D,"Antecipação")</f>
        <v/>
      </c>
      <c r="C284" s="3">
        <f>SUMIFS(df_extrato_zig!E:E,df_extrato_zig!L:L,Conciliacao!A284,df_extrato_zig!F:F,"DINHEIRO")</f>
        <v/>
      </c>
      <c r="D284" s="3">
        <f>SUMIFS(view_parc_agrup!H:H,view_parc_agrup!G:G,Conciliacao!A284)</f>
        <v/>
      </c>
      <c r="E284" s="3">
        <f>SUMIFS(df_eventos!F:F,df_eventos!H:H,Conciliacao!A284)</f>
        <v/>
      </c>
      <c r="F284" s="3">
        <f>SUMIFS(df_mutuos!M:M,df_mutuos!B:B,Conciliacao!A284)</f>
        <v/>
      </c>
      <c r="G284" s="6">
        <f>SUMIFS(df_bloqueios_judiciais!G:G,df_bloqueios_judiciais!D:D,Conciliacao!A284,df_bloqueios_judiciais!G:G,"&gt;0")</f>
        <v/>
      </c>
      <c r="H284" s="7">
        <f>SUMIFS(df_extratos!I:I,df_extratos!F:F,Conciliacao!BE284,df_extratos!G:G,"CREDITO")+SUMIFS(df_extratos!I:I,df_extratos!F:F,Conciliacao!A284,df_extratos!G:G,"CREDITO")+SUMIFS(df_extratos!I:I,df_extratos!F:F,Conciliacao!BF284,df_extratos!G:G,"CREDITO")+SUMIFS(df_extratos!I:I,df_extratos!F:F,Conciliacao!BG284,df_extratos!G:G,"CREDITO")+SUMIFS(df_extratos!I:I,df_extratos!F:F,Conciliacao!BH284,df_extratos!G:G,"CREDITO")</f>
        <v/>
      </c>
      <c r="I284" s="9">
        <f>H284-SUM(B284:G284)</f>
        <v/>
      </c>
      <c r="J284" s="4">
        <f>SUMIFS(df_blueme_sem_parcelamento!E:E,df_blueme_sem_parcelamento!H:H,Conciliacao!A284)*(-1)</f>
        <v/>
      </c>
      <c r="K284" s="4">
        <f>SUMIFS(df_blueme_com_parcelamento!J:J,df_blueme_com_parcelamento!M:M,Conciliacao!A284)*(-1)</f>
        <v/>
      </c>
      <c r="L284" s="4">
        <f>SUMIFS(df_mutuos!N:N,df_mutuos!B:B,Conciliacao!A284)*(-1)</f>
        <v/>
      </c>
      <c r="M284" s="8">
        <f>SUMIFS(df_bloqueios_judiciais!G:G,df_bloqueios_judiciais!D:D,Conciliacao!A284,df_bloqueios_judiciais!G:G,"&lt;0")</f>
        <v/>
      </c>
      <c r="N284" s="10">
        <f>SUMIFS(df_extratos!I:I,df_extratos!F:F,Conciliacao!BE284,df_extratos!G:G,"DEBITO")+SUMIFS(df_extratos!I:I,df_extratos!F:F,Conciliacao!A284,df_extratos!G:G,"DEBITO")+SUMIFS(df_extratos!I:I,df_extratos!F:F,Conciliacao!BF284,df_extratos!G:G,"DEBITO")+SUMIFS(df_extratos!I:I,df_extratos!F:F,Conciliacao!BG284,df_extratos!G:G,"DEBITO")+SUMIFS(df_extratos!I:I,df_extratos!F:F,Conciliacao!BH284,df_extratos!G:G,"DEBITO")</f>
        <v/>
      </c>
      <c r="O284" s="11">
        <f>N284-SUM(J284:M284)</f>
        <v/>
      </c>
      <c r="P284" s="25">
        <f>SUMIFS(df_ajustes_conciliaco!D:D,df_ajustes_conciliaco!C:C,Conciliacao!A284)</f>
        <v/>
      </c>
      <c r="Q284" s="22">
        <f>O284+I284-P284</f>
        <v/>
      </c>
      <c r="BE284" s="20" t="n">
        <v>45940.5</v>
      </c>
      <c r="BF284" s="20" t="n">
        <v>45940.125</v>
      </c>
      <c r="BG284" s="20" t="n">
        <v>45940.54166666666</v>
      </c>
      <c r="BH284" s="20" t="n">
        <v>45940.625</v>
      </c>
    </row>
    <row r="285">
      <c r="A285" s="5">
        <f>A284+1</f>
        <v/>
      </c>
      <c r="B285" s="3">
        <f>-SUMIFS(df_extrato_zig!G:G,df_extrato_zig!E:E,Conciliacao!A285,df_extrato_zig!D:D,"Saque")-SUMIFS(df_extrato_zig!G:G,df_extrato_zig!E:E,Conciliacao!A285,df_extrato_zig!D:D,"Antecipação")</f>
        <v/>
      </c>
      <c r="C285" s="3">
        <f>SUMIFS(df_extrato_zig!E:E,df_extrato_zig!L:L,Conciliacao!A285,df_extrato_zig!F:F,"DINHEIRO")</f>
        <v/>
      </c>
      <c r="D285" s="3">
        <f>SUMIFS(view_parc_agrup!H:H,view_parc_agrup!G:G,Conciliacao!A285)</f>
        <v/>
      </c>
      <c r="E285" s="3">
        <f>SUMIFS(df_eventos!F:F,df_eventos!H:H,Conciliacao!A285)</f>
        <v/>
      </c>
      <c r="F285" s="3">
        <f>SUMIFS(df_mutuos!M:M,df_mutuos!B:B,Conciliacao!A285)</f>
        <v/>
      </c>
      <c r="G285" s="6">
        <f>SUMIFS(df_bloqueios_judiciais!G:G,df_bloqueios_judiciais!D:D,Conciliacao!A285,df_bloqueios_judiciais!G:G,"&gt;0")</f>
        <v/>
      </c>
      <c r="H285" s="7">
        <f>SUMIFS(df_extratos!I:I,df_extratos!F:F,Conciliacao!BE285,df_extratos!G:G,"CREDITO")+SUMIFS(df_extratos!I:I,df_extratos!F:F,Conciliacao!A285,df_extratos!G:G,"CREDITO")+SUMIFS(df_extratos!I:I,df_extratos!F:F,Conciliacao!BF285,df_extratos!G:G,"CREDITO")+SUMIFS(df_extratos!I:I,df_extratos!F:F,Conciliacao!BG285,df_extratos!G:G,"CREDITO")+SUMIFS(df_extratos!I:I,df_extratos!F:F,Conciliacao!BH285,df_extratos!G:G,"CREDITO")</f>
        <v/>
      </c>
      <c r="I285" s="9">
        <f>H285-SUM(B285:G285)</f>
        <v/>
      </c>
      <c r="J285" s="4">
        <f>SUMIFS(df_blueme_sem_parcelamento!E:E,df_blueme_sem_parcelamento!H:H,Conciliacao!A285)*(-1)</f>
        <v/>
      </c>
      <c r="K285" s="4">
        <f>SUMIFS(df_blueme_com_parcelamento!J:J,df_blueme_com_parcelamento!M:M,Conciliacao!A285)*(-1)</f>
        <v/>
      </c>
      <c r="L285" s="4">
        <f>SUMIFS(df_mutuos!N:N,df_mutuos!B:B,Conciliacao!A285)*(-1)</f>
        <v/>
      </c>
      <c r="M285" s="8">
        <f>SUMIFS(df_bloqueios_judiciais!G:G,df_bloqueios_judiciais!D:D,Conciliacao!A285,df_bloqueios_judiciais!G:G,"&lt;0")</f>
        <v/>
      </c>
      <c r="N285" s="10">
        <f>SUMIFS(df_extratos!I:I,df_extratos!F:F,Conciliacao!BE285,df_extratos!G:G,"DEBITO")+SUMIFS(df_extratos!I:I,df_extratos!F:F,Conciliacao!A285,df_extratos!G:G,"DEBITO")+SUMIFS(df_extratos!I:I,df_extratos!F:F,Conciliacao!BF285,df_extratos!G:G,"DEBITO")+SUMIFS(df_extratos!I:I,df_extratos!F:F,Conciliacao!BG285,df_extratos!G:G,"DEBITO")+SUMIFS(df_extratos!I:I,df_extratos!F:F,Conciliacao!BH285,df_extratos!G:G,"DEBITO")</f>
        <v/>
      </c>
      <c r="O285" s="11">
        <f>N285-SUM(J285:M285)</f>
        <v/>
      </c>
      <c r="P285" s="25">
        <f>SUMIFS(df_ajustes_conciliaco!D:D,df_ajustes_conciliaco!C:C,Conciliacao!A285)</f>
        <v/>
      </c>
      <c r="Q285" s="22">
        <f>O285+I285-P285</f>
        <v/>
      </c>
      <c r="BE285" s="20" t="n">
        <v>45941.5</v>
      </c>
      <c r="BF285" s="20" t="n">
        <v>45941.125</v>
      </c>
      <c r="BG285" s="20" t="n">
        <v>45941.54166666666</v>
      </c>
      <c r="BH285" s="20" t="n">
        <v>45941.625</v>
      </c>
    </row>
    <row r="286">
      <c r="A286" s="5">
        <f>A285+1</f>
        <v/>
      </c>
      <c r="B286" s="3">
        <f>-SUMIFS(df_extrato_zig!G:G,df_extrato_zig!E:E,Conciliacao!A286,df_extrato_zig!D:D,"Saque")-SUMIFS(df_extrato_zig!G:G,df_extrato_zig!E:E,Conciliacao!A286,df_extrato_zig!D:D,"Antecipação")</f>
        <v/>
      </c>
      <c r="C286" s="3">
        <f>SUMIFS(df_extrato_zig!E:E,df_extrato_zig!L:L,Conciliacao!A286,df_extrato_zig!F:F,"DINHEIRO")</f>
        <v/>
      </c>
      <c r="D286" s="3">
        <f>SUMIFS(view_parc_agrup!H:H,view_parc_agrup!G:G,Conciliacao!A286)</f>
        <v/>
      </c>
      <c r="E286" s="3">
        <f>SUMIFS(df_eventos!F:F,df_eventos!H:H,Conciliacao!A286)</f>
        <v/>
      </c>
      <c r="F286" s="3">
        <f>SUMIFS(df_mutuos!M:M,df_mutuos!B:B,Conciliacao!A286)</f>
        <v/>
      </c>
      <c r="G286" s="6">
        <f>SUMIFS(df_bloqueios_judiciais!G:G,df_bloqueios_judiciais!D:D,Conciliacao!A286,df_bloqueios_judiciais!G:G,"&gt;0")</f>
        <v/>
      </c>
      <c r="H286" s="7">
        <f>SUMIFS(df_extratos!I:I,df_extratos!F:F,Conciliacao!BE286,df_extratos!G:G,"CREDITO")+SUMIFS(df_extratos!I:I,df_extratos!F:F,Conciliacao!A286,df_extratos!G:G,"CREDITO")+SUMIFS(df_extratos!I:I,df_extratos!F:F,Conciliacao!BF286,df_extratos!G:G,"CREDITO")+SUMIFS(df_extratos!I:I,df_extratos!F:F,Conciliacao!BG286,df_extratos!G:G,"CREDITO")+SUMIFS(df_extratos!I:I,df_extratos!F:F,Conciliacao!BH286,df_extratos!G:G,"CREDITO")</f>
        <v/>
      </c>
      <c r="I286" s="9">
        <f>H286-SUM(B286:G286)</f>
        <v/>
      </c>
      <c r="J286" s="4">
        <f>SUMIFS(df_blueme_sem_parcelamento!E:E,df_blueme_sem_parcelamento!H:H,Conciliacao!A286)*(-1)</f>
        <v/>
      </c>
      <c r="K286" s="4">
        <f>SUMIFS(df_blueme_com_parcelamento!J:J,df_blueme_com_parcelamento!M:M,Conciliacao!A286)*(-1)</f>
        <v/>
      </c>
      <c r="L286" s="4">
        <f>SUMIFS(df_mutuos!N:N,df_mutuos!B:B,Conciliacao!A286)*(-1)</f>
        <v/>
      </c>
      <c r="M286" s="8">
        <f>SUMIFS(df_bloqueios_judiciais!G:G,df_bloqueios_judiciais!D:D,Conciliacao!A286,df_bloqueios_judiciais!G:G,"&lt;0")</f>
        <v/>
      </c>
      <c r="N286" s="10">
        <f>SUMIFS(df_extratos!I:I,df_extratos!F:F,Conciliacao!BE286,df_extratos!G:G,"DEBITO")+SUMIFS(df_extratos!I:I,df_extratos!F:F,Conciliacao!A286,df_extratos!G:G,"DEBITO")+SUMIFS(df_extratos!I:I,df_extratos!F:F,Conciliacao!BF286,df_extratos!G:G,"DEBITO")+SUMIFS(df_extratos!I:I,df_extratos!F:F,Conciliacao!BG286,df_extratos!G:G,"DEBITO")+SUMIFS(df_extratos!I:I,df_extratos!F:F,Conciliacao!BH286,df_extratos!G:G,"DEBITO")</f>
        <v/>
      </c>
      <c r="O286" s="11">
        <f>N286-SUM(J286:M286)</f>
        <v/>
      </c>
      <c r="P286" s="25">
        <f>SUMIFS(df_ajustes_conciliaco!D:D,df_ajustes_conciliaco!C:C,Conciliacao!A286)</f>
        <v/>
      </c>
      <c r="Q286" s="22">
        <f>O286+I286-P286</f>
        <v/>
      </c>
      <c r="BE286" s="20" t="n">
        <v>45942.5</v>
      </c>
      <c r="BF286" s="20" t="n">
        <v>45942.125</v>
      </c>
      <c r="BG286" s="20" t="n">
        <v>45942.54166666666</v>
      </c>
      <c r="BH286" s="20" t="n">
        <v>45942.625</v>
      </c>
    </row>
    <row r="287">
      <c r="A287" s="5">
        <f>A286+1</f>
        <v/>
      </c>
      <c r="B287" s="3">
        <f>-SUMIFS(df_extrato_zig!G:G,df_extrato_zig!E:E,Conciliacao!A287,df_extrato_zig!D:D,"Saque")-SUMIFS(df_extrato_zig!G:G,df_extrato_zig!E:E,Conciliacao!A287,df_extrato_zig!D:D,"Antecipação")</f>
        <v/>
      </c>
      <c r="C287" s="3">
        <f>SUMIFS(df_extrato_zig!E:E,df_extrato_zig!L:L,Conciliacao!A287,df_extrato_zig!F:F,"DINHEIRO")</f>
        <v/>
      </c>
      <c r="D287" s="3">
        <f>SUMIFS(view_parc_agrup!H:H,view_parc_agrup!G:G,Conciliacao!A287)</f>
        <v/>
      </c>
      <c r="E287" s="3">
        <f>SUMIFS(df_eventos!F:F,df_eventos!H:H,Conciliacao!A287)</f>
        <v/>
      </c>
      <c r="F287" s="3">
        <f>SUMIFS(df_mutuos!M:M,df_mutuos!B:B,Conciliacao!A287)</f>
        <v/>
      </c>
      <c r="G287" s="6">
        <f>SUMIFS(df_bloqueios_judiciais!G:G,df_bloqueios_judiciais!D:D,Conciliacao!A287,df_bloqueios_judiciais!G:G,"&gt;0")</f>
        <v/>
      </c>
      <c r="H287" s="7">
        <f>SUMIFS(df_extratos!I:I,df_extratos!F:F,Conciliacao!BE287,df_extratos!G:G,"CREDITO")+SUMIFS(df_extratos!I:I,df_extratos!F:F,Conciliacao!A287,df_extratos!G:G,"CREDITO")+SUMIFS(df_extratos!I:I,df_extratos!F:F,Conciliacao!BF287,df_extratos!G:G,"CREDITO")+SUMIFS(df_extratos!I:I,df_extratos!F:F,Conciliacao!BG287,df_extratos!G:G,"CREDITO")+SUMIFS(df_extratos!I:I,df_extratos!F:F,Conciliacao!BH287,df_extratos!G:G,"CREDITO")</f>
        <v/>
      </c>
      <c r="I287" s="9">
        <f>H287-SUM(B287:G287)</f>
        <v/>
      </c>
      <c r="J287" s="4">
        <f>SUMIFS(df_blueme_sem_parcelamento!E:E,df_blueme_sem_parcelamento!H:H,Conciliacao!A287)*(-1)</f>
        <v/>
      </c>
      <c r="K287" s="4">
        <f>SUMIFS(df_blueme_com_parcelamento!J:J,df_blueme_com_parcelamento!M:M,Conciliacao!A287)*(-1)</f>
        <v/>
      </c>
      <c r="L287" s="4">
        <f>SUMIFS(df_mutuos!N:N,df_mutuos!B:B,Conciliacao!A287)*(-1)</f>
        <v/>
      </c>
      <c r="M287" s="8">
        <f>SUMIFS(df_bloqueios_judiciais!G:G,df_bloqueios_judiciais!D:D,Conciliacao!A287,df_bloqueios_judiciais!G:G,"&lt;0")</f>
        <v/>
      </c>
      <c r="N287" s="10">
        <f>SUMIFS(df_extratos!I:I,df_extratos!F:F,Conciliacao!BE287,df_extratos!G:G,"DEBITO")+SUMIFS(df_extratos!I:I,df_extratos!F:F,Conciliacao!A287,df_extratos!G:G,"DEBITO")+SUMIFS(df_extratos!I:I,df_extratos!F:F,Conciliacao!BF287,df_extratos!G:G,"DEBITO")+SUMIFS(df_extratos!I:I,df_extratos!F:F,Conciliacao!BG287,df_extratos!G:G,"DEBITO")+SUMIFS(df_extratos!I:I,df_extratos!F:F,Conciliacao!BH287,df_extratos!G:G,"DEBITO")</f>
        <v/>
      </c>
      <c r="O287" s="11">
        <f>N287-SUM(J287:M287)</f>
        <v/>
      </c>
      <c r="P287" s="25">
        <f>SUMIFS(df_ajustes_conciliaco!D:D,df_ajustes_conciliaco!C:C,Conciliacao!A287)</f>
        <v/>
      </c>
      <c r="Q287" s="22">
        <f>O287+I287-P287</f>
        <v/>
      </c>
      <c r="BE287" s="20" t="n">
        <v>45943.5</v>
      </c>
      <c r="BF287" s="20" t="n">
        <v>45943.125</v>
      </c>
      <c r="BG287" s="20" t="n">
        <v>45943.54166666666</v>
      </c>
      <c r="BH287" s="20" t="n">
        <v>45943.625</v>
      </c>
    </row>
    <row r="288">
      <c r="A288" s="5">
        <f>A287+1</f>
        <v/>
      </c>
      <c r="B288" s="3">
        <f>-SUMIFS(df_extrato_zig!G:G,df_extrato_zig!E:E,Conciliacao!A288,df_extrato_zig!D:D,"Saque")-SUMIFS(df_extrato_zig!G:G,df_extrato_zig!E:E,Conciliacao!A288,df_extrato_zig!D:D,"Antecipação")</f>
        <v/>
      </c>
      <c r="C288" s="3">
        <f>SUMIFS(df_extrato_zig!E:E,df_extrato_zig!L:L,Conciliacao!A288,df_extrato_zig!F:F,"DINHEIRO")</f>
        <v/>
      </c>
      <c r="D288" s="3">
        <f>SUMIFS(view_parc_agrup!H:H,view_parc_agrup!G:G,Conciliacao!A288)</f>
        <v/>
      </c>
      <c r="E288" s="3">
        <f>SUMIFS(df_eventos!F:F,df_eventos!H:H,Conciliacao!A288)</f>
        <v/>
      </c>
      <c r="F288" s="3">
        <f>SUMIFS(df_mutuos!M:M,df_mutuos!B:B,Conciliacao!A288)</f>
        <v/>
      </c>
      <c r="G288" s="6">
        <f>SUMIFS(df_bloqueios_judiciais!G:G,df_bloqueios_judiciais!D:D,Conciliacao!A288,df_bloqueios_judiciais!G:G,"&gt;0")</f>
        <v/>
      </c>
      <c r="H288" s="7">
        <f>SUMIFS(df_extratos!I:I,df_extratos!F:F,Conciliacao!BE288,df_extratos!G:G,"CREDITO")+SUMIFS(df_extratos!I:I,df_extratos!F:F,Conciliacao!A288,df_extratos!G:G,"CREDITO")+SUMIFS(df_extratos!I:I,df_extratos!F:F,Conciliacao!BF288,df_extratos!G:G,"CREDITO")+SUMIFS(df_extratos!I:I,df_extratos!F:F,Conciliacao!BG288,df_extratos!G:G,"CREDITO")+SUMIFS(df_extratos!I:I,df_extratos!F:F,Conciliacao!BH288,df_extratos!G:G,"CREDITO")</f>
        <v/>
      </c>
      <c r="I288" s="9">
        <f>H288-SUM(B288:G288)</f>
        <v/>
      </c>
      <c r="J288" s="4">
        <f>SUMIFS(df_blueme_sem_parcelamento!E:E,df_blueme_sem_parcelamento!H:H,Conciliacao!A288)*(-1)</f>
        <v/>
      </c>
      <c r="K288" s="4">
        <f>SUMIFS(df_blueme_com_parcelamento!J:J,df_blueme_com_parcelamento!M:M,Conciliacao!A288)*(-1)</f>
        <v/>
      </c>
      <c r="L288" s="4">
        <f>SUMIFS(df_mutuos!N:N,df_mutuos!B:B,Conciliacao!A288)*(-1)</f>
        <v/>
      </c>
      <c r="M288" s="8">
        <f>SUMIFS(df_bloqueios_judiciais!G:G,df_bloqueios_judiciais!D:D,Conciliacao!A288,df_bloqueios_judiciais!G:G,"&lt;0")</f>
        <v/>
      </c>
      <c r="N288" s="10">
        <f>SUMIFS(df_extratos!I:I,df_extratos!F:F,Conciliacao!BE288,df_extratos!G:G,"DEBITO")+SUMIFS(df_extratos!I:I,df_extratos!F:F,Conciliacao!A288,df_extratos!G:G,"DEBITO")+SUMIFS(df_extratos!I:I,df_extratos!F:F,Conciliacao!BF288,df_extratos!G:G,"DEBITO")+SUMIFS(df_extratos!I:I,df_extratos!F:F,Conciliacao!BG288,df_extratos!G:G,"DEBITO")+SUMIFS(df_extratos!I:I,df_extratos!F:F,Conciliacao!BH288,df_extratos!G:G,"DEBITO")</f>
        <v/>
      </c>
      <c r="O288" s="11">
        <f>N288-SUM(J288:M288)</f>
        <v/>
      </c>
      <c r="P288" s="25">
        <f>SUMIFS(df_ajustes_conciliaco!D:D,df_ajustes_conciliaco!C:C,Conciliacao!A288)</f>
        <v/>
      </c>
      <c r="Q288" s="22">
        <f>O288+I288-P288</f>
        <v/>
      </c>
      <c r="BE288" s="20" t="n">
        <v>45944.5</v>
      </c>
      <c r="BF288" s="20" t="n">
        <v>45944.125</v>
      </c>
      <c r="BG288" s="20" t="n">
        <v>45944.54166666666</v>
      </c>
      <c r="BH288" s="20" t="n">
        <v>45944.625</v>
      </c>
    </row>
    <row r="289">
      <c r="A289" s="5">
        <f>A288+1</f>
        <v/>
      </c>
      <c r="B289" s="3">
        <f>-SUMIFS(df_extrato_zig!G:G,df_extrato_zig!E:E,Conciliacao!A289,df_extrato_zig!D:D,"Saque")-SUMIFS(df_extrato_zig!G:G,df_extrato_zig!E:E,Conciliacao!A289,df_extrato_zig!D:D,"Antecipação")</f>
        <v/>
      </c>
      <c r="C289" s="3">
        <f>SUMIFS(df_extrato_zig!E:E,df_extrato_zig!L:L,Conciliacao!A289,df_extrato_zig!F:F,"DINHEIRO")</f>
        <v/>
      </c>
      <c r="D289" s="3">
        <f>SUMIFS(view_parc_agrup!H:H,view_parc_agrup!G:G,Conciliacao!A289)</f>
        <v/>
      </c>
      <c r="E289" s="3">
        <f>SUMIFS(df_eventos!F:F,df_eventos!H:H,Conciliacao!A289)</f>
        <v/>
      </c>
      <c r="F289" s="3">
        <f>SUMIFS(df_mutuos!M:M,df_mutuos!B:B,Conciliacao!A289)</f>
        <v/>
      </c>
      <c r="G289" s="6">
        <f>SUMIFS(df_bloqueios_judiciais!G:G,df_bloqueios_judiciais!D:D,Conciliacao!A289,df_bloqueios_judiciais!G:G,"&gt;0")</f>
        <v/>
      </c>
      <c r="H289" s="7">
        <f>SUMIFS(df_extratos!I:I,df_extratos!F:F,Conciliacao!BE289,df_extratos!G:G,"CREDITO")+SUMIFS(df_extratos!I:I,df_extratos!F:F,Conciliacao!A289,df_extratos!G:G,"CREDITO")+SUMIFS(df_extratos!I:I,df_extratos!F:F,Conciliacao!BF289,df_extratos!G:G,"CREDITO")+SUMIFS(df_extratos!I:I,df_extratos!F:F,Conciliacao!BG289,df_extratos!G:G,"CREDITO")+SUMIFS(df_extratos!I:I,df_extratos!F:F,Conciliacao!BH289,df_extratos!G:G,"CREDITO")</f>
        <v/>
      </c>
      <c r="I289" s="9">
        <f>H289-SUM(B289:G289)</f>
        <v/>
      </c>
      <c r="J289" s="4">
        <f>SUMIFS(df_blueme_sem_parcelamento!E:E,df_blueme_sem_parcelamento!H:H,Conciliacao!A289)*(-1)</f>
        <v/>
      </c>
      <c r="K289" s="4">
        <f>SUMIFS(df_blueme_com_parcelamento!J:J,df_blueme_com_parcelamento!M:M,Conciliacao!A289)*(-1)</f>
        <v/>
      </c>
      <c r="L289" s="4">
        <f>SUMIFS(df_mutuos!N:N,df_mutuos!B:B,Conciliacao!A289)*(-1)</f>
        <v/>
      </c>
      <c r="M289" s="8">
        <f>SUMIFS(df_bloqueios_judiciais!G:G,df_bloqueios_judiciais!D:D,Conciliacao!A289,df_bloqueios_judiciais!G:G,"&lt;0")</f>
        <v/>
      </c>
      <c r="N289" s="10">
        <f>SUMIFS(df_extratos!I:I,df_extratos!F:F,Conciliacao!BE289,df_extratos!G:G,"DEBITO")+SUMIFS(df_extratos!I:I,df_extratos!F:F,Conciliacao!A289,df_extratos!G:G,"DEBITO")+SUMIFS(df_extratos!I:I,df_extratos!F:F,Conciliacao!BF289,df_extratos!G:G,"DEBITO")+SUMIFS(df_extratos!I:I,df_extratos!F:F,Conciliacao!BG289,df_extratos!G:G,"DEBITO")+SUMIFS(df_extratos!I:I,df_extratos!F:F,Conciliacao!BH289,df_extratos!G:G,"DEBITO")</f>
        <v/>
      </c>
      <c r="O289" s="11">
        <f>N289-SUM(J289:M289)</f>
        <v/>
      </c>
      <c r="P289" s="25">
        <f>SUMIFS(df_ajustes_conciliaco!D:D,df_ajustes_conciliaco!C:C,Conciliacao!A289)</f>
        <v/>
      </c>
      <c r="Q289" s="22">
        <f>O289+I289-P289</f>
        <v/>
      </c>
      <c r="BE289" s="20" t="n">
        <v>45945.5</v>
      </c>
      <c r="BF289" s="20" t="n">
        <v>45945.125</v>
      </c>
      <c r="BG289" s="20" t="n">
        <v>45945.54166666666</v>
      </c>
      <c r="BH289" s="20" t="n">
        <v>45945.625</v>
      </c>
    </row>
    <row r="290">
      <c r="A290" s="5">
        <f>A289+1</f>
        <v/>
      </c>
      <c r="B290" s="3">
        <f>-SUMIFS(df_extrato_zig!G:G,df_extrato_zig!E:E,Conciliacao!A290,df_extrato_zig!D:D,"Saque")-SUMIFS(df_extrato_zig!G:G,df_extrato_zig!E:E,Conciliacao!A290,df_extrato_zig!D:D,"Antecipação")</f>
        <v/>
      </c>
      <c r="C290" s="3">
        <f>SUMIFS(df_extrato_zig!E:E,df_extrato_zig!L:L,Conciliacao!A290,df_extrato_zig!F:F,"DINHEIRO")</f>
        <v/>
      </c>
      <c r="D290" s="3">
        <f>SUMIFS(view_parc_agrup!H:H,view_parc_agrup!G:G,Conciliacao!A290)</f>
        <v/>
      </c>
      <c r="E290" s="3">
        <f>SUMIFS(df_eventos!F:F,df_eventos!H:H,Conciliacao!A290)</f>
        <v/>
      </c>
      <c r="F290" s="3">
        <f>SUMIFS(df_mutuos!M:M,df_mutuos!B:B,Conciliacao!A290)</f>
        <v/>
      </c>
      <c r="G290" s="6">
        <f>SUMIFS(df_bloqueios_judiciais!G:G,df_bloqueios_judiciais!D:D,Conciliacao!A290,df_bloqueios_judiciais!G:G,"&gt;0")</f>
        <v/>
      </c>
      <c r="H290" s="7">
        <f>SUMIFS(df_extratos!I:I,df_extratos!F:F,Conciliacao!BE290,df_extratos!G:G,"CREDITO")+SUMIFS(df_extratos!I:I,df_extratos!F:F,Conciliacao!A290,df_extratos!G:G,"CREDITO")+SUMIFS(df_extratos!I:I,df_extratos!F:F,Conciliacao!BF290,df_extratos!G:G,"CREDITO")+SUMIFS(df_extratos!I:I,df_extratos!F:F,Conciliacao!BG290,df_extratos!G:G,"CREDITO")+SUMIFS(df_extratos!I:I,df_extratos!F:F,Conciliacao!BH290,df_extratos!G:G,"CREDITO")</f>
        <v/>
      </c>
      <c r="I290" s="9">
        <f>H290-SUM(B290:G290)</f>
        <v/>
      </c>
      <c r="J290" s="4">
        <f>SUMIFS(df_blueme_sem_parcelamento!E:E,df_blueme_sem_parcelamento!H:H,Conciliacao!A290)*(-1)</f>
        <v/>
      </c>
      <c r="K290" s="4">
        <f>SUMIFS(df_blueme_com_parcelamento!J:J,df_blueme_com_parcelamento!M:M,Conciliacao!A290)*(-1)</f>
        <v/>
      </c>
      <c r="L290" s="4">
        <f>SUMIFS(df_mutuos!N:N,df_mutuos!B:B,Conciliacao!A290)*(-1)</f>
        <v/>
      </c>
      <c r="M290" s="8">
        <f>SUMIFS(df_bloqueios_judiciais!G:G,df_bloqueios_judiciais!D:D,Conciliacao!A290,df_bloqueios_judiciais!G:G,"&lt;0")</f>
        <v/>
      </c>
      <c r="N290" s="10">
        <f>SUMIFS(df_extratos!I:I,df_extratos!F:F,Conciliacao!BE290,df_extratos!G:G,"DEBITO")+SUMIFS(df_extratos!I:I,df_extratos!F:F,Conciliacao!A290,df_extratos!G:G,"DEBITO")+SUMIFS(df_extratos!I:I,df_extratos!F:F,Conciliacao!BF290,df_extratos!G:G,"DEBITO")+SUMIFS(df_extratos!I:I,df_extratos!F:F,Conciliacao!BG290,df_extratos!G:G,"DEBITO")+SUMIFS(df_extratos!I:I,df_extratos!F:F,Conciliacao!BH290,df_extratos!G:G,"DEBITO")</f>
        <v/>
      </c>
      <c r="O290" s="11">
        <f>N290-SUM(J290:M290)</f>
        <v/>
      </c>
      <c r="P290" s="25">
        <f>SUMIFS(df_ajustes_conciliaco!D:D,df_ajustes_conciliaco!C:C,Conciliacao!A290)</f>
        <v/>
      </c>
      <c r="Q290" s="22">
        <f>O290+I290-P290</f>
        <v/>
      </c>
      <c r="BE290" s="20" t="n">
        <v>45946.5</v>
      </c>
      <c r="BF290" s="20" t="n">
        <v>45946.125</v>
      </c>
      <c r="BG290" s="20" t="n">
        <v>45946.54166666666</v>
      </c>
      <c r="BH290" s="20" t="n">
        <v>45946.625</v>
      </c>
    </row>
    <row r="291">
      <c r="A291" s="5">
        <f>A290+1</f>
        <v/>
      </c>
      <c r="B291" s="3">
        <f>-SUMIFS(df_extrato_zig!G:G,df_extrato_zig!E:E,Conciliacao!A291,df_extrato_zig!D:D,"Saque")-SUMIFS(df_extrato_zig!G:G,df_extrato_zig!E:E,Conciliacao!A291,df_extrato_zig!D:D,"Antecipação")</f>
        <v/>
      </c>
      <c r="C291" s="3">
        <f>SUMIFS(df_extrato_zig!E:E,df_extrato_zig!L:L,Conciliacao!A291,df_extrato_zig!F:F,"DINHEIRO")</f>
        <v/>
      </c>
      <c r="D291" s="3">
        <f>SUMIFS(view_parc_agrup!H:H,view_parc_agrup!G:G,Conciliacao!A291)</f>
        <v/>
      </c>
      <c r="E291" s="3">
        <f>SUMIFS(df_eventos!F:F,df_eventos!H:H,Conciliacao!A291)</f>
        <v/>
      </c>
      <c r="F291" s="3">
        <f>SUMIFS(df_mutuos!M:M,df_mutuos!B:B,Conciliacao!A291)</f>
        <v/>
      </c>
      <c r="G291" s="6">
        <f>SUMIFS(df_bloqueios_judiciais!G:G,df_bloqueios_judiciais!D:D,Conciliacao!A291,df_bloqueios_judiciais!G:G,"&gt;0")</f>
        <v/>
      </c>
      <c r="H291" s="7">
        <f>SUMIFS(df_extratos!I:I,df_extratos!F:F,Conciliacao!BE291,df_extratos!G:G,"CREDITO")+SUMIFS(df_extratos!I:I,df_extratos!F:F,Conciliacao!A291,df_extratos!G:G,"CREDITO")+SUMIFS(df_extratos!I:I,df_extratos!F:F,Conciliacao!BF291,df_extratos!G:G,"CREDITO")+SUMIFS(df_extratos!I:I,df_extratos!F:F,Conciliacao!BG291,df_extratos!G:G,"CREDITO")+SUMIFS(df_extratos!I:I,df_extratos!F:F,Conciliacao!BH291,df_extratos!G:G,"CREDITO")</f>
        <v/>
      </c>
      <c r="I291" s="9">
        <f>H291-SUM(B291:G291)</f>
        <v/>
      </c>
      <c r="J291" s="4">
        <f>SUMIFS(df_blueme_sem_parcelamento!E:E,df_blueme_sem_parcelamento!H:H,Conciliacao!A291)*(-1)</f>
        <v/>
      </c>
      <c r="K291" s="4">
        <f>SUMIFS(df_blueme_com_parcelamento!J:J,df_blueme_com_parcelamento!M:M,Conciliacao!A291)*(-1)</f>
        <v/>
      </c>
      <c r="L291" s="4">
        <f>SUMIFS(df_mutuos!N:N,df_mutuos!B:B,Conciliacao!A291)*(-1)</f>
        <v/>
      </c>
      <c r="M291" s="8">
        <f>SUMIFS(df_bloqueios_judiciais!G:G,df_bloqueios_judiciais!D:D,Conciliacao!A291,df_bloqueios_judiciais!G:G,"&lt;0")</f>
        <v/>
      </c>
      <c r="N291" s="10">
        <f>SUMIFS(df_extratos!I:I,df_extratos!F:F,Conciliacao!BE291,df_extratos!G:G,"DEBITO")+SUMIFS(df_extratos!I:I,df_extratos!F:F,Conciliacao!A291,df_extratos!G:G,"DEBITO")+SUMIFS(df_extratos!I:I,df_extratos!F:F,Conciliacao!BF291,df_extratos!G:G,"DEBITO")+SUMIFS(df_extratos!I:I,df_extratos!F:F,Conciliacao!BG291,df_extratos!G:G,"DEBITO")+SUMIFS(df_extratos!I:I,df_extratos!F:F,Conciliacao!BH291,df_extratos!G:G,"DEBITO")</f>
        <v/>
      </c>
      <c r="O291" s="11">
        <f>N291-SUM(J291:M291)</f>
        <v/>
      </c>
      <c r="P291" s="25">
        <f>SUMIFS(df_ajustes_conciliaco!D:D,df_ajustes_conciliaco!C:C,Conciliacao!A291)</f>
        <v/>
      </c>
      <c r="Q291" s="22">
        <f>O291+I291-P291</f>
        <v/>
      </c>
      <c r="BE291" s="20" t="n">
        <v>45947.5</v>
      </c>
      <c r="BF291" s="20" t="n">
        <v>45947.125</v>
      </c>
      <c r="BG291" s="20" t="n">
        <v>45947.54166666666</v>
      </c>
      <c r="BH291" s="20" t="n">
        <v>45947.625</v>
      </c>
    </row>
    <row r="292">
      <c r="A292" s="5">
        <f>A291+1</f>
        <v/>
      </c>
      <c r="B292" s="3">
        <f>-SUMIFS(df_extrato_zig!G:G,df_extrato_zig!E:E,Conciliacao!A292,df_extrato_zig!D:D,"Saque")-SUMIFS(df_extrato_zig!G:G,df_extrato_zig!E:E,Conciliacao!A292,df_extrato_zig!D:D,"Antecipação")</f>
        <v/>
      </c>
      <c r="C292" s="3">
        <f>SUMIFS(df_extrato_zig!E:E,df_extrato_zig!L:L,Conciliacao!A292,df_extrato_zig!F:F,"DINHEIRO")</f>
        <v/>
      </c>
      <c r="D292" s="3">
        <f>SUMIFS(view_parc_agrup!H:H,view_parc_agrup!G:G,Conciliacao!A292)</f>
        <v/>
      </c>
      <c r="E292" s="3">
        <f>SUMIFS(df_eventos!F:F,df_eventos!H:H,Conciliacao!A292)</f>
        <v/>
      </c>
      <c r="F292" s="3">
        <f>SUMIFS(df_mutuos!M:M,df_mutuos!B:B,Conciliacao!A292)</f>
        <v/>
      </c>
      <c r="G292" s="6">
        <f>SUMIFS(df_bloqueios_judiciais!G:G,df_bloqueios_judiciais!D:D,Conciliacao!A292,df_bloqueios_judiciais!G:G,"&gt;0")</f>
        <v/>
      </c>
      <c r="H292" s="7">
        <f>SUMIFS(df_extratos!I:I,df_extratos!F:F,Conciliacao!BE292,df_extratos!G:G,"CREDITO")+SUMIFS(df_extratos!I:I,df_extratos!F:F,Conciliacao!A292,df_extratos!G:G,"CREDITO")+SUMIFS(df_extratos!I:I,df_extratos!F:F,Conciliacao!BF292,df_extratos!G:G,"CREDITO")+SUMIFS(df_extratos!I:I,df_extratos!F:F,Conciliacao!BG292,df_extratos!G:G,"CREDITO")+SUMIFS(df_extratos!I:I,df_extratos!F:F,Conciliacao!BH292,df_extratos!G:G,"CREDITO")</f>
        <v/>
      </c>
      <c r="I292" s="9">
        <f>H292-SUM(B292:G292)</f>
        <v/>
      </c>
      <c r="J292" s="4">
        <f>SUMIFS(df_blueme_sem_parcelamento!E:E,df_blueme_sem_parcelamento!H:H,Conciliacao!A292)*(-1)</f>
        <v/>
      </c>
      <c r="K292" s="4">
        <f>SUMIFS(df_blueme_com_parcelamento!J:J,df_blueme_com_parcelamento!M:M,Conciliacao!A292)*(-1)</f>
        <v/>
      </c>
      <c r="L292" s="4">
        <f>SUMIFS(df_mutuos!N:N,df_mutuos!B:B,Conciliacao!A292)*(-1)</f>
        <v/>
      </c>
      <c r="M292" s="8">
        <f>SUMIFS(df_bloqueios_judiciais!G:G,df_bloqueios_judiciais!D:D,Conciliacao!A292,df_bloqueios_judiciais!G:G,"&lt;0")</f>
        <v/>
      </c>
      <c r="N292" s="10">
        <f>SUMIFS(df_extratos!I:I,df_extratos!F:F,Conciliacao!BE292,df_extratos!G:G,"DEBITO")+SUMIFS(df_extratos!I:I,df_extratos!F:F,Conciliacao!A292,df_extratos!G:G,"DEBITO")+SUMIFS(df_extratos!I:I,df_extratos!F:F,Conciliacao!BF292,df_extratos!G:G,"DEBITO")+SUMIFS(df_extratos!I:I,df_extratos!F:F,Conciliacao!BG292,df_extratos!G:G,"DEBITO")+SUMIFS(df_extratos!I:I,df_extratos!F:F,Conciliacao!BH292,df_extratos!G:G,"DEBITO")</f>
        <v/>
      </c>
      <c r="O292" s="11">
        <f>N292-SUM(J292:M292)</f>
        <v/>
      </c>
      <c r="P292" s="25">
        <f>SUMIFS(df_ajustes_conciliaco!D:D,df_ajustes_conciliaco!C:C,Conciliacao!A292)</f>
        <v/>
      </c>
      <c r="Q292" s="22">
        <f>O292+I292-P292</f>
        <v/>
      </c>
      <c r="BE292" s="20" t="n">
        <v>45948.5</v>
      </c>
      <c r="BF292" s="20" t="n">
        <v>45948.125</v>
      </c>
      <c r="BG292" s="20" t="n">
        <v>45948.54166666666</v>
      </c>
      <c r="BH292" s="20" t="n">
        <v>45948.625</v>
      </c>
    </row>
    <row r="293">
      <c r="A293" s="5">
        <f>A292+1</f>
        <v/>
      </c>
      <c r="B293" s="3">
        <f>-SUMIFS(df_extrato_zig!G:G,df_extrato_zig!E:E,Conciliacao!A293,df_extrato_zig!D:D,"Saque")-SUMIFS(df_extrato_zig!G:G,df_extrato_zig!E:E,Conciliacao!A293,df_extrato_zig!D:D,"Antecipação")</f>
        <v/>
      </c>
      <c r="C293" s="3">
        <f>SUMIFS(df_extrato_zig!E:E,df_extrato_zig!L:L,Conciliacao!A293,df_extrato_zig!F:F,"DINHEIRO")</f>
        <v/>
      </c>
      <c r="D293" s="3">
        <f>SUMIFS(view_parc_agrup!H:H,view_parc_agrup!G:G,Conciliacao!A293)</f>
        <v/>
      </c>
      <c r="E293" s="3">
        <f>SUMIFS(df_eventos!F:F,df_eventos!H:H,Conciliacao!A293)</f>
        <v/>
      </c>
      <c r="F293" s="3">
        <f>SUMIFS(df_mutuos!M:M,df_mutuos!B:B,Conciliacao!A293)</f>
        <v/>
      </c>
      <c r="G293" s="6">
        <f>SUMIFS(df_bloqueios_judiciais!G:G,df_bloqueios_judiciais!D:D,Conciliacao!A293,df_bloqueios_judiciais!G:G,"&gt;0")</f>
        <v/>
      </c>
      <c r="H293" s="7">
        <f>SUMIFS(df_extratos!I:I,df_extratos!F:F,Conciliacao!BE293,df_extratos!G:G,"CREDITO")+SUMIFS(df_extratos!I:I,df_extratos!F:F,Conciliacao!A293,df_extratos!G:G,"CREDITO")+SUMIFS(df_extratos!I:I,df_extratos!F:F,Conciliacao!BF293,df_extratos!G:G,"CREDITO")+SUMIFS(df_extratos!I:I,df_extratos!F:F,Conciliacao!BG293,df_extratos!G:G,"CREDITO")+SUMIFS(df_extratos!I:I,df_extratos!F:F,Conciliacao!BH293,df_extratos!G:G,"CREDITO")</f>
        <v/>
      </c>
      <c r="I293" s="9">
        <f>H293-SUM(B293:G293)</f>
        <v/>
      </c>
      <c r="J293" s="4">
        <f>SUMIFS(df_blueme_sem_parcelamento!E:E,df_blueme_sem_parcelamento!H:H,Conciliacao!A293)*(-1)</f>
        <v/>
      </c>
      <c r="K293" s="4">
        <f>SUMIFS(df_blueme_com_parcelamento!J:J,df_blueme_com_parcelamento!M:M,Conciliacao!A293)*(-1)</f>
        <v/>
      </c>
      <c r="L293" s="4">
        <f>SUMIFS(df_mutuos!N:N,df_mutuos!B:B,Conciliacao!A293)*(-1)</f>
        <v/>
      </c>
      <c r="M293" s="8">
        <f>SUMIFS(df_bloqueios_judiciais!G:G,df_bloqueios_judiciais!D:D,Conciliacao!A293,df_bloqueios_judiciais!G:G,"&lt;0")</f>
        <v/>
      </c>
      <c r="N293" s="10">
        <f>SUMIFS(df_extratos!I:I,df_extratos!F:F,Conciliacao!BE293,df_extratos!G:G,"DEBITO")+SUMIFS(df_extratos!I:I,df_extratos!F:F,Conciliacao!A293,df_extratos!G:G,"DEBITO")+SUMIFS(df_extratos!I:I,df_extratos!F:F,Conciliacao!BF293,df_extratos!G:G,"DEBITO")+SUMIFS(df_extratos!I:I,df_extratos!F:F,Conciliacao!BG293,df_extratos!G:G,"DEBITO")+SUMIFS(df_extratos!I:I,df_extratos!F:F,Conciliacao!BH293,df_extratos!G:G,"DEBITO")</f>
        <v/>
      </c>
      <c r="O293" s="11">
        <f>N293-SUM(J293:M293)</f>
        <v/>
      </c>
      <c r="P293" s="25">
        <f>SUMIFS(df_ajustes_conciliaco!D:D,df_ajustes_conciliaco!C:C,Conciliacao!A293)</f>
        <v/>
      </c>
      <c r="Q293" s="22">
        <f>O293+I293-P293</f>
        <v/>
      </c>
      <c r="BE293" s="20" t="n">
        <v>45949.5</v>
      </c>
      <c r="BF293" s="20" t="n">
        <v>45949.125</v>
      </c>
      <c r="BG293" s="20" t="n">
        <v>45949.54166666666</v>
      </c>
      <c r="BH293" s="20" t="n">
        <v>45949.625</v>
      </c>
    </row>
    <row r="294">
      <c r="A294" s="5">
        <f>A293+1</f>
        <v/>
      </c>
      <c r="B294" s="3">
        <f>-SUMIFS(df_extrato_zig!G:G,df_extrato_zig!E:E,Conciliacao!A294,df_extrato_zig!D:D,"Saque")-SUMIFS(df_extrato_zig!G:G,df_extrato_zig!E:E,Conciliacao!A294,df_extrato_zig!D:D,"Antecipação")</f>
        <v/>
      </c>
      <c r="C294" s="3">
        <f>SUMIFS(df_extrato_zig!E:E,df_extrato_zig!L:L,Conciliacao!A294,df_extrato_zig!F:F,"DINHEIRO")</f>
        <v/>
      </c>
      <c r="D294" s="3">
        <f>SUMIFS(view_parc_agrup!H:H,view_parc_agrup!G:G,Conciliacao!A294)</f>
        <v/>
      </c>
      <c r="E294" s="3">
        <f>SUMIFS(df_eventos!F:F,df_eventos!H:H,Conciliacao!A294)</f>
        <v/>
      </c>
      <c r="F294" s="3">
        <f>SUMIFS(df_mutuos!M:M,df_mutuos!B:B,Conciliacao!A294)</f>
        <v/>
      </c>
      <c r="G294" s="6">
        <f>SUMIFS(df_bloqueios_judiciais!G:G,df_bloqueios_judiciais!D:D,Conciliacao!A294,df_bloqueios_judiciais!G:G,"&gt;0")</f>
        <v/>
      </c>
      <c r="H294" s="7">
        <f>SUMIFS(df_extratos!I:I,df_extratos!F:F,Conciliacao!BE294,df_extratos!G:G,"CREDITO")+SUMIFS(df_extratos!I:I,df_extratos!F:F,Conciliacao!A294,df_extratos!G:G,"CREDITO")+SUMIFS(df_extratos!I:I,df_extratos!F:F,Conciliacao!BF294,df_extratos!G:G,"CREDITO")+SUMIFS(df_extratos!I:I,df_extratos!F:F,Conciliacao!BG294,df_extratos!G:G,"CREDITO")+SUMIFS(df_extratos!I:I,df_extratos!F:F,Conciliacao!BH294,df_extratos!G:G,"CREDITO")</f>
        <v/>
      </c>
      <c r="I294" s="9">
        <f>H294-SUM(B294:G294)</f>
        <v/>
      </c>
      <c r="J294" s="4">
        <f>SUMIFS(df_blueme_sem_parcelamento!E:E,df_blueme_sem_parcelamento!H:H,Conciliacao!A294)*(-1)</f>
        <v/>
      </c>
      <c r="K294" s="4">
        <f>SUMIFS(df_blueme_com_parcelamento!J:J,df_blueme_com_parcelamento!M:M,Conciliacao!A294)*(-1)</f>
        <v/>
      </c>
      <c r="L294" s="4">
        <f>SUMIFS(df_mutuos!N:N,df_mutuos!B:B,Conciliacao!A294)*(-1)</f>
        <v/>
      </c>
      <c r="M294" s="8">
        <f>SUMIFS(df_bloqueios_judiciais!G:G,df_bloqueios_judiciais!D:D,Conciliacao!A294,df_bloqueios_judiciais!G:G,"&lt;0")</f>
        <v/>
      </c>
      <c r="N294" s="10">
        <f>SUMIFS(df_extratos!I:I,df_extratos!F:F,Conciliacao!BE294,df_extratos!G:G,"DEBITO")+SUMIFS(df_extratos!I:I,df_extratos!F:F,Conciliacao!A294,df_extratos!G:G,"DEBITO")+SUMIFS(df_extratos!I:I,df_extratos!F:F,Conciliacao!BF294,df_extratos!G:G,"DEBITO")+SUMIFS(df_extratos!I:I,df_extratos!F:F,Conciliacao!BG294,df_extratos!G:G,"DEBITO")+SUMIFS(df_extratos!I:I,df_extratos!F:F,Conciliacao!BH294,df_extratos!G:G,"DEBITO")</f>
        <v/>
      </c>
      <c r="O294" s="11">
        <f>N294-SUM(J294:M294)</f>
        <v/>
      </c>
      <c r="P294" s="25">
        <f>SUMIFS(df_ajustes_conciliaco!D:D,df_ajustes_conciliaco!C:C,Conciliacao!A294)</f>
        <v/>
      </c>
      <c r="Q294" s="22">
        <f>O294+I294-P294</f>
        <v/>
      </c>
      <c r="BE294" s="20" t="n">
        <v>45950.5</v>
      </c>
      <c r="BF294" s="20" t="n">
        <v>45950.125</v>
      </c>
      <c r="BG294" s="20" t="n">
        <v>45950.54166666666</v>
      </c>
      <c r="BH294" s="20" t="n">
        <v>45950.625</v>
      </c>
    </row>
    <row r="295">
      <c r="A295" s="5">
        <f>A294+1</f>
        <v/>
      </c>
      <c r="B295" s="3">
        <f>-SUMIFS(df_extrato_zig!G:G,df_extrato_zig!E:E,Conciliacao!A295,df_extrato_zig!D:D,"Saque")-SUMIFS(df_extrato_zig!G:G,df_extrato_zig!E:E,Conciliacao!A295,df_extrato_zig!D:D,"Antecipação")</f>
        <v/>
      </c>
      <c r="C295" s="3">
        <f>SUMIFS(df_extrato_zig!E:E,df_extrato_zig!L:L,Conciliacao!A295,df_extrato_zig!F:F,"DINHEIRO")</f>
        <v/>
      </c>
      <c r="D295" s="3">
        <f>SUMIFS(view_parc_agrup!H:H,view_parc_agrup!G:G,Conciliacao!A295)</f>
        <v/>
      </c>
      <c r="E295" s="3">
        <f>SUMIFS(df_eventos!F:F,df_eventos!H:H,Conciliacao!A295)</f>
        <v/>
      </c>
      <c r="F295" s="3">
        <f>SUMIFS(df_mutuos!M:M,df_mutuos!B:B,Conciliacao!A295)</f>
        <v/>
      </c>
      <c r="G295" s="6">
        <f>SUMIFS(df_bloqueios_judiciais!G:G,df_bloqueios_judiciais!D:D,Conciliacao!A295,df_bloqueios_judiciais!G:G,"&gt;0")</f>
        <v/>
      </c>
      <c r="H295" s="7">
        <f>SUMIFS(df_extratos!I:I,df_extratos!F:F,Conciliacao!BE295,df_extratos!G:G,"CREDITO")+SUMIFS(df_extratos!I:I,df_extratos!F:F,Conciliacao!A295,df_extratos!G:G,"CREDITO")+SUMIFS(df_extratos!I:I,df_extratos!F:F,Conciliacao!BF295,df_extratos!G:G,"CREDITO")+SUMIFS(df_extratos!I:I,df_extratos!F:F,Conciliacao!BG295,df_extratos!G:G,"CREDITO")+SUMIFS(df_extratos!I:I,df_extratos!F:F,Conciliacao!BH295,df_extratos!G:G,"CREDITO")</f>
        <v/>
      </c>
      <c r="I295" s="9">
        <f>H295-SUM(B295:G295)</f>
        <v/>
      </c>
      <c r="J295" s="4">
        <f>SUMIFS(df_blueme_sem_parcelamento!E:E,df_blueme_sem_parcelamento!H:H,Conciliacao!A295)*(-1)</f>
        <v/>
      </c>
      <c r="K295" s="4">
        <f>SUMIFS(df_blueme_com_parcelamento!J:J,df_blueme_com_parcelamento!M:M,Conciliacao!A295)*(-1)</f>
        <v/>
      </c>
      <c r="L295" s="4">
        <f>SUMIFS(df_mutuos!N:N,df_mutuos!B:B,Conciliacao!A295)*(-1)</f>
        <v/>
      </c>
      <c r="M295" s="8">
        <f>SUMIFS(df_bloqueios_judiciais!G:G,df_bloqueios_judiciais!D:D,Conciliacao!A295,df_bloqueios_judiciais!G:G,"&lt;0")</f>
        <v/>
      </c>
      <c r="N295" s="10">
        <f>SUMIFS(df_extratos!I:I,df_extratos!F:F,Conciliacao!BE295,df_extratos!G:G,"DEBITO")+SUMIFS(df_extratos!I:I,df_extratos!F:F,Conciliacao!A295,df_extratos!G:G,"DEBITO")+SUMIFS(df_extratos!I:I,df_extratos!F:F,Conciliacao!BF295,df_extratos!G:G,"DEBITO")+SUMIFS(df_extratos!I:I,df_extratos!F:F,Conciliacao!BG295,df_extratos!G:G,"DEBITO")+SUMIFS(df_extratos!I:I,df_extratos!F:F,Conciliacao!BH295,df_extratos!G:G,"DEBITO")</f>
        <v/>
      </c>
      <c r="O295" s="11">
        <f>N295-SUM(J295:M295)</f>
        <v/>
      </c>
      <c r="P295" s="25">
        <f>SUMIFS(df_ajustes_conciliaco!D:D,df_ajustes_conciliaco!C:C,Conciliacao!A295)</f>
        <v/>
      </c>
      <c r="Q295" s="22">
        <f>O295+I295-P295</f>
        <v/>
      </c>
      <c r="BE295" s="20" t="n">
        <v>45951.5</v>
      </c>
      <c r="BF295" s="20" t="n">
        <v>45951.125</v>
      </c>
      <c r="BG295" s="20" t="n">
        <v>45951.54166666666</v>
      </c>
      <c r="BH295" s="20" t="n">
        <v>45951.625</v>
      </c>
    </row>
    <row r="296">
      <c r="A296" s="5">
        <f>A295+1</f>
        <v/>
      </c>
      <c r="B296" s="3">
        <f>-SUMIFS(df_extrato_zig!G:G,df_extrato_zig!E:E,Conciliacao!A296,df_extrato_zig!D:D,"Saque")-SUMIFS(df_extrato_zig!G:G,df_extrato_zig!E:E,Conciliacao!A296,df_extrato_zig!D:D,"Antecipação")</f>
        <v/>
      </c>
      <c r="C296" s="3">
        <f>SUMIFS(df_extrato_zig!E:E,df_extrato_zig!L:L,Conciliacao!A296,df_extrato_zig!F:F,"DINHEIRO")</f>
        <v/>
      </c>
      <c r="D296" s="3">
        <f>SUMIFS(view_parc_agrup!H:H,view_parc_agrup!G:G,Conciliacao!A296)</f>
        <v/>
      </c>
      <c r="E296" s="3">
        <f>SUMIFS(df_eventos!F:F,df_eventos!H:H,Conciliacao!A296)</f>
        <v/>
      </c>
      <c r="F296" s="3">
        <f>SUMIFS(df_mutuos!M:M,df_mutuos!B:B,Conciliacao!A296)</f>
        <v/>
      </c>
      <c r="G296" s="6">
        <f>SUMIFS(df_bloqueios_judiciais!G:G,df_bloqueios_judiciais!D:D,Conciliacao!A296,df_bloqueios_judiciais!G:G,"&gt;0")</f>
        <v/>
      </c>
      <c r="H296" s="7">
        <f>SUMIFS(df_extratos!I:I,df_extratos!F:F,Conciliacao!BE296,df_extratos!G:G,"CREDITO")+SUMIFS(df_extratos!I:I,df_extratos!F:F,Conciliacao!A296,df_extratos!G:G,"CREDITO")+SUMIFS(df_extratos!I:I,df_extratos!F:F,Conciliacao!BF296,df_extratos!G:G,"CREDITO")+SUMIFS(df_extratos!I:I,df_extratos!F:F,Conciliacao!BG296,df_extratos!G:G,"CREDITO")+SUMIFS(df_extratos!I:I,df_extratos!F:F,Conciliacao!BH296,df_extratos!G:G,"CREDITO")</f>
        <v/>
      </c>
      <c r="I296" s="9">
        <f>H296-SUM(B296:G296)</f>
        <v/>
      </c>
      <c r="J296" s="4">
        <f>SUMIFS(df_blueme_sem_parcelamento!E:E,df_blueme_sem_parcelamento!H:H,Conciliacao!A296)*(-1)</f>
        <v/>
      </c>
      <c r="K296" s="4">
        <f>SUMIFS(df_blueme_com_parcelamento!J:J,df_blueme_com_parcelamento!M:M,Conciliacao!A296)*(-1)</f>
        <v/>
      </c>
      <c r="L296" s="4">
        <f>SUMIFS(df_mutuos!N:N,df_mutuos!B:B,Conciliacao!A296)*(-1)</f>
        <v/>
      </c>
      <c r="M296" s="8">
        <f>SUMIFS(df_bloqueios_judiciais!G:G,df_bloqueios_judiciais!D:D,Conciliacao!A296,df_bloqueios_judiciais!G:G,"&lt;0")</f>
        <v/>
      </c>
      <c r="N296" s="10">
        <f>SUMIFS(df_extratos!I:I,df_extratos!F:F,Conciliacao!BE296,df_extratos!G:G,"DEBITO")+SUMIFS(df_extratos!I:I,df_extratos!F:F,Conciliacao!A296,df_extratos!G:G,"DEBITO")+SUMIFS(df_extratos!I:I,df_extratos!F:F,Conciliacao!BF296,df_extratos!G:G,"DEBITO")+SUMIFS(df_extratos!I:I,df_extratos!F:F,Conciliacao!BG296,df_extratos!G:G,"DEBITO")+SUMIFS(df_extratos!I:I,df_extratos!F:F,Conciliacao!BH296,df_extratos!G:G,"DEBITO")</f>
        <v/>
      </c>
      <c r="O296" s="11">
        <f>N296-SUM(J296:M296)</f>
        <v/>
      </c>
      <c r="P296" s="25">
        <f>SUMIFS(df_ajustes_conciliaco!D:D,df_ajustes_conciliaco!C:C,Conciliacao!A296)</f>
        <v/>
      </c>
      <c r="Q296" s="22">
        <f>O296+I296-P296</f>
        <v/>
      </c>
      <c r="BE296" s="20" t="n">
        <v>45952.5</v>
      </c>
      <c r="BF296" s="20" t="n">
        <v>45952.125</v>
      </c>
      <c r="BG296" s="20" t="n">
        <v>45952.54166666666</v>
      </c>
      <c r="BH296" s="20" t="n">
        <v>45952.625</v>
      </c>
    </row>
    <row r="297">
      <c r="A297" s="5">
        <f>A296+1</f>
        <v/>
      </c>
      <c r="B297" s="3">
        <f>-SUMIFS(df_extrato_zig!G:G,df_extrato_zig!E:E,Conciliacao!A297,df_extrato_zig!D:D,"Saque")-SUMIFS(df_extrato_zig!G:G,df_extrato_zig!E:E,Conciliacao!A297,df_extrato_zig!D:D,"Antecipação")</f>
        <v/>
      </c>
      <c r="C297" s="3">
        <f>SUMIFS(df_extrato_zig!E:E,df_extrato_zig!L:L,Conciliacao!A297,df_extrato_zig!F:F,"DINHEIRO")</f>
        <v/>
      </c>
      <c r="D297" s="3">
        <f>SUMIFS(view_parc_agrup!H:H,view_parc_agrup!G:G,Conciliacao!A297)</f>
        <v/>
      </c>
      <c r="E297" s="3">
        <f>SUMIFS(df_eventos!F:F,df_eventos!H:H,Conciliacao!A297)</f>
        <v/>
      </c>
      <c r="F297" s="3">
        <f>SUMIFS(df_mutuos!M:M,df_mutuos!B:B,Conciliacao!A297)</f>
        <v/>
      </c>
      <c r="G297" s="6">
        <f>SUMIFS(df_bloqueios_judiciais!G:G,df_bloqueios_judiciais!D:D,Conciliacao!A297,df_bloqueios_judiciais!G:G,"&gt;0")</f>
        <v/>
      </c>
      <c r="H297" s="7">
        <f>SUMIFS(df_extratos!I:I,df_extratos!F:F,Conciliacao!BE297,df_extratos!G:G,"CREDITO")+SUMIFS(df_extratos!I:I,df_extratos!F:F,Conciliacao!A297,df_extratos!G:G,"CREDITO")+SUMIFS(df_extratos!I:I,df_extratos!F:F,Conciliacao!BF297,df_extratos!G:G,"CREDITO")+SUMIFS(df_extratos!I:I,df_extratos!F:F,Conciliacao!BG297,df_extratos!G:G,"CREDITO")+SUMIFS(df_extratos!I:I,df_extratos!F:F,Conciliacao!BH297,df_extratos!G:G,"CREDITO")</f>
        <v/>
      </c>
      <c r="I297" s="9">
        <f>H297-SUM(B297:G297)</f>
        <v/>
      </c>
      <c r="J297" s="4">
        <f>SUMIFS(df_blueme_sem_parcelamento!E:E,df_blueme_sem_parcelamento!H:H,Conciliacao!A297)*(-1)</f>
        <v/>
      </c>
      <c r="K297" s="4">
        <f>SUMIFS(df_blueme_com_parcelamento!J:J,df_blueme_com_parcelamento!M:M,Conciliacao!A297)*(-1)</f>
        <v/>
      </c>
      <c r="L297" s="4">
        <f>SUMIFS(df_mutuos!N:N,df_mutuos!B:B,Conciliacao!A297)*(-1)</f>
        <v/>
      </c>
      <c r="M297" s="8">
        <f>SUMIFS(df_bloqueios_judiciais!G:G,df_bloqueios_judiciais!D:D,Conciliacao!A297,df_bloqueios_judiciais!G:G,"&lt;0")</f>
        <v/>
      </c>
      <c r="N297" s="10">
        <f>SUMIFS(df_extratos!I:I,df_extratos!F:F,Conciliacao!BE297,df_extratos!G:G,"DEBITO")+SUMIFS(df_extratos!I:I,df_extratos!F:F,Conciliacao!A297,df_extratos!G:G,"DEBITO")+SUMIFS(df_extratos!I:I,df_extratos!F:F,Conciliacao!BF297,df_extratos!G:G,"DEBITO")+SUMIFS(df_extratos!I:I,df_extratos!F:F,Conciliacao!BG297,df_extratos!G:G,"DEBITO")+SUMIFS(df_extratos!I:I,df_extratos!F:F,Conciliacao!BH297,df_extratos!G:G,"DEBITO")</f>
        <v/>
      </c>
      <c r="O297" s="11">
        <f>N297-SUM(J297:M297)</f>
        <v/>
      </c>
      <c r="P297" s="25">
        <f>SUMIFS(df_ajustes_conciliaco!D:D,df_ajustes_conciliaco!C:C,Conciliacao!A297)</f>
        <v/>
      </c>
      <c r="Q297" s="22">
        <f>O297+I297-P297</f>
        <v/>
      </c>
      <c r="BE297" s="20" t="n">
        <v>45953.5</v>
      </c>
      <c r="BF297" s="20" t="n">
        <v>45953.125</v>
      </c>
      <c r="BG297" s="20" t="n">
        <v>45953.54166666666</v>
      </c>
      <c r="BH297" s="20" t="n">
        <v>45953.625</v>
      </c>
    </row>
    <row r="298">
      <c r="A298" s="5">
        <f>A297+1</f>
        <v/>
      </c>
      <c r="B298" s="3">
        <f>-SUMIFS(df_extrato_zig!G:G,df_extrato_zig!E:E,Conciliacao!A298,df_extrato_zig!D:D,"Saque")-SUMIFS(df_extrato_zig!G:G,df_extrato_zig!E:E,Conciliacao!A298,df_extrato_zig!D:D,"Antecipação")</f>
        <v/>
      </c>
      <c r="C298" s="3">
        <f>SUMIFS(df_extrato_zig!E:E,df_extrato_zig!L:L,Conciliacao!A298,df_extrato_zig!F:F,"DINHEIRO")</f>
        <v/>
      </c>
      <c r="D298" s="3">
        <f>SUMIFS(view_parc_agrup!H:H,view_parc_agrup!G:G,Conciliacao!A298)</f>
        <v/>
      </c>
      <c r="E298" s="3">
        <f>SUMIFS(df_eventos!F:F,df_eventos!H:H,Conciliacao!A298)</f>
        <v/>
      </c>
      <c r="F298" s="3">
        <f>SUMIFS(df_mutuos!M:M,df_mutuos!B:B,Conciliacao!A298)</f>
        <v/>
      </c>
      <c r="G298" s="6">
        <f>SUMIFS(df_bloqueios_judiciais!G:G,df_bloqueios_judiciais!D:D,Conciliacao!A298,df_bloqueios_judiciais!G:G,"&gt;0")</f>
        <v/>
      </c>
      <c r="H298" s="7">
        <f>SUMIFS(df_extratos!I:I,df_extratos!F:F,Conciliacao!BE298,df_extratos!G:G,"CREDITO")+SUMIFS(df_extratos!I:I,df_extratos!F:F,Conciliacao!A298,df_extratos!G:G,"CREDITO")+SUMIFS(df_extratos!I:I,df_extratos!F:F,Conciliacao!BF298,df_extratos!G:G,"CREDITO")+SUMIFS(df_extratos!I:I,df_extratos!F:F,Conciliacao!BG298,df_extratos!G:G,"CREDITO")+SUMIFS(df_extratos!I:I,df_extratos!F:F,Conciliacao!BH298,df_extratos!G:G,"CREDITO")</f>
        <v/>
      </c>
      <c r="I298" s="9">
        <f>H298-SUM(B298:G298)</f>
        <v/>
      </c>
      <c r="J298" s="4">
        <f>SUMIFS(df_blueme_sem_parcelamento!E:E,df_blueme_sem_parcelamento!H:H,Conciliacao!A298)*(-1)</f>
        <v/>
      </c>
      <c r="K298" s="4">
        <f>SUMIFS(df_blueme_com_parcelamento!J:J,df_blueme_com_parcelamento!M:M,Conciliacao!A298)*(-1)</f>
        <v/>
      </c>
      <c r="L298" s="4">
        <f>SUMIFS(df_mutuos!N:N,df_mutuos!B:B,Conciliacao!A298)*(-1)</f>
        <v/>
      </c>
      <c r="M298" s="8">
        <f>SUMIFS(df_bloqueios_judiciais!G:G,df_bloqueios_judiciais!D:D,Conciliacao!A298,df_bloqueios_judiciais!G:G,"&lt;0")</f>
        <v/>
      </c>
      <c r="N298" s="10">
        <f>SUMIFS(df_extratos!I:I,df_extratos!F:F,Conciliacao!BE298,df_extratos!G:G,"DEBITO")+SUMIFS(df_extratos!I:I,df_extratos!F:F,Conciliacao!A298,df_extratos!G:G,"DEBITO")+SUMIFS(df_extratos!I:I,df_extratos!F:F,Conciliacao!BF298,df_extratos!G:G,"DEBITO")+SUMIFS(df_extratos!I:I,df_extratos!F:F,Conciliacao!BG298,df_extratos!G:G,"DEBITO")+SUMIFS(df_extratos!I:I,df_extratos!F:F,Conciliacao!BH298,df_extratos!G:G,"DEBITO")</f>
        <v/>
      </c>
      <c r="O298" s="11">
        <f>N298-SUM(J298:M298)</f>
        <v/>
      </c>
      <c r="P298" s="25">
        <f>SUMIFS(df_ajustes_conciliaco!D:D,df_ajustes_conciliaco!C:C,Conciliacao!A298)</f>
        <v/>
      </c>
      <c r="Q298" s="22">
        <f>O298+I298-P298</f>
        <v/>
      </c>
      <c r="BE298" s="20" t="n">
        <v>45954.5</v>
      </c>
      <c r="BF298" s="20" t="n">
        <v>45954.125</v>
      </c>
      <c r="BG298" s="20" t="n">
        <v>45954.54166666666</v>
      </c>
      <c r="BH298" s="20" t="n">
        <v>45954.625</v>
      </c>
    </row>
    <row r="299">
      <c r="A299" s="5">
        <f>A298+1</f>
        <v/>
      </c>
      <c r="B299" s="3">
        <f>-SUMIFS(df_extrato_zig!G:G,df_extrato_zig!E:E,Conciliacao!A299,df_extrato_zig!D:D,"Saque")-SUMIFS(df_extrato_zig!G:G,df_extrato_zig!E:E,Conciliacao!A299,df_extrato_zig!D:D,"Antecipação")</f>
        <v/>
      </c>
      <c r="C299" s="3">
        <f>SUMIFS(df_extrato_zig!E:E,df_extrato_zig!L:L,Conciliacao!A299,df_extrato_zig!F:F,"DINHEIRO")</f>
        <v/>
      </c>
      <c r="D299" s="3">
        <f>SUMIFS(view_parc_agrup!H:H,view_parc_agrup!G:G,Conciliacao!A299)</f>
        <v/>
      </c>
      <c r="E299" s="3">
        <f>SUMIFS(df_eventos!F:F,df_eventos!H:H,Conciliacao!A299)</f>
        <v/>
      </c>
      <c r="F299" s="3">
        <f>SUMIFS(df_mutuos!M:M,df_mutuos!B:B,Conciliacao!A299)</f>
        <v/>
      </c>
      <c r="G299" s="6">
        <f>SUMIFS(df_bloqueios_judiciais!G:G,df_bloqueios_judiciais!D:D,Conciliacao!A299,df_bloqueios_judiciais!G:G,"&gt;0")</f>
        <v/>
      </c>
      <c r="H299" s="7">
        <f>SUMIFS(df_extratos!I:I,df_extratos!F:F,Conciliacao!BE299,df_extratos!G:G,"CREDITO")+SUMIFS(df_extratos!I:I,df_extratos!F:F,Conciliacao!A299,df_extratos!G:G,"CREDITO")+SUMIFS(df_extratos!I:I,df_extratos!F:F,Conciliacao!BF299,df_extratos!G:G,"CREDITO")+SUMIFS(df_extratos!I:I,df_extratos!F:F,Conciliacao!BG299,df_extratos!G:G,"CREDITO")+SUMIFS(df_extratos!I:I,df_extratos!F:F,Conciliacao!BH299,df_extratos!G:G,"CREDITO")</f>
        <v/>
      </c>
      <c r="I299" s="9">
        <f>H299-SUM(B299:G299)</f>
        <v/>
      </c>
      <c r="J299" s="4">
        <f>SUMIFS(df_blueme_sem_parcelamento!E:E,df_blueme_sem_parcelamento!H:H,Conciliacao!A299)*(-1)</f>
        <v/>
      </c>
      <c r="K299" s="4">
        <f>SUMIFS(df_blueme_com_parcelamento!J:J,df_blueme_com_parcelamento!M:M,Conciliacao!A299)*(-1)</f>
        <v/>
      </c>
      <c r="L299" s="4">
        <f>SUMIFS(df_mutuos!N:N,df_mutuos!B:B,Conciliacao!A299)*(-1)</f>
        <v/>
      </c>
      <c r="M299" s="8">
        <f>SUMIFS(df_bloqueios_judiciais!G:G,df_bloqueios_judiciais!D:D,Conciliacao!A299,df_bloqueios_judiciais!G:G,"&lt;0")</f>
        <v/>
      </c>
      <c r="N299" s="10">
        <f>SUMIFS(df_extratos!I:I,df_extratos!F:F,Conciliacao!BE299,df_extratos!G:G,"DEBITO")+SUMIFS(df_extratos!I:I,df_extratos!F:F,Conciliacao!A299,df_extratos!G:G,"DEBITO")+SUMIFS(df_extratos!I:I,df_extratos!F:F,Conciliacao!BF299,df_extratos!G:G,"DEBITO")+SUMIFS(df_extratos!I:I,df_extratos!F:F,Conciliacao!BG299,df_extratos!G:G,"DEBITO")+SUMIFS(df_extratos!I:I,df_extratos!F:F,Conciliacao!BH299,df_extratos!G:G,"DEBITO")</f>
        <v/>
      </c>
      <c r="O299" s="11">
        <f>N299-SUM(J299:M299)</f>
        <v/>
      </c>
      <c r="P299" s="25">
        <f>SUMIFS(df_ajustes_conciliaco!D:D,df_ajustes_conciliaco!C:C,Conciliacao!A299)</f>
        <v/>
      </c>
      <c r="Q299" s="22">
        <f>O299+I299-P299</f>
        <v/>
      </c>
      <c r="BE299" s="20" t="n">
        <v>45955.5</v>
      </c>
      <c r="BF299" s="20" t="n">
        <v>45955.125</v>
      </c>
      <c r="BG299" s="20" t="n">
        <v>45955.54166666666</v>
      </c>
      <c r="BH299" s="20" t="n">
        <v>45955.625</v>
      </c>
    </row>
    <row r="300">
      <c r="A300" s="5">
        <f>A299+1</f>
        <v/>
      </c>
      <c r="B300" s="3">
        <f>-SUMIFS(df_extrato_zig!G:G,df_extrato_zig!E:E,Conciliacao!A300,df_extrato_zig!D:D,"Saque")-SUMIFS(df_extrato_zig!G:G,df_extrato_zig!E:E,Conciliacao!A300,df_extrato_zig!D:D,"Antecipação")</f>
        <v/>
      </c>
      <c r="C300" s="3">
        <f>SUMIFS(df_extrato_zig!E:E,df_extrato_zig!L:L,Conciliacao!A300,df_extrato_zig!F:F,"DINHEIRO")</f>
        <v/>
      </c>
      <c r="D300" s="3">
        <f>SUMIFS(view_parc_agrup!H:H,view_parc_agrup!G:G,Conciliacao!A300)</f>
        <v/>
      </c>
      <c r="E300" s="3">
        <f>SUMIFS(df_eventos!F:F,df_eventos!H:H,Conciliacao!A300)</f>
        <v/>
      </c>
      <c r="F300" s="3">
        <f>SUMIFS(df_mutuos!M:M,df_mutuos!B:B,Conciliacao!A300)</f>
        <v/>
      </c>
      <c r="G300" s="6">
        <f>SUMIFS(df_bloqueios_judiciais!G:G,df_bloqueios_judiciais!D:D,Conciliacao!A300,df_bloqueios_judiciais!G:G,"&gt;0")</f>
        <v/>
      </c>
      <c r="H300" s="7">
        <f>SUMIFS(df_extratos!I:I,df_extratos!F:F,Conciliacao!BE300,df_extratos!G:G,"CREDITO")+SUMIFS(df_extratos!I:I,df_extratos!F:F,Conciliacao!A300,df_extratos!G:G,"CREDITO")+SUMIFS(df_extratos!I:I,df_extratos!F:F,Conciliacao!BF300,df_extratos!G:G,"CREDITO")+SUMIFS(df_extratos!I:I,df_extratos!F:F,Conciliacao!BG300,df_extratos!G:G,"CREDITO")+SUMIFS(df_extratos!I:I,df_extratos!F:F,Conciliacao!BH300,df_extratos!G:G,"CREDITO")</f>
        <v/>
      </c>
      <c r="I300" s="9">
        <f>H300-SUM(B300:G300)</f>
        <v/>
      </c>
      <c r="J300" s="4">
        <f>SUMIFS(df_blueme_sem_parcelamento!E:E,df_blueme_sem_parcelamento!H:H,Conciliacao!A300)*(-1)</f>
        <v/>
      </c>
      <c r="K300" s="4">
        <f>SUMIFS(df_blueme_com_parcelamento!J:J,df_blueme_com_parcelamento!M:M,Conciliacao!A300)*(-1)</f>
        <v/>
      </c>
      <c r="L300" s="4">
        <f>SUMIFS(df_mutuos!N:N,df_mutuos!B:B,Conciliacao!A300)*(-1)</f>
        <v/>
      </c>
      <c r="M300" s="8">
        <f>SUMIFS(df_bloqueios_judiciais!G:G,df_bloqueios_judiciais!D:D,Conciliacao!A300,df_bloqueios_judiciais!G:G,"&lt;0")</f>
        <v/>
      </c>
      <c r="N300" s="10">
        <f>SUMIFS(df_extratos!I:I,df_extratos!F:F,Conciliacao!BE300,df_extratos!G:G,"DEBITO")+SUMIFS(df_extratos!I:I,df_extratos!F:F,Conciliacao!A300,df_extratos!G:G,"DEBITO")+SUMIFS(df_extratos!I:I,df_extratos!F:F,Conciliacao!BF300,df_extratos!G:G,"DEBITO")+SUMIFS(df_extratos!I:I,df_extratos!F:F,Conciliacao!BG300,df_extratos!G:G,"DEBITO")+SUMIFS(df_extratos!I:I,df_extratos!F:F,Conciliacao!BH300,df_extratos!G:G,"DEBITO")</f>
        <v/>
      </c>
      <c r="O300" s="11">
        <f>N300-SUM(J300:M300)</f>
        <v/>
      </c>
      <c r="P300" s="25">
        <f>SUMIFS(df_ajustes_conciliaco!D:D,df_ajustes_conciliaco!C:C,Conciliacao!A300)</f>
        <v/>
      </c>
      <c r="Q300" s="22">
        <f>O300+I300-P300</f>
        <v/>
      </c>
      <c r="BE300" s="20" t="n">
        <v>45956.5</v>
      </c>
      <c r="BF300" s="20" t="n">
        <v>45956.125</v>
      </c>
      <c r="BG300" s="20" t="n">
        <v>45956.54166666666</v>
      </c>
      <c r="BH300" s="20" t="n">
        <v>45956.625</v>
      </c>
    </row>
    <row r="301">
      <c r="A301" s="5">
        <f>A300+1</f>
        <v/>
      </c>
      <c r="B301" s="3">
        <f>-SUMIFS(df_extrato_zig!G:G,df_extrato_zig!E:E,Conciliacao!A301,df_extrato_zig!D:D,"Saque")-SUMIFS(df_extrato_zig!G:G,df_extrato_zig!E:E,Conciliacao!A301,df_extrato_zig!D:D,"Antecipação")</f>
        <v/>
      </c>
      <c r="C301" s="3">
        <f>SUMIFS(df_extrato_zig!E:E,df_extrato_zig!L:L,Conciliacao!A301,df_extrato_zig!F:F,"DINHEIRO")</f>
        <v/>
      </c>
      <c r="D301" s="3">
        <f>SUMIFS(view_parc_agrup!H:H,view_parc_agrup!G:G,Conciliacao!A301)</f>
        <v/>
      </c>
      <c r="E301" s="3">
        <f>SUMIFS(df_eventos!F:F,df_eventos!H:H,Conciliacao!A301)</f>
        <v/>
      </c>
      <c r="F301" s="3">
        <f>SUMIFS(df_mutuos!M:M,df_mutuos!B:B,Conciliacao!A301)</f>
        <v/>
      </c>
      <c r="G301" s="6">
        <f>SUMIFS(df_bloqueios_judiciais!G:G,df_bloqueios_judiciais!D:D,Conciliacao!A301,df_bloqueios_judiciais!G:G,"&gt;0")</f>
        <v/>
      </c>
      <c r="H301" s="7">
        <f>SUMIFS(df_extratos!I:I,df_extratos!F:F,Conciliacao!BE301,df_extratos!G:G,"CREDITO")+SUMIFS(df_extratos!I:I,df_extratos!F:F,Conciliacao!A301,df_extratos!G:G,"CREDITO")+SUMIFS(df_extratos!I:I,df_extratos!F:F,Conciliacao!BF301,df_extratos!G:G,"CREDITO")+SUMIFS(df_extratos!I:I,df_extratos!F:F,Conciliacao!BG301,df_extratos!G:G,"CREDITO")+SUMIFS(df_extratos!I:I,df_extratos!F:F,Conciliacao!BH301,df_extratos!G:G,"CREDITO")</f>
        <v/>
      </c>
      <c r="I301" s="9">
        <f>H301-SUM(B301:G301)</f>
        <v/>
      </c>
      <c r="J301" s="4">
        <f>SUMIFS(df_blueme_sem_parcelamento!E:E,df_blueme_sem_parcelamento!H:H,Conciliacao!A301)*(-1)</f>
        <v/>
      </c>
      <c r="K301" s="4">
        <f>SUMIFS(df_blueme_com_parcelamento!J:J,df_blueme_com_parcelamento!M:M,Conciliacao!A301)*(-1)</f>
        <v/>
      </c>
      <c r="L301" s="4">
        <f>SUMIFS(df_mutuos!N:N,df_mutuos!B:B,Conciliacao!A301)*(-1)</f>
        <v/>
      </c>
      <c r="M301" s="8">
        <f>SUMIFS(df_bloqueios_judiciais!G:G,df_bloqueios_judiciais!D:D,Conciliacao!A301,df_bloqueios_judiciais!G:G,"&lt;0")</f>
        <v/>
      </c>
      <c r="N301" s="10">
        <f>SUMIFS(df_extratos!I:I,df_extratos!F:F,Conciliacao!BE301,df_extratos!G:G,"DEBITO")+SUMIFS(df_extratos!I:I,df_extratos!F:F,Conciliacao!A301,df_extratos!G:G,"DEBITO")+SUMIFS(df_extratos!I:I,df_extratos!F:F,Conciliacao!BF301,df_extratos!G:G,"DEBITO")+SUMIFS(df_extratos!I:I,df_extratos!F:F,Conciliacao!BG301,df_extratos!G:G,"DEBITO")+SUMIFS(df_extratos!I:I,df_extratos!F:F,Conciliacao!BH301,df_extratos!G:G,"DEBITO")</f>
        <v/>
      </c>
      <c r="O301" s="11">
        <f>N301-SUM(J301:M301)</f>
        <v/>
      </c>
      <c r="P301" s="25">
        <f>SUMIFS(df_ajustes_conciliaco!D:D,df_ajustes_conciliaco!C:C,Conciliacao!A301)</f>
        <v/>
      </c>
      <c r="Q301" s="22">
        <f>O301+I301-P301</f>
        <v/>
      </c>
      <c r="BE301" s="20" t="n">
        <v>45957.5</v>
      </c>
      <c r="BF301" s="20" t="n">
        <v>45957.125</v>
      </c>
      <c r="BG301" s="20" t="n">
        <v>45957.54166666666</v>
      </c>
      <c r="BH301" s="20" t="n">
        <v>45957.625</v>
      </c>
    </row>
    <row r="302">
      <c r="A302" s="5">
        <f>A301+1</f>
        <v/>
      </c>
      <c r="B302" s="3">
        <f>-SUMIFS(df_extrato_zig!G:G,df_extrato_zig!E:E,Conciliacao!A302,df_extrato_zig!D:D,"Saque")-SUMIFS(df_extrato_zig!G:G,df_extrato_zig!E:E,Conciliacao!A302,df_extrato_zig!D:D,"Antecipação")</f>
        <v/>
      </c>
      <c r="C302" s="3">
        <f>SUMIFS(df_extrato_zig!E:E,df_extrato_zig!L:L,Conciliacao!A302,df_extrato_zig!F:F,"DINHEIRO")</f>
        <v/>
      </c>
      <c r="D302" s="3">
        <f>SUMIFS(view_parc_agrup!H:H,view_parc_agrup!G:G,Conciliacao!A302)</f>
        <v/>
      </c>
      <c r="E302" s="3">
        <f>SUMIFS(df_eventos!F:F,df_eventos!H:H,Conciliacao!A302)</f>
        <v/>
      </c>
      <c r="F302" s="3">
        <f>SUMIFS(df_mutuos!M:M,df_mutuos!B:B,Conciliacao!A302)</f>
        <v/>
      </c>
      <c r="G302" s="6">
        <f>SUMIFS(df_bloqueios_judiciais!G:G,df_bloqueios_judiciais!D:D,Conciliacao!A302,df_bloqueios_judiciais!G:G,"&gt;0")</f>
        <v/>
      </c>
      <c r="H302" s="7">
        <f>SUMIFS(df_extratos!I:I,df_extratos!F:F,Conciliacao!BE302,df_extratos!G:G,"CREDITO")+SUMIFS(df_extratos!I:I,df_extratos!F:F,Conciliacao!A302,df_extratos!G:G,"CREDITO")+SUMIFS(df_extratos!I:I,df_extratos!F:F,Conciliacao!BF302,df_extratos!G:G,"CREDITO")+SUMIFS(df_extratos!I:I,df_extratos!F:F,Conciliacao!BG302,df_extratos!G:G,"CREDITO")+SUMIFS(df_extratos!I:I,df_extratos!F:F,Conciliacao!BH302,df_extratos!G:G,"CREDITO")</f>
        <v/>
      </c>
      <c r="I302" s="9">
        <f>H302-SUM(B302:G302)</f>
        <v/>
      </c>
      <c r="J302" s="4">
        <f>SUMIFS(df_blueme_sem_parcelamento!E:E,df_blueme_sem_parcelamento!H:H,Conciliacao!A302)*(-1)</f>
        <v/>
      </c>
      <c r="K302" s="4">
        <f>SUMIFS(df_blueme_com_parcelamento!J:J,df_blueme_com_parcelamento!M:M,Conciliacao!A302)*(-1)</f>
        <v/>
      </c>
      <c r="L302" s="4">
        <f>SUMIFS(df_mutuos!N:N,df_mutuos!B:B,Conciliacao!A302)*(-1)</f>
        <v/>
      </c>
      <c r="M302" s="8">
        <f>SUMIFS(df_bloqueios_judiciais!G:G,df_bloqueios_judiciais!D:D,Conciliacao!A302,df_bloqueios_judiciais!G:G,"&lt;0")</f>
        <v/>
      </c>
      <c r="N302" s="10">
        <f>SUMIFS(df_extratos!I:I,df_extratos!F:F,Conciliacao!BE302,df_extratos!G:G,"DEBITO")+SUMIFS(df_extratos!I:I,df_extratos!F:F,Conciliacao!A302,df_extratos!G:G,"DEBITO")+SUMIFS(df_extratos!I:I,df_extratos!F:F,Conciliacao!BF302,df_extratos!G:G,"DEBITO")+SUMIFS(df_extratos!I:I,df_extratos!F:F,Conciliacao!BG302,df_extratos!G:G,"DEBITO")+SUMIFS(df_extratos!I:I,df_extratos!F:F,Conciliacao!BH302,df_extratos!G:G,"DEBITO")</f>
        <v/>
      </c>
      <c r="O302" s="11">
        <f>N302-SUM(J302:M302)</f>
        <v/>
      </c>
      <c r="P302" s="25">
        <f>SUMIFS(df_ajustes_conciliaco!D:D,df_ajustes_conciliaco!C:C,Conciliacao!A302)</f>
        <v/>
      </c>
      <c r="Q302" s="22">
        <f>O302+I302-P302</f>
        <v/>
      </c>
      <c r="BE302" s="20" t="n">
        <v>45958.5</v>
      </c>
      <c r="BF302" s="20" t="n">
        <v>45958.125</v>
      </c>
      <c r="BG302" s="20" t="n">
        <v>45958.54166666666</v>
      </c>
      <c r="BH302" s="20" t="n">
        <v>45958.625</v>
      </c>
    </row>
    <row r="303">
      <c r="A303" s="5">
        <f>A302+1</f>
        <v/>
      </c>
      <c r="B303" s="3">
        <f>-SUMIFS(df_extrato_zig!G:G,df_extrato_zig!E:E,Conciliacao!A303,df_extrato_zig!D:D,"Saque")-SUMIFS(df_extrato_zig!G:G,df_extrato_zig!E:E,Conciliacao!A303,df_extrato_zig!D:D,"Antecipação")</f>
        <v/>
      </c>
      <c r="C303" s="3">
        <f>SUMIFS(df_extrato_zig!E:E,df_extrato_zig!L:L,Conciliacao!A303,df_extrato_zig!F:F,"DINHEIRO")</f>
        <v/>
      </c>
      <c r="D303" s="3">
        <f>SUMIFS(view_parc_agrup!H:H,view_parc_agrup!G:G,Conciliacao!A303)</f>
        <v/>
      </c>
      <c r="E303" s="3">
        <f>SUMIFS(df_eventos!F:F,df_eventos!H:H,Conciliacao!A303)</f>
        <v/>
      </c>
      <c r="F303" s="3">
        <f>SUMIFS(df_mutuos!M:M,df_mutuos!B:B,Conciliacao!A303)</f>
        <v/>
      </c>
      <c r="G303" s="6">
        <f>SUMIFS(df_bloqueios_judiciais!G:G,df_bloqueios_judiciais!D:D,Conciliacao!A303,df_bloqueios_judiciais!G:G,"&gt;0")</f>
        <v/>
      </c>
      <c r="H303" s="7">
        <f>SUMIFS(df_extratos!I:I,df_extratos!F:F,Conciliacao!BE303,df_extratos!G:G,"CREDITO")+SUMIFS(df_extratos!I:I,df_extratos!F:F,Conciliacao!A303,df_extratos!G:G,"CREDITO")+SUMIFS(df_extratos!I:I,df_extratos!F:F,Conciliacao!BF303,df_extratos!G:G,"CREDITO")+SUMIFS(df_extratos!I:I,df_extratos!F:F,Conciliacao!BG303,df_extratos!G:G,"CREDITO")+SUMIFS(df_extratos!I:I,df_extratos!F:F,Conciliacao!BH303,df_extratos!G:G,"CREDITO")</f>
        <v/>
      </c>
      <c r="I303" s="9">
        <f>H303-SUM(B303:G303)</f>
        <v/>
      </c>
      <c r="J303" s="4">
        <f>SUMIFS(df_blueme_sem_parcelamento!E:E,df_blueme_sem_parcelamento!H:H,Conciliacao!A303)*(-1)</f>
        <v/>
      </c>
      <c r="K303" s="4">
        <f>SUMIFS(df_blueme_com_parcelamento!J:J,df_blueme_com_parcelamento!M:M,Conciliacao!A303)*(-1)</f>
        <v/>
      </c>
      <c r="L303" s="4">
        <f>SUMIFS(df_mutuos!N:N,df_mutuos!B:B,Conciliacao!A303)*(-1)</f>
        <v/>
      </c>
      <c r="M303" s="8">
        <f>SUMIFS(df_bloqueios_judiciais!G:G,df_bloqueios_judiciais!D:D,Conciliacao!A303,df_bloqueios_judiciais!G:G,"&lt;0")</f>
        <v/>
      </c>
      <c r="N303" s="10">
        <f>SUMIFS(df_extratos!I:I,df_extratos!F:F,Conciliacao!BE303,df_extratos!G:G,"DEBITO")+SUMIFS(df_extratos!I:I,df_extratos!F:F,Conciliacao!A303,df_extratos!G:G,"DEBITO")+SUMIFS(df_extratos!I:I,df_extratos!F:F,Conciliacao!BF303,df_extratos!G:G,"DEBITO")+SUMIFS(df_extratos!I:I,df_extratos!F:F,Conciliacao!BG303,df_extratos!G:G,"DEBITO")+SUMIFS(df_extratos!I:I,df_extratos!F:F,Conciliacao!BH303,df_extratos!G:G,"DEBITO")</f>
        <v/>
      </c>
      <c r="O303" s="11">
        <f>N303-SUM(J303:M303)</f>
        <v/>
      </c>
      <c r="P303" s="25">
        <f>SUMIFS(df_ajustes_conciliaco!D:D,df_ajustes_conciliaco!C:C,Conciliacao!A303)</f>
        <v/>
      </c>
      <c r="Q303" s="22">
        <f>O303+I303-P303</f>
        <v/>
      </c>
      <c r="BE303" s="20" t="n">
        <v>45959.5</v>
      </c>
      <c r="BF303" s="20" t="n">
        <v>45959.125</v>
      </c>
      <c r="BG303" s="20" t="n">
        <v>45959.54166666666</v>
      </c>
      <c r="BH303" s="20" t="n">
        <v>45959.625</v>
      </c>
    </row>
    <row r="304">
      <c r="A304" s="5">
        <f>A303+1</f>
        <v/>
      </c>
      <c r="B304" s="3">
        <f>-SUMIFS(df_extrato_zig!G:G,df_extrato_zig!E:E,Conciliacao!A304,df_extrato_zig!D:D,"Saque")-SUMIFS(df_extrato_zig!G:G,df_extrato_zig!E:E,Conciliacao!A304,df_extrato_zig!D:D,"Antecipação")</f>
        <v/>
      </c>
      <c r="C304" s="3">
        <f>SUMIFS(df_extrato_zig!E:E,df_extrato_zig!L:L,Conciliacao!A304,df_extrato_zig!F:F,"DINHEIRO")</f>
        <v/>
      </c>
      <c r="D304" s="3">
        <f>SUMIFS(view_parc_agrup!H:H,view_parc_agrup!G:G,Conciliacao!A304)</f>
        <v/>
      </c>
      <c r="E304" s="3">
        <f>SUMIFS(df_eventos!F:F,df_eventos!H:H,Conciliacao!A304)</f>
        <v/>
      </c>
      <c r="F304" s="3">
        <f>SUMIFS(df_mutuos!M:M,df_mutuos!B:B,Conciliacao!A304)</f>
        <v/>
      </c>
      <c r="G304" s="6">
        <f>SUMIFS(df_bloqueios_judiciais!G:G,df_bloqueios_judiciais!D:D,Conciliacao!A304,df_bloqueios_judiciais!G:G,"&gt;0")</f>
        <v/>
      </c>
      <c r="H304" s="7">
        <f>SUMIFS(df_extratos!I:I,df_extratos!F:F,Conciliacao!BE304,df_extratos!G:G,"CREDITO")+SUMIFS(df_extratos!I:I,df_extratos!F:F,Conciliacao!A304,df_extratos!G:G,"CREDITO")+SUMIFS(df_extratos!I:I,df_extratos!F:F,Conciliacao!BF304,df_extratos!G:G,"CREDITO")+SUMIFS(df_extratos!I:I,df_extratos!F:F,Conciliacao!BG304,df_extratos!G:G,"CREDITO")+SUMIFS(df_extratos!I:I,df_extratos!F:F,Conciliacao!BH304,df_extratos!G:G,"CREDITO")</f>
        <v/>
      </c>
      <c r="I304" s="9">
        <f>H304-SUM(B304:G304)</f>
        <v/>
      </c>
      <c r="J304" s="4">
        <f>SUMIFS(df_blueme_sem_parcelamento!E:E,df_blueme_sem_parcelamento!H:H,Conciliacao!A304)*(-1)</f>
        <v/>
      </c>
      <c r="K304" s="4">
        <f>SUMIFS(df_blueme_com_parcelamento!J:J,df_blueme_com_parcelamento!M:M,Conciliacao!A304)*(-1)</f>
        <v/>
      </c>
      <c r="L304" s="4">
        <f>SUMIFS(df_mutuos!N:N,df_mutuos!B:B,Conciliacao!A304)*(-1)</f>
        <v/>
      </c>
      <c r="M304" s="8">
        <f>SUMIFS(df_bloqueios_judiciais!G:G,df_bloqueios_judiciais!D:D,Conciliacao!A304,df_bloqueios_judiciais!G:G,"&lt;0")</f>
        <v/>
      </c>
      <c r="N304" s="10">
        <f>SUMIFS(df_extratos!I:I,df_extratos!F:F,Conciliacao!BE304,df_extratos!G:G,"DEBITO")+SUMIFS(df_extratos!I:I,df_extratos!F:F,Conciliacao!A304,df_extratos!G:G,"DEBITO")+SUMIFS(df_extratos!I:I,df_extratos!F:F,Conciliacao!BF304,df_extratos!G:G,"DEBITO")+SUMIFS(df_extratos!I:I,df_extratos!F:F,Conciliacao!BG304,df_extratos!G:G,"DEBITO")+SUMIFS(df_extratos!I:I,df_extratos!F:F,Conciliacao!BH304,df_extratos!G:G,"DEBITO")</f>
        <v/>
      </c>
      <c r="O304" s="11">
        <f>N304-SUM(J304:M304)</f>
        <v/>
      </c>
      <c r="P304" s="25">
        <f>SUMIFS(df_ajustes_conciliaco!D:D,df_ajustes_conciliaco!C:C,Conciliacao!A304)</f>
        <v/>
      </c>
      <c r="Q304" s="22">
        <f>O304+I304-P304</f>
        <v/>
      </c>
      <c r="BE304" s="20" t="n">
        <v>45960.5</v>
      </c>
      <c r="BF304" s="20" t="n">
        <v>45960.125</v>
      </c>
      <c r="BG304" s="20" t="n">
        <v>45960.54166666666</v>
      </c>
      <c r="BH304" s="20" t="n">
        <v>45960.625</v>
      </c>
    </row>
    <row r="305">
      <c r="A305" s="5">
        <f>A304+1</f>
        <v/>
      </c>
      <c r="B305" s="3">
        <f>-SUMIFS(df_extrato_zig!G:G,df_extrato_zig!E:E,Conciliacao!A305,df_extrato_zig!D:D,"Saque")-SUMIFS(df_extrato_zig!G:G,df_extrato_zig!E:E,Conciliacao!A305,df_extrato_zig!D:D,"Antecipação")</f>
        <v/>
      </c>
      <c r="C305" s="3">
        <f>SUMIFS(df_extrato_zig!E:E,df_extrato_zig!L:L,Conciliacao!A305,df_extrato_zig!F:F,"DINHEIRO")</f>
        <v/>
      </c>
      <c r="D305" s="3">
        <f>SUMIFS(view_parc_agrup!H:H,view_parc_agrup!G:G,Conciliacao!A305)</f>
        <v/>
      </c>
      <c r="E305" s="3">
        <f>SUMIFS(df_eventos!F:F,df_eventos!H:H,Conciliacao!A305)</f>
        <v/>
      </c>
      <c r="F305" s="3">
        <f>SUMIFS(df_mutuos!M:M,df_mutuos!B:B,Conciliacao!A305)</f>
        <v/>
      </c>
      <c r="G305" s="6">
        <f>SUMIFS(df_bloqueios_judiciais!G:G,df_bloqueios_judiciais!D:D,Conciliacao!A305,df_bloqueios_judiciais!G:G,"&gt;0")</f>
        <v/>
      </c>
      <c r="H305" s="7">
        <f>SUMIFS(df_extratos!I:I,df_extratos!F:F,Conciliacao!BE305,df_extratos!G:G,"CREDITO")+SUMIFS(df_extratos!I:I,df_extratos!F:F,Conciliacao!A305,df_extratos!G:G,"CREDITO")+SUMIFS(df_extratos!I:I,df_extratos!F:F,Conciliacao!BF305,df_extratos!G:G,"CREDITO")+SUMIFS(df_extratos!I:I,df_extratos!F:F,Conciliacao!BG305,df_extratos!G:G,"CREDITO")+SUMIFS(df_extratos!I:I,df_extratos!F:F,Conciliacao!BH305,df_extratos!G:G,"CREDITO")</f>
        <v/>
      </c>
      <c r="I305" s="9">
        <f>H305-SUM(B305:G305)</f>
        <v/>
      </c>
      <c r="J305" s="4">
        <f>SUMIFS(df_blueme_sem_parcelamento!E:E,df_blueme_sem_parcelamento!H:H,Conciliacao!A305)*(-1)</f>
        <v/>
      </c>
      <c r="K305" s="4">
        <f>SUMIFS(df_blueme_com_parcelamento!J:J,df_blueme_com_parcelamento!M:M,Conciliacao!A305)*(-1)</f>
        <v/>
      </c>
      <c r="L305" s="4">
        <f>SUMIFS(df_mutuos!N:N,df_mutuos!B:B,Conciliacao!A305)*(-1)</f>
        <v/>
      </c>
      <c r="M305" s="8">
        <f>SUMIFS(df_bloqueios_judiciais!G:G,df_bloqueios_judiciais!D:D,Conciliacao!A305,df_bloqueios_judiciais!G:G,"&lt;0")</f>
        <v/>
      </c>
      <c r="N305" s="10">
        <f>SUMIFS(df_extratos!I:I,df_extratos!F:F,Conciliacao!BE305,df_extratos!G:G,"DEBITO")+SUMIFS(df_extratos!I:I,df_extratos!F:F,Conciliacao!A305,df_extratos!G:G,"DEBITO")+SUMIFS(df_extratos!I:I,df_extratos!F:F,Conciliacao!BF305,df_extratos!G:G,"DEBITO")+SUMIFS(df_extratos!I:I,df_extratos!F:F,Conciliacao!BG305,df_extratos!G:G,"DEBITO")+SUMIFS(df_extratos!I:I,df_extratos!F:F,Conciliacao!BH305,df_extratos!G:G,"DEBITO")</f>
        <v/>
      </c>
      <c r="O305" s="11">
        <f>N305-SUM(J305:M305)</f>
        <v/>
      </c>
      <c r="P305" s="25">
        <f>SUMIFS(df_ajustes_conciliaco!D:D,df_ajustes_conciliaco!C:C,Conciliacao!A305)</f>
        <v/>
      </c>
      <c r="Q305" s="22">
        <f>O305+I305-P305</f>
        <v/>
      </c>
      <c r="BE305" s="20" t="n">
        <v>45961.5</v>
      </c>
      <c r="BF305" s="20" t="n">
        <v>45961.125</v>
      </c>
      <c r="BG305" s="20" t="n">
        <v>45961.54166666666</v>
      </c>
      <c r="BH305" s="20" t="n">
        <v>45961.625</v>
      </c>
    </row>
    <row r="306">
      <c r="A306" s="5">
        <f>A305+1</f>
        <v/>
      </c>
      <c r="B306" s="3">
        <f>-SUMIFS(df_extrato_zig!G:G,df_extrato_zig!E:E,Conciliacao!A306,df_extrato_zig!D:D,"Saque")-SUMIFS(df_extrato_zig!G:G,df_extrato_zig!E:E,Conciliacao!A306,df_extrato_zig!D:D,"Antecipação")</f>
        <v/>
      </c>
      <c r="C306" s="3">
        <f>SUMIFS(df_extrato_zig!E:E,df_extrato_zig!L:L,Conciliacao!A306,df_extrato_zig!F:F,"DINHEIRO")</f>
        <v/>
      </c>
      <c r="D306" s="3">
        <f>SUMIFS(view_parc_agrup!H:H,view_parc_agrup!G:G,Conciliacao!A306)</f>
        <v/>
      </c>
      <c r="E306" s="3">
        <f>SUMIFS(df_eventos!F:F,df_eventos!H:H,Conciliacao!A306)</f>
        <v/>
      </c>
      <c r="F306" s="3">
        <f>SUMIFS(df_mutuos!M:M,df_mutuos!B:B,Conciliacao!A306)</f>
        <v/>
      </c>
      <c r="G306" s="6">
        <f>SUMIFS(df_bloqueios_judiciais!G:G,df_bloqueios_judiciais!D:D,Conciliacao!A306,df_bloqueios_judiciais!G:G,"&gt;0")</f>
        <v/>
      </c>
      <c r="H306" s="7">
        <f>SUMIFS(df_extratos!I:I,df_extratos!F:F,Conciliacao!BE306,df_extratos!G:G,"CREDITO")+SUMIFS(df_extratos!I:I,df_extratos!F:F,Conciliacao!A306,df_extratos!G:G,"CREDITO")+SUMIFS(df_extratos!I:I,df_extratos!F:F,Conciliacao!BF306,df_extratos!G:G,"CREDITO")+SUMIFS(df_extratos!I:I,df_extratos!F:F,Conciliacao!BG306,df_extratos!G:G,"CREDITO")+SUMIFS(df_extratos!I:I,df_extratos!F:F,Conciliacao!BH306,df_extratos!G:G,"CREDITO")</f>
        <v/>
      </c>
      <c r="I306" s="9">
        <f>H306-SUM(B306:G306)</f>
        <v/>
      </c>
      <c r="J306" s="4">
        <f>SUMIFS(df_blueme_sem_parcelamento!E:E,df_blueme_sem_parcelamento!H:H,Conciliacao!A306)*(-1)</f>
        <v/>
      </c>
      <c r="K306" s="4">
        <f>SUMIFS(df_blueme_com_parcelamento!J:J,df_blueme_com_parcelamento!M:M,Conciliacao!A306)*(-1)</f>
        <v/>
      </c>
      <c r="L306" s="4">
        <f>SUMIFS(df_mutuos!N:N,df_mutuos!B:B,Conciliacao!A306)*(-1)</f>
        <v/>
      </c>
      <c r="M306" s="8">
        <f>SUMIFS(df_bloqueios_judiciais!G:G,df_bloqueios_judiciais!D:D,Conciliacao!A306,df_bloqueios_judiciais!G:G,"&lt;0")</f>
        <v/>
      </c>
      <c r="N306" s="10">
        <f>SUMIFS(df_extratos!I:I,df_extratos!F:F,Conciliacao!BE306,df_extratos!G:G,"DEBITO")+SUMIFS(df_extratos!I:I,df_extratos!F:F,Conciliacao!A306,df_extratos!G:G,"DEBITO")+SUMIFS(df_extratos!I:I,df_extratos!F:F,Conciliacao!BF306,df_extratos!G:G,"DEBITO")+SUMIFS(df_extratos!I:I,df_extratos!F:F,Conciliacao!BG306,df_extratos!G:G,"DEBITO")+SUMIFS(df_extratos!I:I,df_extratos!F:F,Conciliacao!BH306,df_extratos!G:G,"DEBITO")</f>
        <v/>
      </c>
      <c r="O306" s="11">
        <f>N306-SUM(J306:M306)</f>
        <v/>
      </c>
      <c r="P306" s="25">
        <f>SUMIFS(df_ajustes_conciliaco!D:D,df_ajustes_conciliaco!C:C,Conciliacao!A306)</f>
        <v/>
      </c>
      <c r="Q306" s="22">
        <f>O306+I306-P306</f>
        <v/>
      </c>
      <c r="BE306" s="20" t="n">
        <v>45962.5</v>
      </c>
      <c r="BF306" s="20" t="n">
        <v>45962.125</v>
      </c>
      <c r="BG306" s="20" t="n">
        <v>45962.54166666666</v>
      </c>
      <c r="BH306" s="20" t="n">
        <v>45962.625</v>
      </c>
    </row>
    <row r="307">
      <c r="A307" s="5">
        <f>A306+1</f>
        <v/>
      </c>
      <c r="B307" s="3">
        <f>-SUMIFS(df_extrato_zig!G:G,df_extrato_zig!E:E,Conciliacao!A307,df_extrato_zig!D:D,"Saque")-SUMIFS(df_extrato_zig!G:G,df_extrato_zig!E:E,Conciliacao!A307,df_extrato_zig!D:D,"Antecipação")</f>
        <v/>
      </c>
      <c r="C307" s="3">
        <f>SUMIFS(df_extrato_zig!E:E,df_extrato_zig!L:L,Conciliacao!A307,df_extrato_zig!F:F,"DINHEIRO")</f>
        <v/>
      </c>
      <c r="D307" s="3">
        <f>SUMIFS(view_parc_agrup!H:H,view_parc_agrup!G:G,Conciliacao!A307)</f>
        <v/>
      </c>
      <c r="E307" s="3">
        <f>SUMIFS(df_eventos!F:F,df_eventos!H:H,Conciliacao!A307)</f>
        <v/>
      </c>
      <c r="F307" s="3">
        <f>SUMIFS(df_mutuos!M:M,df_mutuos!B:B,Conciliacao!A307)</f>
        <v/>
      </c>
      <c r="G307" s="6">
        <f>SUMIFS(df_bloqueios_judiciais!G:G,df_bloqueios_judiciais!D:D,Conciliacao!A307,df_bloqueios_judiciais!G:G,"&gt;0")</f>
        <v/>
      </c>
      <c r="H307" s="7">
        <f>SUMIFS(df_extratos!I:I,df_extratos!F:F,Conciliacao!BE307,df_extratos!G:G,"CREDITO")+SUMIFS(df_extratos!I:I,df_extratos!F:F,Conciliacao!A307,df_extratos!G:G,"CREDITO")+SUMIFS(df_extratos!I:I,df_extratos!F:F,Conciliacao!BF307,df_extratos!G:G,"CREDITO")+SUMIFS(df_extratos!I:I,df_extratos!F:F,Conciliacao!BG307,df_extratos!G:G,"CREDITO")+SUMIFS(df_extratos!I:I,df_extratos!F:F,Conciliacao!BH307,df_extratos!G:G,"CREDITO")</f>
        <v/>
      </c>
      <c r="I307" s="9">
        <f>H307-SUM(B307:G307)</f>
        <v/>
      </c>
      <c r="J307" s="4">
        <f>SUMIFS(df_blueme_sem_parcelamento!E:E,df_blueme_sem_parcelamento!H:H,Conciliacao!A307)*(-1)</f>
        <v/>
      </c>
      <c r="K307" s="4">
        <f>SUMIFS(df_blueme_com_parcelamento!J:J,df_blueme_com_parcelamento!M:M,Conciliacao!A307)*(-1)</f>
        <v/>
      </c>
      <c r="L307" s="4">
        <f>SUMIFS(df_mutuos!N:N,df_mutuos!B:B,Conciliacao!A307)*(-1)</f>
        <v/>
      </c>
      <c r="M307" s="8">
        <f>SUMIFS(df_bloqueios_judiciais!G:G,df_bloqueios_judiciais!D:D,Conciliacao!A307,df_bloqueios_judiciais!G:G,"&lt;0")</f>
        <v/>
      </c>
      <c r="N307" s="10">
        <f>SUMIFS(df_extratos!I:I,df_extratos!F:F,Conciliacao!BE307,df_extratos!G:G,"DEBITO")+SUMIFS(df_extratos!I:I,df_extratos!F:F,Conciliacao!A307,df_extratos!G:G,"DEBITO")+SUMIFS(df_extratos!I:I,df_extratos!F:F,Conciliacao!BF307,df_extratos!G:G,"DEBITO")+SUMIFS(df_extratos!I:I,df_extratos!F:F,Conciliacao!BG307,df_extratos!G:G,"DEBITO")+SUMIFS(df_extratos!I:I,df_extratos!F:F,Conciliacao!BH307,df_extratos!G:G,"DEBITO")</f>
        <v/>
      </c>
      <c r="O307" s="11">
        <f>N307-SUM(J307:M307)</f>
        <v/>
      </c>
      <c r="P307" s="25">
        <f>SUMIFS(df_ajustes_conciliaco!D:D,df_ajustes_conciliaco!C:C,Conciliacao!A307)</f>
        <v/>
      </c>
      <c r="Q307" s="22">
        <f>O307+I307-P307</f>
        <v/>
      </c>
      <c r="BE307" s="20" t="n">
        <v>45963.5</v>
      </c>
      <c r="BF307" s="20" t="n">
        <v>45963.125</v>
      </c>
      <c r="BG307" s="20" t="n">
        <v>45963.54166666666</v>
      </c>
      <c r="BH307" s="20" t="n">
        <v>45963.625</v>
      </c>
    </row>
    <row r="308">
      <c r="A308" s="5">
        <f>A307+1</f>
        <v/>
      </c>
      <c r="B308" s="3">
        <f>-SUMIFS(df_extrato_zig!G:G,df_extrato_zig!E:E,Conciliacao!A308,df_extrato_zig!D:D,"Saque")-SUMIFS(df_extrato_zig!G:G,df_extrato_zig!E:E,Conciliacao!A308,df_extrato_zig!D:D,"Antecipação")</f>
        <v/>
      </c>
      <c r="C308" s="3">
        <f>SUMIFS(df_extrato_zig!E:E,df_extrato_zig!L:L,Conciliacao!A308,df_extrato_zig!F:F,"DINHEIRO")</f>
        <v/>
      </c>
      <c r="D308" s="3">
        <f>SUMIFS(view_parc_agrup!H:H,view_parc_agrup!G:G,Conciliacao!A308)</f>
        <v/>
      </c>
      <c r="E308" s="3">
        <f>SUMIFS(df_eventos!F:F,df_eventos!H:H,Conciliacao!A308)</f>
        <v/>
      </c>
      <c r="F308" s="3">
        <f>SUMIFS(df_mutuos!M:M,df_mutuos!B:B,Conciliacao!A308)</f>
        <v/>
      </c>
      <c r="G308" s="6">
        <f>SUMIFS(df_bloqueios_judiciais!G:G,df_bloqueios_judiciais!D:D,Conciliacao!A308,df_bloqueios_judiciais!G:G,"&gt;0")</f>
        <v/>
      </c>
      <c r="H308" s="7">
        <f>SUMIFS(df_extratos!I:I,df_extratos!F:F,Conciliacao!BE308,df_extratos!G:G,"CREDITO")+SUMIFS(df_extratos!I:I,df_extratos!F:F,Conciliacao!A308,df_extratos!G:G,"CREDITO")+SUMIFS(df_extratos!I:I,df_extratos!F:F,Conciliacao!BF308,df_extratos!G:G,"CREDITO")+SUMIFS(df_extratos!I:I,df_extratos!F:F,Conciliacao!BG308,df_extratos!G:G,"CREDITO")+SUMIFS(df_extratos!I:I,df_extratos!F:F,Conciliacao!BH308,df_extratos!G:G,"CREDITO")</f>
        <v/>
      </c>
      <c r="I308" s="9">
        <f>H308-SUM(B308:G308)</f>
        <v/>
      </c>
      <c r="J308" s="4">
        <f>SUMIFS(df_blueme_sem_parcelamento!E:E,df_blueme_sem_parcelamento!H:H,Conciliacao!A308)*(-1)</f>
        <v/>
      </c>
      <c r="K308" s="4">
        <f>SUMIFS(df_blueme_com_parcelamento!J:J,df_blueme_com_parcelamento!M:M,Conciliacao!A308)*(-1)</f>
        <v/>
      </c>
      <c r="L308" s="4">
        <f>SUMIFS(df_mutuos!N:N,df_mutuos!B:B,Conciliacao!A308)*(-1)</f>
        <v/>
      </c>
      <c r="M308" s="8">
        <f>SUMIFS(df_bloqueios_judiciais!G:G,df_bloqueios_judiciais!D:D,Conciliacao!A308,df_bloqueios_judiciais!G:G,"&lt;0")</f>
        <v/>
      </c>
      <c r="N308" s="10">
        <f>SUMIFS(df_extratos!I:I,df_extratos!F:F,Conciliacao!BE308,df_extratos!G:G,"DEBITO")+SUMIFS(df_extratos!I:I,df_extratos!F:F,Conciliacao!A308,df_extratos!G:G,"DEBITO")+SUMIFS(df_extratos!I:I,df_extratos!F:F,Conciliacao!BF308,df_extratos!G:G,"DEBITO")+SUMIFS(df_extratos!I:I,df_extratos!F:F,Conciliacao!BG308,df_extratos!G:G,"DEBITO")+SUMIFS(df_extratos!I:I,df_extratos!F:F,Conciliacao!BH308,df_extratos!G:G,"DEBITO")</f>
        <v/>
      </c>
      <c r="O308" s="11">
        <f>N308-SUM(J308:M308)</f>
        <v/>
      </c>
      <c r="P308" s="25">
        <f>SUMIFS(df_ajustes_conciliaco!D:D,df_ajustes_conciliaco!C:C,Conciliacao!A308)</f>
        <v/>
      </c>
      <c r="Q308" s="22">
        <f>O308+I308-P308</f>
        <v/>
      </c>
      <c r="BE308" s="20" t="n">
        <v>45964.5</v>
      </c>
      <c r="BF308" s="20" t="n">
        <v>45964.125</v>
      </c>
      <c r="BG308" s="20" t="n">
        <v>45964.54166666666</v>
      </c>
      <c r="BH308" s="20" t="n">
        <v>45964.625</v>
      </c>
    </row>
    <row r="309">
      <c r="A309" s="5">
        <f>A308+1</f>
        <v/>
      </c>
      <c r="B309" s="3">
        <f>-SUMIFS(df_extrato_zig!G:G,df_extrato_zig!E:E,Conciliacao!A309,df_extrato_zig!D:D,"Saque")-SUMIFS(df_extrato_zig!G:G,df_extrato_zig!E:E,Conciliacao!A309,df_extrato_zig!D:D,"Antecipação")</f>
        <v/>
      </c>
      <c r="C309" s="3">
        <f>SUMIFS(df_extrato_zig!E:E,df_extrato_zig!L:L,Conciliacao!A309,df_extrato_zig!F:F,"DINHEIRO")</f>
        <v/>
      </c>
      <c r="D309" s="3">
        <f>SUMIFS(view_parc_agrup!H:H,view_parc_agrup!G:G,Conciliacao!A309)</f>
        <v/>
      </c>
      <c r="E309" s="3">
        <f>SUMIFS(df_eventos!F:F,df_eventos!H:H,Conciliacao!A309)</f>
        <v/>
      </c>
      <c r="F309" s="3">
        <f>SUMIFS(df_mutuos!M:M,df_mutuos!B:B,Conciliacao!A309)</f>
        <v/>
      </c>
      <c r="G309" s="6">
        <f>SUMIFS(df_bloqueios_judiciais!G:G,df_bloqueios_judiciais!D:D,Conciliacao!A309,df_bloqueios_judiciais!G:G,"&gt;0")</f>
        <v/>
      </c>
      <c r="H309" s="7">
        <f>SUMIFS(df_extratos!I:I,df_extratos!F:F,Conciliacao!BE309,df_extratos!G:G,"CREDITO")+SUMIFS(df_extratos!I:I,df_extratos!F:F,Conciliacao!A309,df_extratos!G:G,"CREDITO")+SUMIFS(df_extratos!I:I,df_extratos!F:F,Conciliacao!BF309,df_extratos!G:G,"CREDITO")+SUMIFS(df_extratos!I:I,df_extratos!F:F,Conciliacao!BG309,df_extratos!G:G,"CREDITO")+SUMIFS(df_extratos!I:I,df_extratos!F:F,Conciliacao!BH309,df_extratos!G:G,"CREDITO")</f>
        <v/>
      </c>
      <c r="I309" s="9">
        <f>H309-SUM(B309:G309)</f>
        <v/>
      </c>
      <c r="J309" s="4">
        <f>SUMIFS(df_blueme_sem_parcelamento!E:E,df_blueme_sem_parcelamento!H:H,Conciliacao!A309)*(-1)</f>
        <v/>
      </c>
      <c r="K309" s="4">
        <f>SUMIFS(df_blueme_com_parcelamento!J:J,df_blueme_com_parcelamento!M:M,Conciliacao!A309)*(-1)</f>
        <v/>
      </c>
      <c r="L309" s="4">
        <f>SUMIFS(df_mutuos!N:N,df_mutuos!B:B,Conciliacao!A309)*(-1)</f>
        <v/>
      </c>
      <c r="M309" s="8">
        <f>SUMIFS(df_bloqueios_judiciais!G:G,df_bloqueios_judiciais!D:D,Conciliacao!A309,df_bloqueios_judiciais!G:G,"&lt;0")</f>
        <v/>
      </c>
      <c r="N309" s="10">
        <f>SUMIFS(df_extratos!I:I,df_extratos!F:F,Conciliacao!BE309,df_extratos!G:G,"DEBITO")+SUMIFS(df_extratos!I:I,df_extratos!F:F,Conciliacao!A309,df_extratos!G:G,"DEBITO")+SUMIFS(df_extratos!I:I,df_extratos!F:F,Conciliacao!BF309,df_extratos!G:G,"DEBITO")+SUMIFS(df_extratos!I:I,df_extratos!F:F,Conciliacao!BG309,df_extratos!G:G,"DEBITO")+SUMIFS(df_extratos!I:I,df_extratos!F:F,Conciliacao!BH309,df_extratos!G:G,"DEBITO")</f>
        <v/>
      </c>
      <c r="O309" s="11">
        <f>N309-SUM(J309:M309)</f>
        <v/>
      </c>
      <c r="P309" s="25">
        <f>SUMIFS(df_ajustes_conciliaco!D:D,df_ajustes_conciliaco!C:C,Conciliacao!A309)</f>
        <v/>
      </c>
      <c r="Q309" s="22">
        <f>O309+I309-P309</f>
        <v/>
      </c>
      <c r="BE309" s="20" t="n">
        <v>45965.5</v>
      </c>
      <c r="BF309" s="20" t="n">
        <v>45965.125</v>
      </c>
      <c r="BG309" s="20" t="n">
        <v>45965.54166666666</v>
      </c>
      <c r="BH309" s="20" t="n">
        <v>45965.625</v>
      </c>
    </row>
    <row r="310">
      <c r="A310" s="5">
        <f>A309+1</f>
        <v/>
      </c>
      <c r="B310" s="3">
        <f>-SUMIFS(df_extrato_zig!G:G,df_extrato_zig!E:E,Conciliacao!A310,df_extrato_zig!D:D,"Saque")-SUMIFS(df_extrato_zig!G:G,df_extrato_zig!E:E,Conciliacao!A310,df_extrato_zig!D:D,"Antecipação")</f>
        <v/>
      </c>
      <c r="C310" s="3">
        <f>SUMIFS(df_extrato_zig!E:E,df_extrato_zig!L:L,Conciliacao!A310,df_extrato_zig!F:F,"DINHEIRO")</f>
        <v/>
      </c>
      <c r="D310" s="3">
        <f>SUMIFS(view_parc_agrup!H:H,view_parc_agrup!G:G,Conciliacao!A310)</f>
        <v/>
      </c>
      <c r="E310" s="3">
        <f>SUMIFS(df_eventos!F:F,df_eventos!H:H,Conciliacao!A310)</f>
        <v/>
      </c>
      <c r="F310" s="3">
        <f>SUMIFS(df_mutuos!M:M,df_mutuos!B:B,Conciliacao!A310)</f>
        <v/>
      </c>
      <c r="G310" s="6">
        <f>SUMIFS(df_bloqueios_judiciais!G:G,df_bloqueios_judiciais!D:D,Conciliacao!A310,df_bloqueios_judiciais!G:G,"&gt;0")</f>
        <v/>
      </c>
      <c r="H310" s="7">
        <f>SUMIFS(df_extratos!I:I,df_extratos!F:F,Conciliacao!BE310,df_extratos!G:G,"CREDITO")+SUMIFS(df_extratos!I:I,df_extratos!F:F,Conciliacao!A310,df_extratos!G:G,"CREDITO")+SUMIFS(df_extratos!I:I,df_extratos!F:F,Conciliacao!BF310,df_extratos!G:G,"CREDITO")+SUMIFS(df_extratos!I:I,df_extratos!F:F,Conciliacao!BG310,df_extratos!G:G,"CREDITO")+SUMIFS(df_extratos!I:I,df_extratos!F:F,Conciliacao!BH310,df_extratos!G:G,"CREDITO")</f>
        <v/>
      </c>
      <c r="I310" s="9">
        <f>H310-SUM(B310:G310)</f>
        <v/>
      </c>
      <c r="J310" s="4">
        <f>SUMIFS(df_blueme_sem_parcelamento!E:E,df_blueme_sem_parcelamento!H:H,Conciliacao!A310)*(-1)</f>
        <v/>
      </c>
      <c r="K310" s="4">
        <f>SUMIFS(df_blueme_com_parcelamento!J:J,df_blueme_com_parcelamento!M:M,Conciliacao!A310)*(-1)</f>
        <v/>
      </c>
      <c r="L310" s="4">
        <f>SUMIFS(df_mutuos!N:N,df_mutuos!B:B,Conciliacao!A310)*(-1)</f>
        <v/>
      </c>
      <c r="M310" s="8">
        <f>SUMIFS(df_bloqueios_judiciais!G:G,df_bloqueios_judiciais!D:D,Conciliacao!A310,df_bloqueios_judiciais!G:G,"&lt;0")</f>
        <v/>
      </c>
      <c r="N310" s="10">
        <f>SUMIFS(df_extratos!I:I,df_extratos!F:F,Conciliacao!BE310,df_extratos!G:G,"DEBITO")+SUMIFS(df_extratos!I:I,df_extratos!F:F,Conciliacao!A310,df_extratos!G:G,"DEBITO")+SUMIFS(df_extratos!I:I,df_extratos!F:F,Conciliacao!BF310,df_extratos!G:G,"DEBITO")+SUMIFS(df_extratos!I:I,df_extratos!F:F,Conciliacao!BG310,df_extratos!G:G,"DEBITO")+SUMIFS(df_extratos!I:I,df_extratos!F:F,Conciliacao!BH310,df_extratos!G:G,"DEBITO")</f>
        <v/>
      </c>
      <c r="O310" s="11">
        <f>N310-SUM(J310:M310)</f>
        <v/>
      </c>
      <c r="P310" s="25">
        <f>SUMIFS(df_ajustes_conciliaco!D:D,df_ajustes_conciliaco!C:C,Conciliacao!A310)</f>
        <v/>
      </c>
      <c r="Q310" s="22">
        <f>O310+I310-P310</f>
        <v/>
      </c>
      <c r="BE310" s="20" t="n">
        <v>45966.5</v>
      </c>
      <c r="BF310" s="20" t="n">
        <v>45966.125</v>
      </c>
      <c r="BG310" s="20" t="n">
        <v>45966.54166666666</v>
      </c>
      <c r="BH310" s="20" t="n">
        <v>45966.625</v>
      </c>
    </row>
    <row r="311">
      <c r="A311" s="5">
        <f>A310+1</f>
        <v/>
      </c>
      <c r="B311" s="3">
        <f>-SUMIFS(df_extrato_zig!G:G,df_extrato_zig!E:E,Conciliacao!A311,df_extrato_zig!D:D,"Saque")-SUMIFS(df_extrato_zig!G:G,df_extrato_zig!E:E,Conciliacao!A311,df_extrato_zig!D:D,"Antecipação")</f>
        <v/>
      </c>
      <c r="C311" s="3">
        <f>SUMIFS(df_extrato_zig!E:E,df_extrato_zig!L:L,Conciliacao!A311,df_extrato_zig!F:F,"DINHEIRO")</f>
        <v/>
      </c>
      <c r="D311" s="3">
        <f>SUMIFS(view_parc_agrup!H:H,view_parc_agrup!G:G,Conciliacao!A311)</f>
        <v/>
      </c>
      <c r="E311" s="3">
        <f>SUMIFS(df_eventos!F:F,df_eventos!H:H,Conciliacao!A311)</f>
        <v/>
      </c>
      <c r="F311" s="3">
        <f>SUMIFS(df_mutuos!M:M,df_mutuos!B:B,Conciliacao!A311)</f>
        <v/>
      </c>
      <c r="G311" s="6">
        <f>SUMIFS(df_bloqueios_judiciais!G:G,df_bloqueios_judiciais!D:D,Conciliacao!A311,df_bloqueios_judiciais!G:G,"&gt;0")</f>
        <v/>
      </c>
      <c r="H311" s="7">
        <f>SUMIFS(df_extratos!I:I,df_extratos!F:F,Conciliacao!BE311,df_extratos!G:G,"CREDITO")+SUMIFS(df_extratos!I:I,df_extratos!F:F,Conciliacao!A311,df_extratos!G:G,"CREDITO")+SUMIFS(df_extratos!I:I,df_extratos!F:F,Conciliacao!BF311,df_extratos!G:G,"CREDITO")+SUMIFS(df_extratos!I:I,df_extratos!F:F,Conciliacao!BG311,df_extratos!G:G,"CREDITO")+SUMIFS(df_extratos!I:I,df_extratos!F:F,Conciliacao!BH311,df_extratos!G:G,"CREDITO")</f>
        <v/>
      </c>
      <c r="I311" s="9">
        <f>H311-SUM(B311:G311)</f>
        <v/>
      </c>
      <c r="J311" s="4">
        <f>SUMIFS(df_blueme_sem_parcelamento!E:E,df_blueme_sem_parcelamento!H:H,Conciliacao!A311)*(-1)</f>
        <v/>
      </c>
      <c r="K311" s="4">
        <f>SUMIFS(df_blueme_com_parcelamento!J:J,df_blueme_com_parcelamento!M:M,Conciliacao!A311)*(-1)</f>
        <v/>
      </c>
      <c r="L311" s="4">
        <f>SUMIFS(df_mutuos!N:N,df_mutuos!B:B,Conciliacao!A311)*(-1)</f>
        <v/>
      </c>
      <c r="M311" s="8">
        <f>SUMIFS(df_bloqueios_judiciais!G:G,df_bloqueios_judiciais!D:D,Conciliacao!A311,df_bloqueios_judiciais!G:G,"&lt;0")</f>
        <v/>
      </c>
      <c r="N311" s="10">
        <f>SUMIFS(df_extratos!I:I,df_extratos!F:F,Conciliacao!BE311,df_extratos!G:G,"DEBITO")+SUMIFS(df_extratos!I:I,df_extratos!F:F,Conciliacao!A311,df_extratos!G:G,"DEBITO")+SUMIFS(df_extratos!I:I,df_extratos!F:F,Conciliacao!BF311,df_extratos!G:G,"DEBITO")+SUMIFS(df_extratos!I:I,df_extratos!F:F,Conciliacao!BG311,df_extratos!G:G,"DEBITO")+SUMIFS(df_extratos!I:I,df_extratos!F:F,Conciliacao!BH311,df_extratos!G:G,"DEBITO")</f>
        <v/>
      </c>
      <c r="O311" s="11">
        <f>N311-SUM(J311:M311)</f>
        <v/>
      </c>
      <c r="P311" s="25">
        <f>SUMIFS(df_ajustes_conciliaco!D:D,df_ajustes_conciliaco!C:C,Conciliacao!A311)</f>
        <v/>
      </c>
      <c r="Q311" s="22">
        <f>O311+I311-P311</f>
        <v/>
      </c>
      <c r="BE311" s="20" t="n">
        <v>45967.5</v>
      </c>
      <c r="BF311" s="20" t="n">
        <v>45967.125</v>
      </c>
      <c r="BG311" s="20" t="n">
        <v>45967.54166666666</v>
      </c>
      <c r="BH311" s="20" t="n">
        <v>45967.625</v>
      </c>
    </row>
    <row r="312">
      <c r="A312" s="5">
        <f>A311+1</f>
        <v/>
      </c>
      <c r="B312" s="3">
        <f>-SUMIFS(df_extrato_zig!G:G,df_extrato_zig!E:E,Conciliacao!A312,df_extrato_zig!D:D,"Saque")-SUMIFS(df_extrato_zig!G:G,df_extrato_zig!E:E,Conciliacao!A312,df_extrato_zig!D:D,"Antecipação")</f>
        <v/>
      </c>
      <c r="C312" s="3">
        <f>SUMIFS(df_extrato_zig!E:E,df_extrato_zig!L:L,Conciliacao!A312,df_extrato_zig!F:F,"DINHEIRO")</f>
        <v/>
      </c>
      <c r="D312" s="3">
        <f>SUMIFS(view_parc_agrup!H:H,view_parc_agrup!G:G,Conciliacao!A312)</f>
        <v/>
      </c>
      <c r="E312" s="3">
        <f>SUMIFS(df_eventos!F:F,df_eventos!H:H,Conciliacao!A312)</f>
        <v/>
      </c>
      <c r="F312" s="3">
        <f>SUMIFS(df_mutuos!M:M,df_mutuos!B:B,Conciliacao!A312)</f>
        <v/>
      </c>
      <c r="G312" s="6">
        <f>SUMIFS(df_bloqueios_judiciais!G:G,df_bloqueios_judiciais!D:D,Conciliacao!A312,df_bloqueios_judiciais!G:G,"&gt;0")</f>
        <v/>
      </c>
      <c r="H312" s="7">
        <f>SUMIFS(df_extratos!I:I,df_extratos!F:F,Conciliacao!BE312,df_extratos!G:G,"CREDITO")+SUMIFS(df_extratos!I:I,df_extratos!F:F,Conciliacao!A312,df_extratos!G:G,"CREDITO")+SUMIFS(df_extratos!I:I,df_extratos!F:F,Conciliacao!BF312,df_extratos!G:G,"CREDITO")+SUMIFS(df_extratos!I:I,df_extratos!F:F,Conciliacao!BG312,df_extratos!G:G,"CREDITO")+SUMIFS(df_extratos!I:I,df_extratos!F:F,Conciliacao!BH312,df_extratos!G:G,"CREDITO")</f>
        <v/>
      </c>
      <c r="I312" s="9">
        <f>H312-SUM(B312:G312)</f>
        <v/>
      </c>
      <c r="J312" s="4">
        <f>SUMIFS(df_blueme_sem_parcelamento!E:E,df_blueme_sem_parcelamento!H:H,Conciliacao!A312)*(-1)</f>
        <v/>
      </c>
      <c r="K312" s="4">
        <f>SUMIFS(df_blueme_com_parcelamento!J:J,df_blueme_com_parcelamento!M:M,Conciliacao!A312)*(-1)</f>
        <v/>
      </c>
      <c r="L312" s="4">
        <f>SUMIFS(df_mutuos!N:N,df_mutuos!B:B,Conciliacao!A312)*(-1)</f>
        <v/>
      </c>
      <c r="M312" s="8">
        <f>SUMIFS(df_bloqueios_judiciais!G:G,df_bloqueios_judiciais!D:D,Conciliacao!A312,df_bloqueios_judiciais!G:G,"&lt;0")</f>
        <v/>
      </c>
      <c r="N312" s="10">
        <f>SUMIFS(df_extratos!I:I,df_extratos!F:F,Conciliacao!BE312,df_extratos!G:G,"DEBITO")+SUMIFS(df_extratos!I:I,df_extratos!F:F,Conciliacao!A312,df_extratos!G:G,"DEBITO")+SUMIFS(df_extratos!I:I,df_extratos!F:F,Conciliacao!BF312,df_extratos!G:G,"DEBITO")+SUMIFS(df_extratos!I:I,df_extratos!F:F,Conciliacao!BG312,df_extratos!G:G,"DEBITO")+SUMIFS(df_extratos!I:I,df_extratos!F:F,Conciliacao!BH312,df_extratos!G:G,"DEBITO")</f>
        <v/>
      </c>
      <c r="O312" s="11">
        <f>N312-SUM(J312:M312)</f>
        <v/>
      </c>
      <c r="P312" s="25">
        <f>SUMIFS(df_ajustes_conciliaco!D:D,df_ajustes_conciliaco!C:C,Conciliacao!A312)</f>
        <v/>
      </c>
      <c r="Q312" s="22">
        <f>O312+I312-P312</f>
        <v/>
      </c>
      <c r="BE312" s="20" t="n">
        <v>45968.5</v>
      </c>
      <c r="BF312" s="20" t="n">
        <v>45968.125</v>
      </c>
      <c r="BG312" s="20" t="n">
        <v>45968.54166666666</v>
      </c>
      <c r="BH312" s="20" t="n">
        <v>45968.625</v>
      </c>
    </row>
    <row r="313">
      <c r="A313" s="5">
        <f>A312+1</f>
        <v/>
      </c>
      <c r="B313" s="3">
        <f>-SUMIFS(df_extrato_zig!G:G,df_extrato_zig!E:E,Conciliacao!A313,df_extrato_zig!D:D,"Saque")-SUMIFS(df_extrato_zig!G:G,df_extrato_zig!E:E,Conciliacao!A313,df_extrato_zig!D:D,"Antecipação")</f>
        <v/>
      </c>
      <c r="C313" s="3">
        <f>SUMIFS(df_extrato_zig!E:E,df_extrato_zig!L:L,Conciliacao!A313,df_extrato_zig!F:F,"DINHEIRO")</f>
        <v/>
      </c>
      <c r="D313" s="3">
        <f>SUMIFS(view_parc_agrup!H:H,view_parc_agrup!G:G,Conciliacao!A313)</f>
        <v/>
      </c>
      <c r="E313" s="3">
        <f>SUMIFS(df_eventos!F:F,df_eventos!H:H,Conciliacao!A313)</f>
        <v/>
      </c>
      <c r="F313" s="3">
        <f>SUMIFS(df_mutuos!M:M,df_mutuos!B:B,Conciliacao!A313)</f>
        <v/>
      </c>
      <c r="G313" s="6">
        <f>SUMIFS(df_bloqueios_judiciais!G:G,df_bloqueios_judiciais!D:D,Conciliacao!A313,df_bloqueios_judiciais!G:G,"&gt;0")</f>
        <v/>
      </c>
      <c r="H313" s="7">
        <f>SUMIFS(df_extratos!I:I,df_extratos!F:F,Conciliacao!BE313,df_extratos!G:G,"CREDITO")+SUMIFS(df_extratos!I:I,df_extratos!F:F,Conciliacao!A313,df_extratos!G:G,"CREDITO")+SUMIFS(df_extratos!I:I,df_extratos!F:F,Conciliacao!BF313,df_extratos!G:G,"CREDITO")+SUMIFS(df_extratos!I:I,df_extratos!F:F,Conciliacao!BG313,df_extratos!G:G,"CREDITO")+SUMIFS(df_extratos!I:I,df_extratos!F:F,Conciliacao!BH313,df_extratos!G:G,"CREDITO")</f>
        <v/>
      </c>
      <c r="I313" s="9">
        <f>H313-SUM(B313:G313)</f>
        <v/>
      </c>
      <c r="J313" s="4">
        <f>SUMIFS(df_blueme_sem_parcelamento!E:E,df_blueme_sem_parcelamento!H:H,Conciliacao!A313)*(-1)</f>
        <v/>
      </c>
      <c r="K313" s="4">
        <f>SUMIFS(df_blueme_com_parcelamento!J:J,df_blueme_com_parcelamento!M:M,Conciliacao!A313)*(-1)</f>
        <v/>
      </c>
      <c r="L313" s="4">
        <f>SUMIFS(df_mutuos!N:N,df_mutuos!B:B,Conciliacao!A313)*(-1)</f>
        <v/>
      </c>
      <c r="M313" s="8">
        <f>SUMIFS(df_bloqueios_judiciais!G:G,df_bloqueios_judiciais!D:D,Conciliacao!A313,df_bloqueios_judiciais!G:G,"&lt;0")</f>
        <v/>
      </c>
      <c r="N313" s="10">
        <f>SUMIFS(df_extratos!I:I,df_extratos!F:F,Conciliacao!BE313,df_extratos!G:G,"DEBITO")+SUMIFS(df_extratos!I:I,df_extratos!F:F,Conciliacao!A313,df_extratos!G:G,"DEBITO")+SUMIFS(df_extratos!I:I,df_extratos!F:F,Conciliacao!BF313,df_extratos!G:G,"DEBITO")+SUMIFS(df_extratos!I:I,df_extratos!F:F,Conciliacao!BG313,df_extratos!G:G,"DEBITO")+SUMIFS(df_extratos!I:I,df_extratos!F:F,Conciliacao!BH313,df_extratos!G:G,"DEBITO")</f>
        <v/>
      </c>
      <c r="O313" s="11">
        <f>N313-SUM(J313:M313)</f>
        <v/>
      </c>
      <c r="P313" s="25">
        <f>SUMIFS(df_ajustes_conciliaco!D:D,df_ajustes_conciliaco!C:C,Conciliacao!A313)</f>
        <v/>
      </c>
      <c r="Q313" s="22">
        <f>O313+I313-P313</f>
        <v/>
      </c>
      <c r="BE313" s="20" t="n">
        <v>45969.5</v>
      </c>
      <c r="BF313" s="20" t="n">
        <v>45969.125</v>
      </c>
      <c r="BG313" s="20" t="n">
        <v>45969.54166666666</v>
      </c>
      <c r="BH313" s="20" t="n">
        <v>45969.625</v>
      </c>
    </row>
    <row r="314">
      <c r="A314" s="5">
        <f>A313+1</f>
        <v/>
      </c>
      <c r="B314" s="3">
        <f>-SUMIFS(df_extrato_zig!G:G,df_extrato_zig!E:E,Conciliacao!A314,df_extrato_zig!D:D,"Saque")-SUMIFS(df_extrato_zig!G:G,df_extrato_zig!E:E,Conciliacao!A314,df_extrato_zig!D:D,"Antecipação")</f>
        <v/>
      </c>
      <c r="C314" s="3">
        <f>SUMIFS(df_extrato_zig!E:E,df_extrato_zig!L:L,Conciliacao!A314,df_extrato_zig!F:F,"DINHEIRO")</f>
        <v/>
      </c>
      <c r="D314" s="3">
        <f>SUMIFS(view_parc_agrup!H:H,view_parc_agrup!G:G,Conciliacao!A314)</f>
        <v/>
      </c>
      <c r="E314" s="3">
        <f>SUMIFS(df_eventos!F:F,df_eventos!H:H,Conciliacao!A314)</f>
        <v/>
      </c>
      <c r="F314" s="3">
        <f>SUMIFS(df_mutuos!M:M,df_mutuos!B:B,Conciliacao!A314)</f>
        <v/>
      </c>
      <c r="G314" s="6">
        <f>SUMIFS(df_bloqueios_judiciais!G:G,df_bloqueios_judiciais!D:D,Conciliacao!A314,df_bloqueios_judiciais!G:G,"&gt;0")</f>
        <v/>
      </c>
      <c r="H314" s="7">
        <f>SUMIFS(df_extratos!I:I,df_extratos!F:F,Conciliacao!BE314,df_extratos!G:G,"CREDITO")+SUMIFS(df_extratos!I:I,df_extratos!F:F,Conciliacao!A314,df_extratos!G:G,"CREDITO")+SUMIFS(df_extratos!I:I,df_extratos!F:F,Conciliacao!BF314,df_extratos!G:G,"CREDITO")+SUMIFS(df_extratos!I:I,df_extratos!F:F,Conciliacao!BG314,df_extratos!G:G,"CREDITO")+SUMIFS(df_extratos!I:I,df_extratos!F:F,Conciliacao!BH314,df_extratos!G:G,"CREDITO")</f>
        <v/>
      </c>
      <c r="I314" s="9">
        <f>H314-SUM(B314:G314)</f>
        <v/>
      </c>
      <c r="J314" s="4">
        <f>SUMIFS(df_blueme_sem_parcelamento!E:E,df_blueme_sem_parcelamento!H:H,Conciliacao!A314)*(-1)</f>
        <v/>
      </c>
      <c r="K314" s="4">
        <f>SUMIFS(df_blueme_com_parcelamento!J:J,df_blueme_com_parcelamento!M:M,Conciliacao!A314)*(-1)</f>
        <v/>
      </c>
      <c r="L314" s="4">
        <f>SUMIFS(df_mutuos!N:N,df_mutuos!B:B,Conciliacao!A314)*(-1)</f>
        <v/>
      </c>
      <c r="M314" s="8">
        <f>SUMIFS(df_bloqueios_judiciais!G:G,df_bloqueios_judiciais!D:D,Conciliacao!A314,df_bloqueios_judiciais!G:G,"&lt;0")</f>
        <v/>
      </c>
      <c r="N314" s="10">
        <f>SUMIFS(df_extratos!I:I,df_extratos!F:F,Conciliacao!BE314,df_extratos!G:G,"DEBITO")+SUMIFS(df_extratos!I:I,df_extratos!F:F,Conciliacao!A314,df_extratos!G:G,"DEBITO")+SUMIFS(df_extratos!I:I,df_extratos!F:F,Conciliacao!BF314,df_extratos!G:G,"DEBITO")+SUMIFS(df_extratos!I:I,df_extratos!F:F,Conciliacao!BG314,df_extratos!G:G,"DEBITO")+SUMIFS(df_extratos!I:I,df_extratos!F:F,Conciliacao!BH314,df_extratos!G:G,"DEBITO")</f>
        <v/>
      </c>
      <c r="O314" s="11">
        <f>N314-SUM(J314:M314)</f>
        <v/>
      </c>
      <c r="P314" s="25">
        <f>SUMIFS(df_ajustes_conciliaco!D:D,df_ajustes_conciliaco!C:C,Conciliacao!A314)</f>
        <v/>
      </c>
      <c r="Q314" s="22">
        <f>O314+I314-P314</f>
        <v/>
      </c>
      <c r="BE314" s="20" t="n">
        <v>45970.5</v>
      </c>
      <c r="BF314" s="20" t="n">
        <v>45970.125</v>
      </c>
      <c r="BG314" s="20" t="n">
        <v>45970.54166666666</v>
      </c>
      <c r="BH314" s="20" t="n">
        <v>45970.625</v>
      </c>
    </row>
    <row r="315">
      <c r="A315" s="5">
        <f>A314+1</f>
        <v/>
      </c>
      <c r="B315" s="3">
        <f>-SUMIFS(df_extrato_zig!G:G,df_extrato_zig!E:E,Conciliacao!A315,df_extrato_zig!D:D,"Saque")-SUMIFS(df_extrato_zig!G:G,df_extrato_zig!E:E,Conciliacao!A315,df_extrato_zig!D:D,"Antecipação")</f>
        <v/>
      </c>
      <c r="C315" s="3">
        <f>SUMIFS(df_extrato_zig!E:E,df_extrato_zig!L:L,Conciliacao!A315,df_extrato_zig!F:F,"DINHEIRO")</f>
        <v/>
      </c>
      <c r="D315" s="3">
        <f>SUMIFS(view_parc_agrup!H:H,view_parc_agrup!G:G,Conciliacao!A315)</f>
        <v/>
      </c>
      <c r="E315" s="3">
        <f>SUMIFS(df_eventos!F:F,df_eventos!H:H,Conciliacao!A315)</f>
        <v/>
      </c>
      <c r="F315" s="3">
        <f>SUMIFS(df_mutuos!M:M,df_mutuos!B:B,Conciliacao!A315)</f>
        <v/>
      </c>
      <c r="G315" s="6">
        <f>SUMIFS(df_bloqueios_judiciais!G:G,df_bloqueios_judiciais!D:D,Conciliacao!A315,df_bloqueios_judiciais!G:G,"&gt;0")</f>
        <v/>
      </c>
      <c r="H315" s="7">
        <f>SUMIFS(df_extratos!I:I,df_extratos!F:F,Conciliacao!BE315,df_extratos!G:G,"CREDITO")+SUMIFS(df_extratos!I:I,df_extratos!F:F,Conciliacao!A315,df_extratos!G:G,"CREDITO")+SUMIFS(df_extratos!I:I,df_extratos!F:F,Conciliacao!BF315,df_extratos!G:G,"CREDITO")+SUMIFS(df_extratos!I:I,df_extratos!F:F,Conciliacao!BG315,df_extratos!G:G,"CREDITO")+SUMIFS(df_extratos!I:I,df_extratos!F:F,Conciliacao!BH315,df_extratos!G:G,"CREDITO")</f>
        <v/>
      </c>
      <c r="I315" s="9">
        <f>H315-SUM(B315:G315)</f>
        <v/>
      </c>
      <c r="J315" s="4">
        <f>SUMIFS(df_blueme_sem_parcelamento!E:E,df_blueme_sem_parcelamento!H:H,Conciliacao!A315)*(-1)</f>
        <v/>
      </c>
      <c r="K315" s="4">
        <f>SUMIFS(df_blueme_com_parcelamento!J:J,df_blueme_com_parcelamento!M:M,Conciliacao!A315)*(-1)</f>
        <v/>
      </c>
      <c r="L315" s="4">
        <f>SUMIFS(df_mutuos!N:N,df_mutuos!B:B,Conciliacao!A315)*(-1)</f>
        <v/>
      </c>
      <c r="M315" s="8">
        <f>SUMIFS(df_bloqueios_judiciais!G:G,df_bloqueios_judiciais!D:D,Conciliacao!A315,df_bloqueios_judiciais!G:G,"&lt;0")</f>
        <v/>
      </c>
      <c r="N315" s="10">
        <f>SUMIFS(df_extratos!I:I,df_extratos!F:F,Conciliacao!BE315,df_extratos!G:G,"DEBITO")+SUMIFS(df_extratos!I:I,df_extratos!F:F,Conciliacao!A315,df_extratos!G:G,"DEBITO")+SUMIFS(df_extratos!I:I,df_extratos!F:F,Conciliacao!BF315,df_extratos!G:G,"DEBITO")+SUMIFS(df_extratos!I:I,df_extratos!F:F,Conciliacao!BG315,df_extratos!G:G,"DEBITO")+SUMIFS(df_extratos!I:I,df_extratos!F:F,Conciliacao!BH315,df_extratos!G:G,"DEBITO")</f>
        <v/>
      </c>
      <c r="O315" s="11">
        <f>N315-SUM(J315:M315)</f>
        <v/>
      </c>
      <c r="P315" s="25">
        <f>SUMIFS(df_ajustes_conciliaco!D:D,df_ajustes_conciliaco!C:C,Conciliacao!A315)</f>
        <v/>
      </c>
      <c r="Q315" s="22">
        <f>O315+I315-P315</f>
        <v/>
      </c>
      <c r="BE315" s="20" t="n">
        <v>45971.5</v>
      </c>
      <c r="BF315" s="20" t="n">
        <v>45971.125</v>
      </c>
      <c r="BG315" s="20" t="n">
        <v>45971.54166666666</v>
      </c>
      <c r="BH315" s="20" t="n">
        <v>45971.625</v>
      </c>
    </row>
    <row r="316">
      <c r="A316" s="5">
        <f>A315+1</f>
        <v/>
      </c>
      <c r="B316" s="3">
        <f>-SUMIFS(df_extrato_zig!G:G,df_extrato_zig!E:E,Conciliacao!A316,df_extrato_zig!D:D,"Saque")-SUMIFS(df_extrato_zig!G:G,df_extrato_zig!E:E,Conciliacao!A316,df_extrato_zig!D:D,"Antecipação")</f>
        <v/>
      </c>
      <c r="C316" s="3">
        <f>SUMIFS(df_extrato_zig!E:E,df_extrato_zig!L:L,Conciliacao!A316,df_extrato_zig!F:F,"DINHEIRO")</f>
        <v/>
      </c>
      <c r="D316" s="3">
        <f>SUMIFS(view_parc_agrup!H:H,view_parc_agrup!G:G,Conciliacao!A316)</f>
        <v/>
      </c>
      <c r="E316" s="3">
        <f>SUMIFS(df_eventos!F:F,df_eventos!H:H,Conciliacao!A316)</f>
        <v/>
      </c>
      <c r="F316" s="3">
        <f>SUMIFS(df_mutuos!M:M,df_mutuos!B:B,Conciliacao!A316)</f>
        <v/>
      </c>
      <c r="G316" s="6">
        <f>SUMIFS(df_bloqueios_judiciais!G:G,df_bloqueios_judiciais!D:D,Conciliacao!A316,df_bloqueios_judiciais!G:G,"&gt;0")</f>
        <v/>
      </c>
      <c r="H316" s="7">
        <f>SUMIFS(df_extratos!I:I,df_extratos!F:F,Conciliacao!BE316,df_extratos!G:G,"CREDITO")+SUMIFS(df_extratos!I:I,df_extratos!F:F,Conciliacao!A316,df_extratos!G:G,"CREDITO")+SUMIFS(df_extratos!I:I,df_extratos!F:F,Conciliacao!BF316,df_extratos!G:G,"CREDITO")+SUMIFS(df_extratos!I:I,df_extratos!F:F,Conciliacao!BG316,df_extratos!G:G,"CREDITO")+SUMIFS(df_extratos!I:I,df_extratos!F:F,Conciliacao!BH316,df_extratos!G:G,"CREDITO")</f>
        <v/>
      </c>
      <c r="I316" s="9">
        <f>H316-SUM(B316:G316)</f>
        <v/>
      </c>
      <c r="J316" s="4">
        <f>SUMIFS(df_blueme_sem_parcelamento!E:E,df_blueme_sem_parcelamento!H:H,Conciliacao!A316)*(-1)</f>
        <v/>
      </c>
      <c r="K316" s="4">
        <f>SUMIFS(df_blueme_com_parcelamento!J:J,df_blueme_com_parcelamento!M:M,Conciliacao!A316)*(-1)</f>
        <v/>
      </c>
      <c r="L316" s="4">
        <f>SUMIFS(df_mutuos!N:N,df_mutuos!B:B,Conciliacao!A316)*(-1)</f>
        <v/>
      </c>
      <c r="M316" s="8">
        <f>SUMIFS(df_bloqueios_judiciais!G:G,df_bloqueios_judiciais!D:D,Conciliacao!A316,df_bloqueios_judiciais!G:G,"&lt;0")</f>
        <v/>
      </c>
      <c r="N316" s="10">
        <f>SUMIFS(df_extratos!I:I,df_extratos!F:F,Conciliacao!BE316,df_extratos!G:G,"DEBITO")+SUMIFS(df_extratos!I:I,df_extratos!F:F,Conciliacao!A316,df_extratos!G:G,"DEBITO")+SUMIFS(df_extratos!I:I,df_extratos!F:F,Conciliacao!BF316,df_extratos!G:G,"DEBITO")+SUMIFS(df_extratos!I:I,df_extratos!F:F,Conciliacao!BG316,df_extratos!G:G,"DEBITO")+SUMIFS(df_extratos!I:I,df_extratos!F:F,Conciliacao!BH316,df_extratos!G:G,"DEBITO")</f>
        <v/>
      </c>
      <c r="O316" s="11">
        <f>N316-SUM(J316:M316)</f>
        <v/>
      </c>
      <c r="P316" s="25">
        <f>SUMIFS(df_ajustes_conciliaco!D:D,df_ajustes_conciliaco!C:C,Conciliacao!A316)</f>
        <v/>
      </c>
      <c r="Q316" s="22">
        <f>O316+I316-P316</f>
        <v/>
      </c>
      <c r="BE316" s="20" t="n">
        <v>45972.5</v>
      </c>
      <c r="BF316" s="20" t="n">
        <v>45972.125</v>
      </c>
      <c r="BG316" s="20" t="n">
        <v>45972.54166666666</v>
      </c>
      <c r="BH316" s="20" t="n">
        <v>45972.625</v>
      </c>
    </row>
    <row r="317">
      <c r="A317" s="5">
        <f>A316+1</f>
        <v/>
      </c>
      <c r="B317" s="3">
        <f>-SUMIFS(df_extrato_zig!G:G,df_extrato_zig!E:E,Conciliacao!A317,df_extrato_zig!D:D,"Saque")-SUMIFS(df_extrato_zig!G:G,df_extrato_zig!E:E,Conciliacao!A317,df_extrato_zig!D:D,"Antecipação")</f>
        <v/>
      </c>
      <c r="C317" s="3">
        <f>SUMIFS(df_extrato_zig!E:E,df_extrato_zig!L:L,Conciliacao!A317,df_extrato_zig!F:F,"DINHEIRO")</f>
        <v/>
      </c>
      <c r="D317" s="3">
        <f>SUMIFS(view_parc_agrup!H:H,view_parc_agrup!G:G,Conciliacao!A317)</f>
        <v/>
      </c>
      <c r="E317" s="3">
        <f>SUMIFS(df_eventos!F:F,df_eventos!H:H,Conciliacao!A317)</f>
        <v/>
      </c>
      <c r="F317" s="3">
        <f>SUMIFS(df_mutuos!M:M,df_mutuos!B:B,Conciliacao!A317)</f>
        <v/>
      </c>
      <c r="G317" s="6">
        <f>SUMIFS(df_bloqueios_judiciais!G:G,df_bloqueios_judiciais!D:D,Conciliacao!A317,df_bloqueios_judiciais!G:G,"&gt;0")</f>
        <v/>
      </c>
      <c r="H317" s="7">
        <f>SUMIFS(df_extratos!I:I,df_extratos!F:F,Conciliacao!BE317,df_extratos!G:G,"CREDITO")+SUMIFS(df_extratos!I:I,df_extratos!F:F,Conciliacao!A317,df_extratos!G:G,"CREDITO")+SUMIFS(df_extratos!I:I,df_extratos!F:F,Conciliacao!BF317,df_extratos!G:G,"CREDITO")+SUMIFS(df_extratos!I:I,df_extratos!F:F,Conciliacao!BG317,df_extratos!G:G,"CREDITO")+SUMIFS(df_extratos!I:I,df_extratos!F:F,Conciliacao!BH317,df_extratos!G:G,"CREDITO")</f>
        <v/>
      </c>
      <c r="I317" s="9">
        <f>H317-SUM(B317:G317)</f>
        <v/>
      </c>
      <c r="J317" s="4">
        <f>SUMIFS(df_blueme_sem_parcelamento!E:E,df_blueme_sem_parcelamento!H:H,Conciliacao!A317)*(-1)</f>
        <v/>
      </c>
      <c r="K317" s="4">
        <f>SUMIFS(df_blueme_com_parcelamento!J:J,df_blueme_com_parcelamento!M:M,Conciliacao!A317)*(-1)</f>
        <v/>
      </c>
      <c r="L317" s="4">
        <f>SUMIFS(df_mutuos!N:N,df_mutuos!B:B,Conciliacao!A317)*(-1)</f>
        <v/>
      </c>
      <c r="M317" s="8">
        <f>SUMIFS(df_bloqueios_judiciais!G:G,df_bloqueios_judiciais!D:D,Conciliacao!A317,df_bloqueios_judiciais!G:G,"&lt;0")</f>
        <v/>
      </c>
      <c r="N317" s="10">
        <f>SUMIFS(df_extratos!I:I,df_extratos!F:F,Conciliacao!BE317,df_extratos!G:G,"DEBITO")+SUMIFS(df_extratos!I:I,df_extratos!F:F,Conciliacao!A317,df_extratos!G:G,"DEBITO")+SUMIFS(df_extratos!I:I,df_extratos!F:F,Conciliacao!BF317,df_extratos!G:G,"DEBITO")+SUMIFS(df_extratos!I:I,df_extratos!F:F,Conciliacao!BG317,df_extratos!G:G,"DEBITO")+SUMIFS(df_extratos!I:I,df_extratos!F:F,Conciliacao!BH317,df_extratos!G:G,"DEBITO")</f>
        <v/>
      </c>
      <c r="O317" s="11">
        <f>N317-SUM(J317:M317)</f>
        <v/>
      </c>
      <c r="P317" s="25">
        <f>SUMIFS(df_ajustes_conciliaco!D:D,df_ajustes_conciliaco!C:C,Conciliacao!A317)</f>
        <v/>
      </c>
      <c r="Q317" s="22">
        <f>O317+I317-P317</f>
        <v/>
      </c>
      <c r="BE317" s="20" t="n">
        <v>45973.5</v>
      </c>
      <c r="BF317" s="20" t="n">
        <v>45973.125</v>
      </c>
      <c r="BG317" s="20" t="n">
        <v>45973.54166666666</v>
      </c>
      <c r="BH317" s="20" t="n">
        <v>45973.625</v>
      </c>
    </row>
    <row r="318">
      <c r="A318" s="5">
        <f>A317+1</f>
        <v/>
      </c>
      <c r="B318" s="3">
        <f>-SUMIFS(df_extrato_zig!G:G,df_extrato_zig!E:E,Conciliacao!A318,df_extrato_zig!D:D,"Saque")-SUMIFS(df_extrato_zig!G:G,df_extrato_zig!E:E,Conciliacao!A318,df_extrato_zig!D:D,"Antecipação")</f>
        <v/>
      </c>
      <c r="C318" s="3">
        <f>SUMIFS(df_extrato_zig!E:E,df_extrato_zig!L:L,Conciliacao!A318,df_extrato_zig!F:F,"DINHEIRO")</f>
        <v/>
      </c>
      <c r="D318" s="3">
        <f>SUMIFS(view_parc_agrup!H:H,view_parc_agrup!G:G,Conciliacao!A318)</f>
        <v/>
      </c>
      <c r="E318" s="3">
        <f>SUMIFS(df_eventos!F:F,df_eventos!H:H,Conciliacao!A318)</f>
        <v/>
      </c>
      <c r="F318" s="3">
        <f>SUMIFS(df_mutuos!M:M,df_mutuos!B:B,Conciliacao!A318)</f>
        <v/>
      </c>
      <c r="G318" s="6">
        <f>SUMIFS(df_bloqueios_judiciais!G:G,df_bloqueios_judiciais!D:D,Conciliacao!A318,df_bloqueios_judiciais!G:G,"&gt;0")</f>
        <v/>
      </c>
      <c r="H318" s="7">
        <f>SUMIFS(df_extratos!I:I,df_extratos!F:F,Conciliacao!BE318,df_extratos!G:G,"CREDITO")+SUMIFS(df_extratos!I:I,df_extratos!F:F,Conciliacao!A318,df_extratos!G:G,"CREDITO")+SUMIFS(df_extratos!I:I,df_extratos!F:F,Conciliacao!BF318,df_extratos!G:G,"CREDITO")+SUMIFS(df_extratos!I:I,df_extratos!F:F,Conciliacao!BG318,df_extratos!G:G,"CREDITO")+SUMIFS(df_extratos!I:I,df_extratos!F:F,Conciliacao!BH318,df_extratos!G:G,"CREDITO")</f>
        <v/>
      </c>
      <c r="I318" s="9">
        <f>H318-SUM(B318:G318)</f>
        <v/>
      </c>
      <c r="J318" s="4">
        <f>SUMIFS(df_blueme_sem_parcelamento!E:E,df_blueme_sem_parcelamento!H:H,Conciliacao!A318)*(-1)</f>
        <v/>
      </c>
      <c r="K318" s="4">
        <f>SUMIFS(df_blueme_com_parcelamento!J:J,df_blueme_com_parcelamento!M:M,Conciliacao!A318)*(-1)</f>
        <v/>
      </c>
      <c r="L318" s="4">
        <f>SUMIFS(df_mutuos!N:N,df_mutuos!B:B,Conciliacao!A318)*(-1)</f>
        <v/>
      </c>
      <c r="M318" s="8">
        <f>SUMIFS(df_bloqueios_judiciais!G:G,df_bloqueios_judiciais!D:D,Conciliacao!A318,df_bloqueios_judiciais!G:G,"&lt;0")</f>
        <v/>
      </c>
      <c r="N318" s="10">
        <f>SUMIFS(df_extratos!I:I,df_extratos!F:F,Conciliacao!BE318,df_extratos!G:G,"DEBITO")+SUMIFS(df_extratos!I:I,df_extratos!F:F,Conciliacao!A318,df_extratos!G:G,"DEBITO")+SUMIFS(df_extratos!I:I,df_extratos!F:F,Conciliacao!BF318,df_extratos!G:G,"DEBITO")+SUMIFS(df_extratos!I:I,df_extratos!F:F,Conciliacao!BG318,df_extratos!G:G,"DEBITO")+SUMIFS(df_extratos!I:I,df_extratos!F:F,Conciliacao!BH318,df_extratos!G:G,"DEBITO")</f>
        <v/>
      </c>
      <c r="O318" s="11">
        <f>N318-SUM(J318:M318)</f>
        <v/>
      </c>
      <c r="P318" s="25">
        <f>SUMIFS(df_ajustes_conciliaco!D:D,df_ajustes_conciliaco!C:C,Conciliacao!A318)</f>
        <v/>
      </c>
      <c r="Q318" s="22">
        <f>O318+I318-P318</f>
        <v/>
      </c>
      <c r="BE318" s="20" t="n">
        <v>45974.5</v>
      </c>
      <c r="BF318" s="20" t="n">
        <v>45974.125</v>
      </c>
      <c r="BG318" s="20" t="n">
        <v>45974.54166666666</v>
      </c>
      <c r="BH318" s="20" t="n">
        <v>45974.625</v>
      </c>
    </row>
    <row r="319">
      <c r="A319" s="5">
        <f>A318+1</f>
        <v/>
      </c>
      <c r="B319" s="3">
        <f>-SUMIFS(df_extrato_zig!G:G,df_extrato_zig!E:E,Conciliacao!A319,df_extrato_zig!D:D,"Saque")-SUMIFS(df_extrato_zig!G:G,df_extrato_zig!E:E,Conciliacao!A319,df_extrato_zig!D:D,"Antecipação")</f>
        <v/>
      </c>
      <c r="C319" s="3">
        <f>SUMIFS(df_extrato_zig!E:E,df_extrato_zig!L:L,Conciliacao!A319,df_extrato_zig!F:F,"DINHEIRO")</f>
        <v/>
      </c>
      <c r="D319" s="3">
        <f>SUMIFS(view_parc_agrup!H:H,view_parc_agrup!G:G,Conciliacao!A319)</f>
        <v/>
      </c>
      <c r="E319" s="3">
        <f>SUMIFS(df_eventos!F:F,df_eventos!H:H,Conciliacao!A319)</f>
        <v/>
      </c>
      <c r="F319" s="3">
        <f>SUMIFS(df_mutuos!M:M,df_mutuos!B:B,Conciliacao!A319)</f>
        <v/>
      </c>
      <c r="G319" s="6">
        <f>SUMIFS(df_bloqueios_judiciais!G:G,df_bloqueios_judiciais!D:D,Conciliacao!A319,df_bloqueios_judiciais!G:G,"&gt;0")</f>
        <v/>
      </c>
      <c r="H319" s="7">
        <f>SUMIFS(df_extratos!I:I,df_extratos!F:F,Conciliacao!BE319,df_extratos!G:G,"CREDITO")+SUMIFS(df_extratos!I:I,df_extratos!F:F,Conciliacao!A319,df_extratos!G:G,"CREDITO")+SUMIFS(df_extratos!I:I,df_extratos!F:F,Conciliacao!BF319,df_extratos!G:G,"CREDITO")+SUMIFS(df_extratos!I:I,df_extratos!F:F,Conciliacao!BG319,df_extratos!G:G,"CREDITO")+SUMIFS(df_extratos!I:I,df_extratos!F:F,Conciliacao!BH319,df_extratos!G:G,"CREDITO")</f>
        <v/>
      </c>
      <c r="I319" s="9">
        <f>H319-SUM(B319:G319)</f>
        <v/>
      </c>
      <c r="J319" s="4">
        <f>SUMIFS(df_blueme_sem_parcelamento!E:E,df_blueme_sem_parcelamento!H:H,Conciliacao!A319)*(-1)</f>
        <v/>
      </c>
      <c r="K319" s="4">
        <f>SUMIFS(df_blueme_com_parcelamento!J:J,df_blueme_com_parcelamento!M:M,Conciliacao!A319)*(-1)</f>
        <v/>
      </c>
      <c r="L319" s="4">
        <f>SUMIFS(df_mutuos!N:N,df_mutuos!B:B,Conciliacao!A319)*(-1)</f>
        <v/>
      </c>
      <c r="M319" s="8">
        <f>SUMIFS(df_bloqueios_judiciais!G:G,df_bloqueios_judiciais!D:D,Conciliacao!A319,df_bloqueios_judiciais!G:G,"&lt;0")</f>
        <v/>
      </c>
      <c r="N319" s="10">
        <f>SUMIFS(df_extratos!I:I,df_extratos!F:F,Conciliacao!BE319,df_extratos!G:G,"DEBITO")+SUMIFS(df_extratos!I:I,df_extratos!F:F,Conciliacao!A319,df_extratos!G:G,"DEBITO")+SUMIFS(df_extratos!I:I,df_extratos!F:F,Conciliacao!BF319,df_extratos!G:G,"DEBITO")+SUMIFS(df_extratos!I:I,df_extratos!F:F,Conciliacao!BG319,df_extratos!G:G,"DEBITO")+SUMIFS(df_extratos!I:I,df_extratos!F:F,Conciliacao!BH319,df_extratos!G:G,"DEBITO")</f>
        <v/>
      </c>
      <c r="O319" s="11">
        <f>N319-SUM(J319:M319)</f>
        <v/>
      </c>
      <c r="P319" s="25">
        <f>SUMIFS(df_ajustes_conciliaco!D:D,df_ajustes_conciliaco!C:C,Conciliacao!A319)</f>
        <v/>
      </c>
      <c r="Q319" s="22">
        <f>O319+I319-P319</f>
        <v/>
      </c>
      <c r="BE319" s="20" t="n">
        <v>45975.5</v>
      </c>
      <c r="BF319" s="20" t="n">
        <v>45975.125</v>
      </c>
      <c r="BG319" s="20" t="n">
        <v>45975.54166666666</v>
      </c>
      <c r="BH319" s="20" t="n">
        <v>45975.625</v>
      </c>
    </row>
    <row r="320">
      <c r="A320" s="5">
        <f>A319+1</f>
        <v/>
      </c>
      <c r="B320" s="3">
        <f>-SUMIFS(df_extrato_zig!G:G,df_extrato_zig!E:E,Conciliacao!A320,df_extrato_zig!D:D,"Saque")-SUMIFS(df_extrato_zig!G:G,df_extrato_zig!E:E,Conciliacao!A320,df_extrato_zig!D:D,"Antecipação")</f>
        <v/>
      </c>
      <c r="C320" s="3">
        <f>SUMIFS(df_extrato_zig!E:E,df_extrato_zig!L:L,Conciliacao!A320,df_extrato_zig!F:F,"DINHEIRO")</f>
        <v/>
      </c>
      <c r="D320" s="3">
        <f>SUMIFS(view_parc_agrup!H:H,view_parc_agrup!G:G,Conciliacao!A320)</f>
        <v/>
      </c>
      <c r="E320" s="3">
        <f>SUMIFS(df_eventos!F:F,df_eventos!H:H,Conciliacao!A320)</f>
        <v/>
      </c>
      <c r="F320" s="3">
        <f>SUMIFS(df_mutuos!M:M,df_mutuos!B:B,Conciliacao!A320)</f>
        <v/>
      </c>
      <c r="G320" s="6">
        <f>SUMIFS(df_bloqueios_judiciais!G:G,df_bloqueios_judiciais!D:D,Conciliacao!A320,df_bloqueios_judiciais!G:G,"&gt;0")</f>
        <v/>
      </c>
      <c r="H320" s="7">
        <f>SUMIFS(df_extratos!I:I,df_extratos!F:F,Conciliacao!BE320,df_extratos!G:G,"CREDITO")+SUMIFS(df_extratos!I:I,df_extratos!F:F,Conciliacao!A320,df_extratos!G:G,"CREDITO")+SUMIFS(df_extratos!I:I,df_extratos!F:F,Conciliacao!BF320,df_extratos!G:G,"CREDITO")+SUMIFS(df_extratos!I:I,df_extratos!F:F,Conciliacao!BG320,df_extratos!G:G,"CREDITO")+SUMIFS(df_extratos!I:I,df_extratos!F:F,Conciliacao!BH320,df_extratos!G:G,"CREDITO")</f>
        <v/>
      </c>
      <c r="I320" s="9">
        <f>H320-SUM(B320:G320)</f>
        <v/>
      </c>
      <c r="J320" s="4">
        <f>SUMIFS(df_blueme_sem_parcelamento!E:E,df_blueme_sem_parcelamento!H:H,Conciliacao!A320)*(-1)</f>
        <v/>
      </c>
      <c r="K320" s="4">
        <f>SUMIFS(df_blueme_com_parcelamento!J:J,df_blueme_com_parcelamento!M:M,Conciliacao!A320)*(-1)</f>
        <v/>
      </c>
      <c r="L320" s="4">
        <f>SUMIFS(df_mutuos!N:N,df_mutuos!B:B,Conciliacao!A320)*(-1)</f>
        <v/>
      </c>
      <c r="M320" s="8">
        <f>SUMIFS(df_bloqueios_judiciais!G:G,df_bloqueios_judiciais!D:D,Conciliacao!A320,df_bloqueios_judiciais!G:G,"&lt;0")</f>
        <v/>
      </c>
      <c r="N320" s="10">
        <f>SUMIFS(df_extratos!I:I,df_extratos!F:F,Conciliacao!BE320,df_extratos!G:G,"DEBITO")+SUMIFS(df_extratos!I:I,df_extratos!F:F,Conciliacao!A320,df_extratos!G:G,"DEBITO")+SUMIFS(df_extratos!I:I,df_extratos!F:F,Conciliacao!BF320,df_extratos!G:G,"DEBITO")+SUMIFS(df_extratos!I:I,df_extratos!F:F,Conciliacao!BG320,df_extratos!G:G,"DEBITO")+SUMIFS(df_extratos!I:I,df_extratos!F:F,Conciliacao!BH320,df_extratos!G:G,"DEBITO")</f>
        <v/>
      </c>
      <c r="O320" s="11">
        <f>N320-SUM(J320:M320)</f>
        <v/>
      </c>
      <c r="P320" s="25">
        <f>SUMIFS(df_ajustes_conciliaco!D:D,df_ajustes_conciliaco!C:C,Conciliacao!A320)</f>
        <v/>
      </c>
      <c r="Q320" s="22">
        <f>O320+I320-P320</f>
        <v/>
      </c>
      <c r="BE320" s="20" t="n">
        <v>45976.5</v>
      </c>
      <c r="BF320" s="20" t="n">
        <v>45976.125</v>
      </c>
      <c r="BG320" s="20" t="n">
        <v>45976.54166666666</v>
      </c>
      <c r="BH320" s="20" t="n">
        <v>45976.625</v>
      </c>
    </row>
    <row r="321">
      <c r="A321" s="5">
        <f>A320+1</f>
        <v/>
      </c>
      <c r="B321" s="3">
        <f>-SUMIFS(df_extrato_zig!G:G,df_extrato_zig!E:E,Conciliacao!A321,df_extrato_zig!D:D,"Saque")-SUMIFS(df_extrato_zig!G:G,df_extrato_zig!E:E,Conciliacao!A321,df_extrato_zig!D:D,"Antecipação")</f>
        <v/>
      </c>
      <c r="C321" s="3">
        <f>SUMIFS(df_extrato_zig!E:E,df_extrato_zig!L:L,Conciliacao!A321,df_extrato_zig!F:F,"DINHEIRO")</f>
        <v/>
      </c>
      <c r="D321" s="3">
        <f>SUMIFS(view_parc_agrup!H:H,view_parc_agrup!G:G,Conciliacao!A321)</f>
        <v/>
      </c>
      <c r="E321" s="3">
        <f>SUMIFS(df_eventos!F:F,df_eventos!H:H,Conciliacao!A321)</f>
        <v/>
      </c>
      <c r="F321" s="3">
        <f>SUMIFS(df_mutuos!M:M,df_mutuos!B:B,Conciliacao!A321)</f>
        <v/>
      </c>
      <c r="G321" s="6">
        <f>SUMIFS(df_bloqueios_judiciais!G:G,df_bloqueios_judiciais!D:D,Conciliacao!A321,df_bloqueios_judiciais!G:G,"&gt;0")</f>
        <v/>
      </c>
      <c r="H321" s="7">
        <f>SUMIFS(df_extratos!I:I,df_extratos!F:F,Conciliacao!BE321,df_extratos!G:G,"CREDITO")+SUMIFS(df_extratos!I:I,df_extratos!F:F,Conciliacao!A321,df_extratos!G:G,"CREDITO")+SUMIFS(df_extratos!I:I,df_extratos!F:F,Conciliacao!BF321,df_extratos!G:G,"CREDITO")+SUMIFS(df_extratos!I:I,df_extratos!F:F,Conciliacao!BG321,df_extratos!G:G,"CREDITO")+SUMIFS(df_extratos!I:I,df_extratos!F:F,Conciliacao!BH321,df_extratos!G:G,"CREDITO")</f>
        <v/>
      </c>
      <c r="I321" s="9">
        <f>H321-SUM(B321:G321)</f>
        <v/>
      </c>
      <c r="J321" s="4">
        <f>SUMIFS(df_blueme_sem_parcelamento!E:E,df_blueme_sem_parcelamento!H:H,Conciliacao!A321)*(-1)</f>
        <v/>
      </c>
      <c r="K321" s="4">
        <f>SUMIFS(df_blueme_com_parcelamento!J:J,df_blueme_com_parcelamento!M:M,Conciliacao!A321)*(-1)</f>
        <v/>
      </c>
      <c r="L321" s="4">
        <f>SUMIFS(df_mutuos!N:N,df_mutuos!B:B,Conciliacao!A321)*(-1)</f>
        <v/>
      </c>
      <c r="M321" s="8">
        <f>SUMIFS(df_bloqueios_judiciais!G:G,df_bloqueios_judiciais!D:D,Conciliacao!A321,df_bloqueios_judiciais!G:G,"&lt;0")</f>
        <v/>
      </c>
      <c r="N321" s="10">
        <f>SUMIFS(df_extratos!I:I,df_extratos!F:F,Conciliacao!BE321,df_extratos!G:G,"DEBITO")+SUMIFS(df_extratos!I:I,df_extratos!F:F,Conciliacao!A321,df_extratos!G:G,"DEBITO")+SUMIFS(df_extratos!I:I,df_extratos!F:F,Conciliacao!BF321,df_extratos!G:G,"DEBITO")+SUMIFS(df_extratos!I:I,df_extratos!F:F,Conciliacao!BG321,df_extratos!G:G,"DEBITO")+SUMIFS(df_extratos!I:I,df_extratos!F:F,Conciliacao!BH321,df_extratos!G:G,"DEBITO")</f>
        <v/>
      </c>
      <c r="O321" s="11">
        <f>N321-SUM(J321:M321)</f>
        <v/>
      </c>
      <c r="P321" s="25">
        <f>SUMIFS(df_ajustes_conciliaco!D:D,df_ajustes_conciliaco!C:C,Conciliacao!A321)</f>
        <v/>
      </c>
      <c r="Q321" s="22">
        <f>O321+I321-P321</f>
        <v/>
      </c>
      <c r="BE321" s="20" t="n">
        <v>45977.5</v>
      </c>
      <c r="BF321" s="20" t="n">
        <v>45977.125</v>
      </c>
      <c r="BG321" s="20" t="n">
        <v>45977.54166666666</v>
      </c>
      <c r="BH321" s="20" t="n">
        <v>45977.625</v>
      </c>
    </row>
    <row r="322">
      <c r="A322" s="5">
        <f>A321+1</f>
        <v/>
      </c>
      <c r="B322" s="3">
        <f>-SUMIFS(df_extrato_zig!G:G,df_extrato_zig!E:E,Conciliacao!A322,df_extrato_zig!D:D,"Saque")-SUMIFS(df_extrato_zig!G:G,df_extrato_zig!E:E,Conciliacao!A322,df_extrato_zig!D:D,"Antecipação")</f>
        <v/>
      </c>
      <c r="C322" s="3">
        <f>SUMIFS(df_extrato_zig!E:E,df_extrato_zig!L:L,Conciliacao!A322,df_extrato_zig!F:F,"DINHEIRO")</f>
        <v/>
      </c>
      <c r="D322" s="3">
        <f>SUMIFS(view_parc_agrup!H:H,view_parc_agrup!G:G,Conciliacao!A322)</f>
        <v/>
      </c>
      <c r="E322" s="3">
        <f>SUMIFS(df_eventos!F:F,df_eventos!H:H,Conciliacao!A322)</f>
        <v/>
      </c>
      <c r="F322" s="3">
        <f>SUMIFS(df_mutuos!M:M,df_mutuos!B:B,Conciliacao!A322)</f>
        <v/>
      </c>
      <c r="G322" s="6">
        <f>SUMIFS(df_bloqueios_judiciais!G:G,df_bloqueios_judiciais!D:D,Conciliacao!A322,df_bloqueios_judiciais!G:G,"&gt;0")</f>
        <v/>
      </c>
      <c r="H322" s="7">
        <f>SUMIFS(df_extratos!I:I,df_extratos!F:F,Conciliacao!BE322,df_extratos!G:G,"CREDITO")+SUMIFS(df_extratos!I:I,df_extratos!F:F,Conciliacao!A322,df_extratos!G:G,"CREDITO")+SUMIFS(df_extratos!I:I,df_extratos!F:F,Conciliacao!BF322,df_extratos!G:G,"CREDITO")+SUMIFS(df_extratos!I:I,df_extratos!F:F,Conciliacao!BG322,df_extratos!G:G,"CREDITO")+SUMIFS(df_extratos!I:I,df_extratos!F:F,Conciliacao!BH322,df_extratos!G:G,"CREDITO")</f>
        <v/>
      </c>
      <c r="I322" s="9">
        <f>H322-SUM(B322:G322)</f>
        <v/>
      </c>
      <c r="J322" s="4">
        <f>SUMIFS(df_blueme_sem_parcelamento!E:E,df_blueme_sem_parcelamento!H:H,Conciliacao!A322)*(-1)</f>
        <v/>
      </c>
      <c r="K322" s="4">
        <f>SUMIFS(df_blueme_com_parcelamento!J:J,df_blueme_com_parcelamento!M:M,Conciliacao!A322)*(-1)</f>
        <v/>
      </c>
      <c r="L322" s="4">
        <f>SUMIFS(df_mutuos!N:N,df_mutuos!B:B,Conciliacao!A322)*(-1)</f>
        <v/>
      </c>
      <c r="M322" s="8">
        <f>SUMIFS(df_bloqueios_judiciais!G:G,df_bloqueios_judiciais!D:D,Conciliacao!A322,df_bloqueios_judiciais!G:G,"&lt;0")</f>
        <v/>
      </c>
      <c r="N322" s="10">
        <f>SUMIFS(df_extratos!I:I,df_extratos!F:F,Conciliacao!BE322,df_extratos!G:G,"DEBITO")+SUMIFS(df_extratos!I:I,df_extratos!F:F,Conciliacao!A322,df_extratos!G:G,"DEBITO")+SUMIFS(df_extratos!I:I,df_extratos!F:F,Conciliacao!BF322,df_extratos!G:G,"DEBITO")+SUMIFS(df_extratos!I:I,df_extratos!F:F,Conciliacao!BG322,df_extratos!G:G,"DEBITO")+SUMIFS(df_extratos!I:I,df_extratos!F:F,Conciliacao!BH322,df_extratos!G:G,"DEBITO")</f>
        <v/>
      </c>
      <c r="O322" s="11">
        <f>N322-SUM(J322:M322)</f>
        <v/>
      </c>
      <c r="P322" s="25">
        <f>SUMIFS(df_ajustes_conciliaco!D:D,df_ajustes_conciliaco!C:C,Conciliacao!A322)</f>
        <v/>
      </c>
      <c r="Q322" s="22">
        <f>O322+I322-P322</f>
        <v/>
      </c>
      <c r="BE322" s="20" t="n">
        <v>45978.5</v>
      </c>
      <c r="BF322" s="20" t="n">
        <v>45978.125</v>
      </c>
      <c r="BG322" s="20" t="n">
        <v>45978.54166666666</v>
      </c>
      <c r="BH322" s="20" t="n">
        <v>45978.625</v>
      </c>
    </row>
    <row r="323">
      <c r="A323" s="5">
        <f>A322+1</f>
        <v/>
      </c>
      <c r="B323" s="3">
        <f>-SUMIFS(df_extrato_zig!G:G,df_extrato_zig!E:E,Conciliacao!A323,df_extrato_zig!D:D,"Saque")-SUMIFS(df_extrato_zig!G:G,df_extrato_zig!E:E,Conciliacao!A323,df_extrato_zig!D:D,"Antecipação")</f>
        <v/>
      </c>
      <c r="C323" s="3">
        <f>SUMIFS(df_extrato_zig!E:E,df_extrato_zig!L:L,Conciliacao!A323,df_extrato_zig!F:F,"DINHEIRO")</f>
        <v/>
      </c>
      <c r="D323" s="3">
        <f>SUMIFS(view_parc_agrup!H:H,view_parc_agrup!G:G,Conciliacao!A323)</f>
        <v/>
      </c>
      <c r="E323" s="3">
        <f>SUMIFS(df_eventos!F:F,df_eventos!H:H,Conciliacao!A323)</f>
        <v/>
      </c>
      <c r="F323" s="3">
        <f>SUMIFS(df_mutuos!M:M,df_mutuos!B:B,Conciliacao!A323)</f>
        <v/>
      </c>
      <c r="G323" s="6">
        <f>SUMIFS(df_bloqueios_judiciais!G:G,df_bloqueios_judiciais!D:D,Conciliacao!A323,df_bloqueios_judiciais!G:G,"&gt;0")</f>
        <v/>
      </c>
      <c r="H323" s="7">
        <f>SUMIFS(df_extratos!I:I,df_extratos!F:F,Conciliacao!BE323,df_extratos!G:G,"CREDITO")+SUMIFS(df_extratos!I:I,df_extratos!F:F,Conciliacao!A323,df_extratos!G:G,"CREDITO")+SUMIFS(df_extratos!I:I,df_extratos!F:F,Conciliacao!BF323,df_extratos!G:G,"CREDITO")+SUMIFS(df_extratos!I:I,df_extratos!F:F,Conciliacao!BG323,df_extratos!G:G,"CREDITO")+SUMIFS(df_extratos!I:I,df_extratos!F:F,Conciliacao!BH323,df_extratos!G:G,"CREDITO")</f>
        <v/>
      </c>
      <c r="I323" s="9">
        <f>H323-SUM(B323:G323)</f>
        <v/>
      </c>
      <c r="J323" s="4">
        <f>SUMIFS(df_blueme_sem_parcelamento!E:E,df_blueme_sem_parcelamento!H:H,Conciliacao!A323)*(-1)</f>
        <v/>
      </c>
      <c r="K323" s="4">
        <f>SUMIFS(df_blueme_com_parcelamento!J:J,df_blueme_com_parcelamento!M:M,Conciliacao!A323)*(-1)</f>
        <v/>
      </c>
      <c r="L323" s="4">
        <f>SUMIFS(df_mutuos!N:N,df_mutuos!B:B,Conciliacao!A323)*(-1)</f>
        <v/>
      </c>
      <c r="M323" s="8">
        <f>SUMIFS(df_bloqueios_judiciais!G:G,df_bloqueios_judiciais!D:D,Conciliacao!A323,df_bloqueios_judiciais!G:G,"&lt;0")</f>
        <v/>
      </c>
      <c r="N323" s="10">
        <f>SUMIFS(df_extratos!I:I,df_extratos!F:F,Conciliacao!BE323,df_extratos!G:G,"DEBITO")+SUMIFS(df_extratos!I:I,df_extratos!F:F,Conciliacao!A323,df_extratos!G:G,"DEBITO")+SUMIFS(df_extratos!I:I,df_extratos!F:F,Conciliacao!BF323,df_extratos!G:G,"DEBITO")+SUMIFS(df_extratos!I:I,df_extratos!F:F,Conciliacao!BG323,df_extratos!G:G,"DEBITO")+SUMIFS(df_extratos!I:I,df_extratos!F:F,Conciliacao!BH323,df_extratos!G:G,"DEBITO")</f>
        <v/>
      </c>
      <c r="O323" s="11">
        <f>N323-SUM(J323:M323)</f>
        <v/>
      </c>
      <c r="P323" s="25">
        <f>SUMIFS(df_ajustes_conciliaco!D:D,df_ajustes_conciliaco!C:C,Conciliacao!A323)</f>
        <v/>
      </c>
      <c r="Q323" s="22">
        <f>O323+I323-P323</f>
        <v/>
      </c>
      <c r="BE323" s="20" t="n">
        <v>45979.5</v>
      </c>
      <c r="BF323" s="20" t="n">
        <v>45979.125</v>
      </c>
      <c r="BG323" s="20" t="n">
        <v>45979.54166666666</v>
      </c>
      <c r="BH323" s="20" t="n">
        <v>45979.625</v>
      </c>
    </row>
    <row r="324">
      <c r="A324" s="5">
        <f>A323+1</f>
        <v/>
      </c>
      <c r="B324" s="3">
        <f>-SUMIFS(df_extrato_zig!G:G,df_extrato_zig!E:E,Conciliacao!A324,df_extrato_zig!D:D,"Saque")-SUMIFS(df_extrato_zig!G:G,df_extrato_zig!E:E,Conciliacao!A324,df_extrato_zig!D:D,"Antecipação")</f>
        <v/>
      </c>
      <c r="C324" s="3">
        <f>SUMIFS(df_extrato_zig!E:E,df_extrato_zig!L:L,Conciliacao!A324,df_extrato_zig!F:F,"DINHEIRO")</f>
        <v/>
      </c>
      <c r="D324" s="3">
        <f>SUMIFS(view_parc_agrup!H:H,view_parc_agrup!G:G,Conciliacao!A324)</f>
        <v/>
      </c>
      <c r="E324" s="3">
        <f>SUMIFS(df_eventos!F:F,df_eventos!H:H,Conciliacao!A324)</f>
        <v/>
      </c>
      <c r="F324" s="3">
        <f>SUMIFS(df_mutuos!M:M,df_mutuos!B:B,Conciliacao!A324)</f>
        <v/>
      </c>
      <c r="G324" s="6">
        <f>SUMIFS(df_bloqueios_judiciais!G:G,df_bloqueios_judiciais!D:D,Conciliacao!A324,df_bloqueios_judiciais!G:G,"&gt;0")</f>
        <v/>
      </c>
      <c r="H324" s="7">
        <f>SUMIFS(df_extratos!I:I,df_extratos!F:F,Conciliacao!BE324,df_extratos!G:G,"CREDITO")+SUMIFS(df_extratos!I:I,df_extratos!F:F,Conciliacao!A324,df_extratos!G:G,"CREDITO")+SUMIFS(df_extratos!I:I,df_extratos!F:F,Conciliacao!BF324,df_extratos!G:G,"CREDITO")+SUMIFS(df_extratos!I:I,df_extratos!F:F,Conciliacao!BG324,df_extratos!G:G,"CREDITO")+SUMIFS(df_extratos!I:I,df_extratos!F:F,Conciliacao!BH324,df_extratos!G:G,"CREDITO")</f>
        <v/>
      </c>
      <c r="I324" s="9">
        <f>H324-SUM(B324:G324)</f>
        <v/>
      </c>
      <c r="J324" s="4">
        <f>SUMIFS(df_blueme_sem_parcelamento!E:E,df_blueme_sem_parcelamento!H:H,Conciliacao!A324)*(-1)</f>
        <v/>
      </c>
      <c r="K324" s="4">
        <f>SUMIFS(df_blueme_com_parcelamento!J:J,df_blueme_com_parcelamento!M:M,Conciliacao!A324)*(-1)</f>
        <v/>
      </c>
      <c r="L324" s="4">
        <f>SUMIFS(df_mutuos!N:N,df_mutuos!B:B,Conciliacao!A324)*(-1)</f>
        <v/>
      </c>
      <c r="M324" s="8">
        <f>SUMIFS(df_bloqueios_judiciais!G:G,df_bloqueios_judiciais!D:D,Conciliacao!A324,df_bloqueios_judiciais!G:G,"&lt;0")</f>
        <v/>
      </c>
      <c r="N324" s="10">
        <f>SUMIFS(df_extratos!I:I,df_extratos!F:F,Conciliacao!BE324,df_extratos!G:G,"DEBITO")+SUMIFS(df_extratos!I:I,df_extratos!F:F,Conciliacao!A324,df_extratos!G:G,"DEBITO")+SUMIFS(df_extratos!I:I,df_extratos!F:F,Conciliacao!BF324,df_extratos!G:G,"DEBITO")+SUMIFS(df_extratos!I:I,df_extratos!F:F,Conciliacao!BG324,df_extratos!G:G,"DEBITO")+SUMIFS(df_extratos!I:I,df_extratos!F:F,Conciliacao!BH324,df_extratos!G:G,"DEBITO")</f>
        <v/>
      </c>
      <c r="O324" s="11">
        <f>N324-SUM(J324:M324)</f>
        <v/>
      </c>
      <c r="P324" s="25">
        <f>SUMIFS(df_ajustes_conciliaco!D:D,df_ajustes_conciliaco!C:C,Conciliacao!A324)</f>
        <v/>
      </c>
      <c r="Q324" s="22">
        <f>O324+I324-P324</f>
        <v/>
      </c>
      <c r="BE324" s="20" t="n">
        <v>45980.5</v>
      </c>
      <c r="BF324" s="20" t="n">
        <v>45980.125</v>
      </c>
      <c r="BG324" s="20" t="n">
        <v>45980.54166666666</v>
      </c>
      <c r="BH324" s="20" t="n">
        <v>45980.625</v>
      </c>
    </row>
    <row r="325">
      <c r="A325" s="5">
        <f>A324+1</f>
        <v/>
      </c>
      <c r="B325" s="3">
        <f>-SUMIFS(df_extrato_zig!G:G,df_extrato_zig!E:E,Conciliacao!A325,df_extrato_zig!D:D,"Saque")-SUMIFS(df_extrato_zig!G:G,df_extrato_zig!E:E,Conciliacao!A325,df_extrato_zig!D:D,"Antecipação")</f>
        <v/>
      </c>
      <c r="C325" s="3">
        <f>SUMIFS(df_extrato_zig!E:E,df_extrato_zig!L:L,Conciliacao!A325,df_extrato_zig!F:F,"DINHEIRO")</f>
        <v/>
      </c>
      <c r="D325" s="3">
        <f>SUMIFS(view_parc_agrup!H:H,view_parc_agrup!G:G,Conciliacao!A325)</f>
        <v/>
      </c>
      <c r="E325" s="3">
        <f>SUMIFS(df_eventos!F:F,df_eventos!H:H,Conciliacao!A325)</f>
        <v/>
      </c>
      <c r="F325" s="3">
        <f>SUMIFS(df_mutuos!M:M,df_mutuos!B:B,Conciliacao!A325)</f>
        <v/>
      </c>
      <c r="G325" s="6">
        <f>SUMIFS(df_bloqueios_judiciais!G:G,df_bloqueios_judiciais!D:D,Conciliacao!A325,df_bloqueios_judiciais!G:G,"&gt;0")</f>
        <v/>
      </c>
      <c r="H325" s="7">
        <f>SUMIFS(df_extratos!I:I,df_extratos!F:F,Conciliacao!BE325,df_extratos!G:G,"CREDITO")+SUMIFS(df_extratos!I:I,df_extratos!F:F,Conciliacao!A325,df_extratos!G:G,"CREDITO")+SUMIFS(df_extratos!I:I,df_extratos!F:F,Conciliacao!BF325,df_extratos!G:G,"CREDITO")+SUMIFS(df_extratos!I:I,df_extratos!F:F,Conciliacao!BG325,df_extratos!G:G,"CREDITO")+SUMIFS(df_extratos!I:I,df_extratos!F:F,Conciliacao!BH325,df_extratos!G:G,"CREDITO")</f>
        <v/>
      </c>
      <c r="I325" s="9">
        <f>H325-SUM(B325:G325)</f>
        <v/>
      </c>
      <c r="J325" s="4">
        <f>SUMIFS(df_blueme_sem_parcelamento!E:E,df_blueme_sem_parcelamento!H:H,Conciliacao!A325)*(-1)</f>
        <v/>
      </c>
      <c r="K325" s="4">
        <f>SUMIFS(df_blueme_com_parcelamento!J:J,df_blueme_com_parcelamento!M:M,Conciliacao!A325)*(-1)</f>
        <v/>
      </c>
      <c r="L325" s="4">
        <f>SUMIFS(df_mutuos!N:N,df_mutuos!B:B,Conciliacao!A325)*(-1)</f>
        <v/>
      </c>
      <c r="M325" s="8">
        <f>SUMIFS(df_bloqueios_judiciais!G:G,df_bloqueios_judiciais!D:D,Conciliacao!A325,df_bloqueios_judiciais!G:G,"&lt;0")</f>
        <v/>
      </c>
      <c r="N325" s="10">
        <f>SUMIFS(df_extratos!I:I,df_extratos!F:F,Conciliacao!BE325,df_extratos!G:G,"DEBITO")+SUMIFS(df_extratos!I:I,df_extratos!F:F,Conciliacao!A325,df_extratos!G:G,"DEBITO")+SUMIFS(df_extratos!I:I,df_extratos!F:F,Conciliacao!BF325,df_extratos!G:G,"DEBITO")+SUMIFS(df_extratos!I:I,df_extratos!F:F,Conciliacao!BG325,df_extratos!G:G,"DEBITO")+SUMIFS(df_extratos!I:I,df_extratos!F:F,Conciliacao!BH325,df_extratos!G:G,"DEBITO")</f>
        <v/>
      </c>
      <c r="O325" s="11">
        <f>N325-SUM(J325:M325)</f>
        <v/>
      </c>
      <c r="P325" s="25">
        <f>SUMIFS(df_ajustes_conciliaco!D:D,df_ajustes_conciliaco!C:C,Conciliacao!A325)</f>
        <v/>
      </c>
      <c r="Q325" s="22">
        <f>O325+I325-P325</f>
        <v/>
      </c>
      <c r="BE325" s="20" t="n">
        <v>45981.5</v>
      </c>
      <c r="BF325" s="20" t="n">
        <v>45981.125</v>
      </c>
      <c r="BG325" s="20" t="n">
        <v>45981.54166666666</v>
      </c>
      <c r="BH325" s="20" t="n">
        <v>45981.625</v>
      </c>
    </row>
    <row r="326">
      <c r="A326" s="5">
        <f>A325+1</f>
        <v/>
      </c>
      <c r="B326" s="3">
        <f>-SUMIFS(df_extrato_zig!G:G,df_extrato_zig!E:E,Conciliacao!A326,df_extrato_zig!D:D,"Saque")-SUMIFS(df_extrato_zig!G:G,df_extrato_zig!E:E,Conciliacao!A326,df_extrato_zig!D:D,"Antecipação")</f>
        <v/>
      </c>
      <c r="C326" s="3">
        <f>SUMIFS(df_extrato_zig!E:E,df_extrato_zig!L:L,Conciliacao!A326,df_extrato_zig!F:F,"DINHEIRO")</f>
        <v/>
      </c>
      <c r="D326" s="3">
        <f>SUMIFS(view_parc_agrup!H:H,view_parc_agrup!G:G,Conciliacao!A326)</f>
        <v/>
      </c>
      <c r="E326" s="3">
        <f>SUMIFS(df_eventos!F:F,df_eventos!H:H,Conciliacao!A326)</f>
        <v/>
      </c>
      <c r="F326" s="3">
        <f>SUMIFS(df_mutuos!M:M,df_mutuos!B:B,Conciliacao!A326)</f>
        <v/>
      </c>
      <c r="G326" s="6">
        <f>SUMIFS(df_bloqueios_judiciais!G:G,df_bloqueios_judiciais!D:D,Conciliacao!A326,df_bloqueios_judiciais!G:G,"&gt;0")</f>
        <v/>
      </c>
      <c r="H326" s="7">
        <f>SUMIFS(df_extratos!I:I,df_extratos!F:F,Conciliacao!BE326,df_extratos!G:G,"CREDITO")+SUMIFS(df_extratos!I:I,df_extratos!F:F,Conciliacao!A326,df_extratos!G:G,"CREDITO")+SUMIFS(df_extratos!I:I,df_extratos!F:F,Conciliacao!BF326,df_extratos!G:G,"CREDITO")+SUMIFS(df_extratos!I:I,df_extratos!F:F,Conciliacao!BG326,df_extratos!G:G,"CREDITO")+SUMIFS(df_extratos!I:I,df_extratos!F:F,Conciliacao!BH326,df_extratos!G:G,"CREDITO")</f>
        <v/>
      </c>
      <c r="I326" s="9">
        <f>H326-SUM(B326:G326)</f>
        <v/>
      </c>
      <c r="J326" s="4">
        <f>SUMIFS(df_blueme_sem_parcelamento!E:E,df_blueme_sem_parcelamento!H:H,Conciliacao!A326)*(-1)</f>
        <v/>
      </c>
      <c r="K326" s="4">
        <f>SUMIFS(df_blueme_com_parcelamento!J:J,df_blueme_com_parcelamento!M:M,Conciliacao!A326)*(-1)</f>
        <v/>
      </c>
      <c r="L326" s="4">
        <f>SUMIFS(df_mutuos!N:N,df_mutuos!B:B,Conciliacao!A326)*(-1)</f>
        <v/>
      </c>
      <c r="M326" s="8">
        <f>SUMIFS(df_bloqueios_judiciais!G:G,df_bloqueios_judiciais!D:D,Conciliacao!A326,df_bloqueios_judiciais!G:G,"&lt;0")</f>
        <v/>
      </c>
      <c r="N326" s="10">
        <f>SUMIFS(df_extratos!I:I,df_extratos!F:F,Conciliacao!BE326,df_extratos!G:G,"DEBITO")+SUMIFS(df_extratos!I:I,df_extratos!F:F,Conciliacao!A326,df_extratos!G:G,"DEBITO")+SUMIFS(df_extratos!I:I,df_extratos!F:F,Conciliacao!BF326,df_extratos!G:G,"DEBITO")+SUMIFS(df_extratos!I:I,df_extratos!F:F,Conciliacao!BG326,df_extratos!G:G,"DEBITO")+SUMIFS(df_extratos!I:I,df_extratos!F:F,Conciliacao!BH326,df_extratos!G:G,"DEBITO")</f>
        <v/>
      </c>
      <c r="O326" s="11">
        <f>N326-SUM(J326:M326)</f>
        <v/>
      </c>
      <c r="P326" s="25">
        <f>SUMIFS(df_ajustes_conciliaco!D:D,df_ajustes_conciliaco!C:C,Conciliacao!A326)</f>
        <v/>
      </c>
      <c r="Q326" s="22">
        <f>O326+I326-P326</f>
        <v/>
      </c>
      <c r="BE326" s="20" t="n">
        <v>45982.5</v>
      </c>
      <c r="BF326" s="20" t="n">
        <v>45982.125</v>
      </c>
      <c r="BG326" s="20" t="n">
        <v>45982.54166666666</v>
      </c>
      <c r="BH326" s="20" t="n">
        <v>45982.625</v>
      </c>
    </row>
    <row r="327">
      <c r="A327" s="5">
        <f>A326+1</f>
        <v/>
      </c>
      <c r="B327" s="3">
        <f>-SUMIFS(df_extrato_zig!G:G,df_extrato_zig!E:E,Conciliacao!A327,df_extrato_zig!D:D,"Saque")-SUMIFS(df_extrato_zig!G:G,df_extrato_zig!E:E,Conciliacao!A327,df_extrato_zig!D:D,"Antecipação")</f>
        <v/>
      </c>
      <c r="C327" s="3">
        <f>SUMIFS(df_extrato_zig!E:E,df_extrato_zig!L:L,Conciliacao!A327,df_extrato_zig!F:F,"DINHEIRO")</f>
        <v/>
      </c>
      <c r="D327" s="3">
        <f>SUMIFS(view_parc_agrup!H:H,view_parc_agrup!G:G,Conciliacao!A327)</f>
        <v/>
      </c>
      <c r="E327" s="3">
        <f>SUMIFS(df_eventos!F:F,df_eventos!H:H,Conciliacao!A327)</f>
        <v/>
      </c>
      <c r="F327" s="3">
        <f>SUMIFS(df_mutuos!M:M,df_mutuos!B:B,Conciliacao!A327)</f>
        <v/>
      </c>
      <c r="G327" s="6">
        <f>SUMIFS(df_bloqueios_judiciais!G:G,df_bloqueios_judiciais!D:D,Conciliacao!A327,df_bloqueios_judiciais!G:G,"&gt;0")</f>
        <v/>
      </c>
      <c r="H327" s="7">
        <f>SUMIFS(df_extratos!I:I,df_extratos!F:F,Conciliacao!BE327,df_extratos!G:G,"CREDITO")+SUMIFS(df_extratos!I:I,df_extratos!F:F,Conciliacao!A327,df_extratos!G:G,"CREDITO")+SUMIFS(df_extratos!I:I,df_extratos!F:F,Conciliacao!BF327,df_extratos!G:G,"CREDITO")+SUMIFS(df_extratos!I:I,df_extratos!F:F,Conciliacao!BG327,df_extratos!G:G,"CREDITO")+SUMIFS(df_extratos!I:I,df_extratos!F:F,Conciliacao!BH327,df_extratos!G:G,"CREDITO")</f>
        <v/>
      </c>
      <c r="I327" s="9">
        <f>H327-SUM(B327:G327)</f>
        <v/>
      </c>
      <c r="J327" s="4">
        <f>SUMIFS(df_blueme_sem_parcelamento!E:E,df_blueme_sem_parcelamento!H:H,Conciliacao!A327)*(-1)</f>
        <v/>
      </c>
      <c r="K327" s="4">
        <f>SUMIFS(df_blueme_com_parcelamento!J:J,df_blueme_com_parcelamento!M:M,Conciliacao!A327)*(-1)</f>
        <v/>
      </c>
      <c r="L327" s="4">
        <f>SUMIFS(df_mutuos!N:N,df_mutuos!B:B,Conciliacao!A327)*(-1)</f>
        <v/>
      </c>
      <c r="M327" s="8">
        <f>SUMIFS(df_bloqueios_judiciais!G:G,df_bloqueios_judiciais!D:D,Conciliacao!A327,df_bloqueios_judiciais!G:G,"&lt;0")</f>
        <v/>
      </c>
      <c r="N327" s="10">
        <f>SUMIFS(df_extratos!I:I,df_extratos!F:F,Conciliacao!BE327,df_extratos!G:G,"DEBITO")+SUMIFS(df_extratos!I:I,df_extratos!F:F,Conciliacao!A327,df_extratos!G:G,"DEBITO")+SUMIFS(df_extratos!I:I,df_extratos!F:F,Conciliacao!BF327,df_extratos!G:G,"DEBITO")+SUMIFS(df_extratos!I:I,df_extratos!F:F,Conciliacao!BG327,df_extratos!G:G,"DEBITO")+SUMIFS(df_extratos!I:I,df_extratos!F:F,Conciliacao!BH327,df_extratos!G:G,"DEBITO")</f>
        <v/>
      </c>
      <c r="O327" s="11">
        <f>N327-SUM(J327:M327)</f>
        <v/>
      </c>
      <c r="P327" s="25">
        <f>SUMIFS(df_ajustes_conciliaco!D:D,df_ajustes_conciliaco!C:C,Conciliacao!A327)</f>
        <v/>
      </c>
      <c r="Q327" s="22">
        <f>O327+I327-P327</f>
        <v/>
      </c>
      <c r="BE327" s="20" t="n">
        <v>45983.5</v>
      </c>
      <c r="BF327" s="20" t="n">
        <v>45983.125</v>
      </c>
      <c r="BG327" s="20" t="n">
        <v>45983.54166666666</v>
      </c>
      <c r="BH327" s="20" t="n">
        <v>45983.625</v>
      </c>
    </row>
    <row r="328">
      <c r="A328" s="5">
        <f>A327+1</f>
        <v/>
      </c>
      <c r="B328" s="3">
        <f>-SUMIFS(df_extrato_zig!G:G,df_extrato_zig!E:E,Conciliacao!A328,df_extrato_zig!D:D,"Saque")-SUMIFS(df_extrato_zig!G:G,df_extrato_zig!E:E,Conciliacao!A328,df_extrato_zig!D:D,"Antecipação")</f>
        <v/>
      </c>
      <c r="C328" s="3">
        <f>SUMIFS(df_extrato_zig!E:E,df_extrato_zig!L:L,Conciliacao!A328,df_extrato_zig!F:F,"DINHEIRO")</f>
        <v/>
      </c>
      <c r="D328" s="3">
        <f>SUMIFS(view_parc_agrup!H:H,view_parc_agrup!G:G,Conciliacao!A328)</f>
        <v/>
      </c>
      <c r="E328" s="3">
        <f>SUMIFS(df_eventos!F:F,df_eventos!H:H,Conciliacao!A328)</f>
        <v/>
      </c>
      <c r="F328" s="3">
        <f>SUMIFS(df_mutuos!M:M,df_mutuos!B:B,Conciliacao!A328)</f>
        <v/>
      </c>
      <c r="G328" s="6">
        <f>SUMIFS(df_bloqueios_judiciais!G:G,df_bloqueios_judiciais!D:D,Conciliacao!A328,df_bloqueios_judiciais!G:G,"&gt;0")</f>
        <v/>
      </c>
      <c r="H328" s="7">
        <f>SUMIFS(df_extratos!I:I,df_extratos!F:F,Conciliacao!BE328,df_extratos!G:G,"CREDITO")+SUMIFS(df_extratos!I:I,df_extratos!F:F,Conciliacao!A328,df_extratos!G:G,"CREDITO")+SUMIFS(df_extratos!I:I,df_extratos!F:F,Conciliacao!BF328,df_extratos!G:G,"CREDITO")+SUMIFS(df_extratos!I:I,df_extratos!F:F,Conciliacao!BG328,df_extratos!G:G,"CREDITO")+SUMIFS(df_extratos!I:I,df_extratos!F:F,Conciliacao!BH328,df_extratos!G:G,"CREDITO")</f>
        <v/>
      </c>
      <c r="I328" s="9">
        <f>H328-SUM(B328:G328)</f>
        <v/>
      </c>
      <c r="J328" s="4">
        <f>SUMIFS(df_blueme_sem_parcelamento!E:E,df_blueme_sem_parcelamento!H:H,Conciliacao!A328)*(-1)</f>
        <v/>
      </c>
      <c r="K328" s="4">
        <f>SUMIFS(df_blueme_com_parcelamento!J:J,df_blueme_com_parcelamento!M:M,Conciliacao!A328)*(-1)</f>
        <v/>
      </c>
      <c r="L328" s="4">
        <f>SUMIFS(df_mutuos!N:N,df_mutuos!B:B,Conciliacao!A328)*(-1)</f>
        <v/>
      </c>
      <c r="M328" s="8">
        <f>SUMIFS(df_bloqueios_judiciais!G:G,df_bloqueios_judiciais!D:D,Conciliacao!A328,df_bloqueios_judiciais!G:G,"&lt;0")</f>
        <v/>
      </c>
      <c r="N328" s="10">
        <f>SUMIFS(df_extratos!I:I,df_extratos!F:F,Conciliacao!BE328,df_extratos!G:G,"DEBITO")+SUMIFS(df_extratos!I:I,df_extratos!F:F,Conciliacao!A328,df_extratos!G:G,"DEBITO")+SUMIFS(df_extratos!I:I,df_extratos!F:F,Conciliacao!BF328,df_extratos!G:G,"DEBITO")+SUMIFS(df_extratos!I:I,df_extratos!F:F,Conciliacao!BG328,df_extratos!G:G,"DEBITO")+SUMIFS(df_extratos!I:I,df_extratos!F:F,Conciliacao!BH328,df_extratos!G:G,"DEBITO")</f>
        <v/>
      </c>
      <c r="O328" s="11">
        <f>N328-SUM(J328:M328)</f>
        <v/>
      </c>
      <c r="P328" s="25">
        <f>SUMIFS(df_ajustes_conciliaco!D:D,df_ajustes_conciliaco!C:C,Conciliacao!A328)</f>
        <v/>
      </c>
      <c r="Q328" s="22">
        <f>O328+I328-P328</f>
        <v/>
      </c>
      <c r="BE328" s="20" t="n">
        <v>45984.5</v>
      </c>
      <c r="BF328" s="20" t="n">
        <v>45984.125</v>
      </c>
      <c r="BG328" s="20" t="n">
        <v>45984.54166666666</v>
      </c>
      <c r="BH328" s="20" t="n">
        <v>45984.625</v>
      </c>
    </row>
    <row r="329">
      <c r="A329" s="5">
        <f>A328+1</f>
        <v/>
      </c>
      <c r="B329" s="3">
        <f>-SUMIFS(df_extrato_zig!G:G,df_extrato_zig!E:E,Conciliacao!A329,df_extrato_zig!D:D,"Saque")-SUMIFS(df_extrato_zig!G:G,df_extrato_zig!E:E,Conciliacao!A329,df_extrato_zig!D:D,"Antecipação")</f>
        <v/>
      </c>
      <c r="C329" s="3">
        <f>SUMIFS(df_extrato_zig!E:E,df_extrato_zig!L:L,Conciliacao!A329,df_extrato_zig!F:F,"DINHEIRO")</f>
        <v/>
      </c>
      <c r="D329" s="3">
        <f>SUMIFS(view_parc_agrup!H:H,view_parc_agrup!G:G,Conciliacao!A329)</f>
        <v/>
      </c>
      <c r="E329" s="3">
        <f>SUMIFS(df_eventos!F:F,df_eventos!H:H,Conciliacao!A329)</f>
        <v/>
      </c>
      <c r="F329" s="3">
        <f>SUMIFS(df_mutuos!M:M,df_mutuos!B:B,Conciliacao!A329)</f>
        <v/>
      </c>
      <c r="G329" s="6">
        <f>SUMIFS(df_bloqueios_judiciais!G:G,df_bloqueios_judiciais!D:D,Conciliacao!A329,df_bloqueios_judiciais!G:G,"&gt;0")</f>
        <v/>
      </c>
      <c r="H329" s="7">
        <f>SUMIFS(df_extratos!I:I,df_extratos!F:F,Conciliacao!BE329,df_extratos!G:G,"CREDITO")+SUMIFS(df_extratos!I:I,df_extratos!F:F,Conciliacao!A329,df_extratos!G:G,"CREDITO")+SUMIFS(df_extratos!I:I,df_extratos!F:F,Conciliacao!BF329,df_extratos!G:G,"CREDITO")+SUMIFS(df_extratos!I:I,df_extratos!F:F,Conciliacao!BG329,df_extratos!G:G,"CREDITO")+SUMIFS(df_extratos!I:I,df_extratos!F:F,Conciliacao!BH329,df_extratos!G:G,"CREDITO")</f>
        <v/>
      </c>
      <c r="I329" s="9">
        <f>H329-SUM(B329:G329)</f>
        <v/>
      </c>
      <c r="J329" s="4">
        <f>SUMIFS(df_blueme_sem_parcelamento!E:E,df_blueme_sem_parcelamento!H:H,Conciliacao!A329)*(-1)</f>
        <v/>
      </c>
      <c r="K329" s="4">
        <f>SUMIFS(df_blueme_com_parcelamento!J:J,df_blueme_com_parcelamento!M:M,Conciliacao!A329)*(-1)</f>
        <v/>
      </c>
      <c r="L329" s="4">
        <f>SUMIFS(df_mutuos!N:N,df_mutuos!B:B,Conciliacao!A329)*(-1)</f>
        <v/>
      </c>
      <c r="M329" s="8">
        <f>SUMIFS(df_bloqueios_judiciais!G:G,df_bloqueios_judiciais!D:D,Conciliacao!A329,df_bloqueios_judiciais!G:G,"&lt;0")</f>
        <v/>
      </c>
      <c r="N329" s="10">
        <f>SUMIFS(df_extratos!I:I,df_extratos!F:F,Conciliacao!BE329,df_extratos!G:G,"DEBITO")+SUMIFS(df_extratos!I:I,df_extratos!F:F,Conciliacao!A329,df_extratos!G:G,"DEBITO")+SUMIFS(df_extratos!I:I,df_extratos!F:F,Conciliacao!BF329,df_extratos!G:G,"DEBITO")+SUMIFS(df_extratos!I:I,df_extratos!F:F,Conciliacao!BG329,df_extratos!G:G,"DEBITO")+SUMIFS(df_extratos!I:I,df_extratos!F:F,Conciliacao!BH329,df_extratos!G:G,"DEBITO")</f>
        <v/>
      </c>
      <c r="O329" s="11">
        <f>N329-SUM(J329:M329)</f>
        <v/>
      </c>
      <c r="P329" s="25">
        <f>SUMIFS(df_ajustes_conciliaco!D:D,df_ajustes_conciliaco!C:C,Conciliacao!A329)</f>
        <v/>
      </c>
      <c r="Q329" s="22">
        <f>O329+I329-P329</f>
        <v/>
      </c>
      <c r="BE329" s="20" t="n">
        <v>45985.5</v>
      </c>
      <c r="BF329" s="20" t="n">
        <v>45985.125</v>
      </c>
      <c r="BG329" s="20" t="n">
        <v>45985.54166666666</v>
      </c>
      <c r="BH329" s="20" t="n">
        <v>45985.625</v>
      </c>
    </row>
    <row r="330">
      <c r="A330" s="5">
        <f>A329+1</f>
        <v/>
      </c>
      <c r="B330" s="3">
        <f>-SUMIFS(df_extrato_zig!G:G,df_extrato_zig!E:E,Conciliacao!A330,df_extrato_zig!D:D,"Saque")-SUMIFS(df_extrato_zig!G:G,df_extrato_zig!E:E,Conciliacao!A330,df_extrato_zig!D:D,"Antecipação")</f>
        <v/>
      </c>
      <c r="C330" s="3">
        <f>SUMIFS(df_extrato_zig!E:E,df_extrato_zig!L:L,Conciliacao!A330,df_extrato_zig!F:F,"DINHEIRO")</f>
        <v/>
      </c>
      <c r="D330" s="3">
        <f>SUMIFS(view_parc_agrup!H:H,view_parc_agrup!G:G,Conciliacao!A330)</f>
        <v/>
      </c>
      <c r="E330" s="3">
        <f>SUMIFS(df_eventos!F:F,df_eventos!H:H,Conciliacao!A330)</f>
        <v/>
      </c>
      <c r="F330" s="3">
        <f>SUMIFS(df_mutuos!M:M,df_mutuos!B:B,Conciliacao!A330)</f>
        <v/>
      </c>
      <c r="G330" s="6">
        <f>SUMIFS(df_bloqueios_judiciais!G:G,df_bloqueios_judiciais!D:D,Conciliacao!A330,df_bloqueios_judiciais!G:G,"&gt;0")</f>
        <v/>
      </c>
      <c r="H330" s="7">
        <f>SUMIFS(df_extratos!I:I,df_extratos!F:F,Conciliacao!BE330,df_extratos!G:G,"CREDITO")+SUMIFS(df_extratos!I:I,df_extratos!F:F,Conciliacao!A330,df_extratos!G:G,"CREDITO")+SUMIFS(df_extratos!I:I,df_extratos!F:F,Conciliacao!BF330,df_extratos!G:G,"CREDITO")+SUMIFS(df_extratos!I:I,df_extratos!F:F,Conciliacao!BG330,df_extratos!G:G,"CREDITO")+SUMIFS(df_extratos!I:I,df_extratos!F:F,Conciliacao!BH330,df_extratos!G:G,"CREDITO")</f>
        <v/>
      </c>
      <c r="I330" s="9">
        <f>H330-SUM(B330:G330)</f>
        <v/>
      </c>
      <c r="J330" s="4">
        <f>SUMIFS(df_blueme_sem_parcelamento!E:E,df_blueme_sem_parcelamento!H:H,Conciliacao!A330)*(-1)</f>
        <v/>
      </c>
      <c r="K330" s="4">
        <f>SUMIFS(df_blueme_com_parcelamento!J:J,df_blueme_com_parcelamento!M:M,Conciliacao!A330)*(-1)</f>
        <v/>
      </c>
      <c r="L330" s="4">
        <f>SUMIFS(df_mutuos!N:N,df_mutuos!B:B,Conciliacao!A330)*(-1)</f>
        <v/>
      </c>
      <c r="M330" s="8">
        <f>SUMIFS(df_bloqueios_judiciais!G:G,df_bloqueios_judiciais!D:D,Conciliacao!A330,df_bloqueios_judiciais!G:G,"&lt;0")</f>
        <v/>
      </c>
      <c r="N330" s="10">
        <f>SUMIFS(df_extratos!I:I,df_extratos!F:F,Conciliacao!BE330,df_extratos!G:G,"DEBITO")+SUMIFS(df_extratos!I:I,df_extratos!F:F,Conciliacao!A330,df_extratos!G:G,"DEBITO")+SUMIFS(df_extratos!I:I,df_extratos!F:F,Conciliacao!BF330,df_extratos!G:G,"DEBITO")+SUMIFS(df_extratos!I:I,df_extratos!F:F,Conciliacao!BG330,df_extratos!G:G,"DEBITO")+SUMIFS(df_extratos!I:I,df_extratos!F:F,Conciliacao!BH330,df_extratos!G:G,"DEBITO")</f>
        <v/>
      </c>
      <c r="O330" s="11">
        <f>N330-SUM(J330:M330)</f>
        <v/>
      </c>
      <c r="P330" s="25">
        <f>SUMIFS(df_ajustes_conciliaco!D:D,df_ajustes_conciliaco!C:C,Conciliacao!A330)</f>
        <v/>
      </c>
      <c r="Q330" s="22">
        <f>O330+I330-P330</f>
        <v/>
      </c>
      <c r="BE330" s="20" t="n">
        <v>45986.5</v>
      </c>
      <c r="BF330" s="20" t="n">
        <v>45986.125</v>
      </c>
      <c r="BG330" s="20" t="n">
        <v>45986.54166666666</v>
      </c>
      <c r="BH330" s="20" t="n">
        <v>45986.625</v>
      </c>
    </row>
    <row r="331">
      <c r="A331" s="5">
        <f>A330+1</f>
        <v/>
      </c>
      <c r="B331" s="3">
        <f>-SUMIFS(df_extrato_zig!G:G,df_extrato_zig!E:E,Conciliacao!A331,df_extrato_zig!D:D,"Saque")-SUMIFS(df_extrato_zig!G:G,df_extrato_zig!E:E,Conciliacao!A331,df_extrato_zig!D:D,"Antecipação")</f>
        <v/>
      </c>
      <c r="C331" s="3">
        <f>SUMIFS(df_extrato_zig!E:E,df_extrato_zig!L:L,Conciliacao!A331,df_extrato_zig!F:F,"DINHEIRO")</f>
        <v/>
      </c>
      <c r="D331" s="3">
        <f>SUMIFS(view_parc_agrup!H:H,view_parc_agrup!G:G,Conciliacao!A331)</f>
        <v/>
      </c>
      <c r="E331" s="3">
        <f>SUMIFS(df_eventos!F:F,df_eventos!H:H,Conciliacao!A331)</f>
        <v/>
      </c>
      <c r="F331" s="3">
        <f>SUMIFS(df_mutuos!M:M,df_mutuos!B:B,Conciliacao!A331)</f>
        <v/>
      </c>
      <c r="G331" s="6">
        <f>SUMIFS(df_bloqueios_judiciais!G:G,df_bloqueios_judiciais!D:D,Conciliacao!A331,df_bloqueios_judiciais!G:G,"&gt;0")</f>
        <v/>
      </c>
      <c r="H331" s="7">
        <f>SUMIFS(df_extratos!I:I,df_extratos!F:F,Conciliacao!BE331,df_extratos!G:G,"CREDITO")+SUMIFS(df_extratos!I:I,df_extratos!F:F,Conciliacao!A331,df_extratos!G:G,"CREDITO")+SUMIFS(df_extratos!I:I,df_extratos!F:F,Conciliacao!BF331,df_extratos!G:G,"CREDITO")+SUMIFS(df_extratos!I:I,df_extratos!F:F,Conciliacao!BG331,df_extratos!G:G,"CREDITO")+SUMIFS(df_extratos!I:I,df_extratos!F:F,Conciliacao!BH331,df_extratos!G:G,"CREDITO")</f>
        <v/>
      </c>
      <c r="I331" s="9">
        <f>H331-SUM(B331:G331)</f>
        <v/>
      </c>
      <c r="J331" s="4">
        <f>SUMIFS(df_blueme_sem_parcelamento!E:E,df_blueme_sem_parcelamento!H:H,Conciliacao!A331)*(-1)</f>
        <v/>
      </c>
      <c r="K331" s="4">
        <f>SUMIFS(df_blueme_com_parcelamento!J:J,df_blueme_com_parcelamento!M:M,Conciliacao!A331)*(-1)</f>
        <v/>
      </c>
      <c r="L331" s="4">
        <f>SUMIFS(df_mutuos!N:N,df_mutuos!B:B,Conciliacao!A331)*(-1)</f>
        <v/>
      </c>
      <c r="M331" s="8">
        <f>SUMIFS(df_bloqueios_judiciais!G:G,df_bloqueios_judiciais!D:D,Conciliacao!A331,df_bloqueios_judiciais!G:G,"&lt;0")</f>
        <v/>
      </c>
      <c r="N331" s="10">
        <f>SUMIFS(df_extratos!I:I,df_extratos!F:F,Conciliacao!BE331,df_extratos!G:G,"DEBITO")+SUMIFS(df_extratos!I:I,df_extratos!F:F,Conciliacao!A331,df_extratos!G:G,"DEBITO")+SUMIFS(df_extratos!I:I,df_extratos!F:F,Conciliacao!BF331,df_extratos!G:G,"DEBITO")+SUMIFS(df_extratos!I:I,df_extratos!F:F,Conciliacao!BG331,df_extratos!G:G,"DEBITO")+SUMIFS(df_extratos!I:I,df_extratos!F:F,Conciliacao!BH331,df_extratos!G:G,"DEBITO")</f>
        <v/>
      </c>
      <c r="O331" s="11">
        <f>N331-SUM(J331:M331)</f>
        <v/>
      </c>
      <c r="P331" s="25">
        <f>SUMIFS(df_ajustes_conciliaco!D:D,df_ajustes_conciliaco!C:C,Conciliacao!A331)</f>
        <v/>
      </c>
      <c r="Q331" s="22">
        <f>O331+I331-P331</f>
        <v/>
      </c>
      <c r="BE331" s="20" t="n">
        <v>45987.5</v>
      </c>
      <c r="BF331" s="20" t="n">
        <v>45987.125</v>
      </c>
      <c r="BG331" s="20" t="n">
        <v>45987.54166666666</v>
      </c>
      <c r="BH331" s="20" t="n">
        <v>45987.625</v>
      </c>
    </row>
    <row r="332">
      <c r="A332" s="5">
        <f>A331+1</f>
        <v/>
      </c>
      <c r="B332" s="3">
        <f>-SUMIFS(df_extrato_zig!G:G,df_extrato_zig!E:E,Conciliacao!A332,df_extrato_zig!D:D,"Saque")-SUMIFS(df_extrato_zig!G:G,df_extrato_zig!E:E,Conciliacao!A332,df_extrato_zig!D:D,"Antecipação")</f>
        <v/>
      </c>
      <c r="C332" s="3">
        <f>SUMIFS(df_extrato_zig!E:E,df_extrato_zig!L:L,Conciliacao!A332,df_extrato_zig!F:F,"DINHEIRO")</f>
        <v/>
      </c>
      <c r="D332" s="3">
        <f>SUMIFS(view_parc_agrup!H:H,view_parc_agrup!G:G,Conciliacao!A332)</f>
        <v/>
      </c>
      <c r="E332" s="3">
        <f>SUMIFS(df_eventos!F:F,df_eventos!H:H,Conciliacao!A332)</f>
        <v/>
      </c>
      <c r="F332" s="3">
        <f>SUMIFS(df_mutuos!M:M,df_mutuos!B:B,Conciliacao!A332)</f>
        <v/>
      </c>
      <c r="G332" s="6">
        <f>SUMIFS(df_bloqueios_judiciais!G:G,df_bloqueios_judiciais!D:D,Conciliacao!A332,df_bloqueios_judiciais!G:G,"&gt;0")</f>
        <v/>
      </c>
      <c r="H332" s="7">
        <f>SUMIFS(df_extratos!I:I,df_extratos!F:F,Conciliacao!BE332,df_extratos!G:G,"CREDITO")+SUMIFS(df_extratos!I:I,df_extratos!F:F,Conciliacao!A332,df_extratos!G:G,"CREDITO")+SUMIFS(df_extratos!I:I,df_extratos!F:F,Conciliacao!BF332,df_extratos!G:G,"CREDITO")+SUMIFS(df_extratos!I:I,df_extratos!F:F,Conciliacao!BG332,df_extratos!G:G,"CREDITO")+SUMIFS(df_extratos!I:I,df_extratos!F:F,Conciliacao!BH332,df_extratos!G:G,"CREDITO")</f>
        <v/>
      </c>
      <c r="I332" s="9">
        <f>H332-SUM(B332:G332)</f>
        <v/>
      </c>
      <c r="J332" s="4">
        <f>SUMIFS(df_blueme_sem_parcelamento!E:E,df_blueme_sem_parcelamento!H:H,Conciliacao!A332)*(-1)</f>
        <v/>
      </c>
      <c r="K332" s="4">
        <f>SUMIFS(df_blueme_com_parcelamento!J:J,df_blueme_com_parcelamento!M:M,Conciliacao!A332)*(-1)</f>
        <v/>
      </c>
      <c r="L332" s="4">
        <f>SUMIFS(df_mutuos!N:N,df_mutuos!B:B,Conciliacao!A332)*(-1)</f>
        <v/>
      </c>
      <c r="M332" s="8">
        <f>SUMIFS(df_bloqueios_judiciais!G:G,df_bloqueios_judiciais!D:D,Conciliacao!A332,df_bloqueios_judiciais!G:G,"&lt;0")</f>
        <v/>
      </c>
      <c r="N332" s="10">
        <f>SUMIFS(df_extratos!I:I,df_extratos!F:F,Conciliacao!BE332,df_extratos!G:G,"DEBITO")+SUMIFS(df_extratos!I:I,df_extratos!F:F,Conciliacao!A332,df_extratos!G:G,"DEBITO")+SUMIFS(df_extratos!I:I,df_extratos!F:F,Conciliacao!BF332,df_extratos!G:G,"DEBITO")+SUMIFS(df_extratos!I:I,df_extratos!F:F,Conciliacao!BG332,df_extratos!G:G,"DEBITO")+SUMIFS(df_extratos!I:I,df_extratos!F:F,Conciliacao!BH332,df_extratos!G:G,"DEBITO")</f>
        <v/>
      </c>
      <c r="O332" s="11">
        <f>N332-SUM(J332:M332)</f>
        <v/>
      </c>
      <c r="P332" s="25">
        <f>SUMIFS(df_ajustes_conciliaco!D:D,df_ajustes_conciliaco!C:C,Conciliacao!A332)</f>
        <v/>
      </c>
      <c r="Q332" s="22">
        <f>O332+I332-P332</f>
        <v/>
      </c>
      <c r="BE332" s="20" t="n">
        <v>45988.5</v>
      </c>
      <c r="BF332" s="20" t="n">
        <v>45988.125</v>
      </c>
      <c r="BG332" s="20" t="n">
        <v>45988.54166666666</v>
      </c>
      <c r="BH332" s="20" t="n">
        <v>45988.625</v>
      </c>
    </row>
    <row r="333">
      <c r="A333" s="5">
        <f>A332+1</f>
        <v/>
      </c>
      <c r="B333" s="3">
        <f>-SUMIFS(df_extrato_zig!G:G,df_extrato_zig!E:E,Conciliacao!A333,df_extrato_zig!D:D,"Saque")-SUMIFS(df_extrato_zig!G:G,df_extrato_zig!E:E,Conciliacao!A333,df_extrato_zig!D:D,"Antecipação")</f>
        <v/>
      </c>
      <c r="C333" s="3">
        <f>SUMIFS(df_extrato_zig!E:E,df_extrato_zig!L:L,Conciliacao!A333,df_extrato_zig!F:F,"DINHEIRO")</f>
        <v/>
      </c>
      <c r="D333" s="3">
        <f>SUMIFS(view_parc_agrup!H:H,view_parc_agrup!G:G,Conciliacao!A333)</f>
        <v/>
      </c>
      <c r="E333" s="3">
        <f>SUMIFS(df_eventos!F:F,df_eventos!H:H,Conciliacao!A333)</f>
        <v/>
      </c>
      <c r="F333" s="3">
        <f>SUMIFS(df_mutuos!M:M,df_mutuos!B:B,Conciliacao!A333)</f>
        <v/>
      </c>
      <c r="G333" s="6">
        <f>SUMIFS(df_bloqueios_judiciais!G:G,df_bloqueios_judiciais!D:D,Conciliacao!A333,df_bloqueios_judiciais!G:G,"&gt;0")</f>
        <v/>
      </c>
      <c r="H333" s="7">
        <f>SUMIFS(df_extratos!I:I,df_extratos!F:F,Conciliacao!BE333,df_extratos!G:G,"CREDITO")+SUMIFS(df_extratos!I:I,df_extratos!F:F,Conciliacao!A333,df_extratos!G:G,"CREDITO")+SUMIFS(df_extratos!I:I,df_extratos!F:F,Conciliacao!BF333,df_extratos!G:G,"CREDITO")+SUMIFS(df_extratos!I:I,df_extratos!F:F,Conciliacao!BG333,df_extratos!G:G,"CREDITO")+SUMIFS(df_extratos!I:I,df_extratos!F:F,Conciliacao!BH333,df_extratos!G:G,"CREDITO")</f>
        <v/>
      </c>
      <c r="I333" s="9">
        <f>H333-SUM(B333:G333)</f>
        <v/>
      </c>
      <c r="J333" s="4">
        <f>SUMIFS(df_blueme_sem_parcelamento!E:E,df_blueme_sem_parcelamento!H:H,Conciliacao!A333)*(-1)</f>
        <v/>
      </c>
      <c r="K333" s="4">
        <f>SUMIFS(df_blueme_com_parcelamento!J:J,df_blueme_com_parcelamento!M:M,Conciliacao!A333)*(-1)</f>
        <v/>
      </c>
      <c r="L333" s="4">
        <f>SUMIFS(df_mutuos!N:N,df_mutuos!B:B,Conciliacao!A333)*(-1)</f>
        <v/>
      </c>
      <c r="M333" s="8">
        <f>SUMIFS(df_bloqueios_judiciais!G:G,df_bloqueios_judiciais!D:D,Conciliacao!A333,df_bloqueios_judiciais!G:G,"&lt;0")</f>
        <v/>
      </c>
      <c r="N333" s="10">
        <f>SUMIFS(df_extratos!I:I,df_extratos!F:F,Conciliacao!BE333,df_extratos!G:G,"DEBITO")+SUMIFS(df_extratos!I:I,df_extratos!F:F,Conciliacao!A333,df_extratos!G:G,"DEBITO")+SUMIFS(df_extratos!I:I,df_extratos!F:F,Conciliacao!BF333,df_extratos!G:G,"DEBITO")+SUMIFS(df_extratos!I:I,df_extratos!F:F,Conciliacao!BG333,df_extratos!G:G,"DEBITO")+SUMIFS(df_extratos!I:I,df_extratos!F:F,Conciliacao!BH333,df_extratos!G:G,"DEBITO")</f>
        <v/>
      </c>
      <c r="O333" s="11">
        <f>N333-SUM(J333:M333)</f>
        <v/>
      </c>
      <c r="P333" s="25">
        <f>SUMIFS(df_ajustes_conciliaco!D:D,df_ajustes_conciliaco!C:C,Conciliacao!A333)</f>
        <v/>
      </c>
      <c r="Q333" s="22">
        <f>O333+I333-P333</f>
        <v/>
      </c>
      <c r="BE333" s="20" t="n">
        <v>45989.5</v>
      </c>
      <c r="BF333" s="20" t="n">
        <v>45989.125</v>
      </c>
      <c r="BG333" s="20" t="n">
        <v>45989.54166666666</v>
      </c>
      <c r="BH333" s="20" t="n">
        <v>45989.625</v>
      </c>
    </row>
    <row r="334">
      <c r="A334" s="5">
        <f>A333+1</f>
        <v/>
      </c>
      <c r="B334" s="3">
        <f>-SUMIFS(df_extrato_zig!G:G,df_extrato_zig!E:E,Conciliacao!A334,df_extrato_zig!D:D,"Saque")-SUMIFS(df_extrato_zig!G:G,df_extrato_zig!E:E,Conciliacao!A334,df_extrato_zig!D:D,"Antecipação")</f>
        <v/>
      </c>
      <c r="C334" s="3">
        <f>SUMIFS(df_extrato_zig!E:E,df_extrato_zig!L:L,Conciliacao!A334,df_extrato_zig!F:F,"DINHEIRO")</f>
        <v/>
      </c>
      <c r="D334" s="3">
        <f>SUMIFS(view_parc_agrup!H:H,view_parc_agrup!G:G,Conciliacao!A334)</f>
        <v/>
      </c>
      <c r="E334" s="3">
        <f>SUMIFS(df_eventos!F:F,df_eventos!H:H,Conciliacao!A334)</f>
        <v/>
      </c>
      <c r="F334" s="3">
        <f>SUMIFS(df_mutuos!M:M,df_mutuos!B:B,Conciliacao!A334)</f>
        <v/>
      </c>
      <c r="G334" s="6">
        <f>SUMIFS(df_bloqueios_judiciais!G:G,df_bloqueios_judiciais!D:D,Conciliacao!A334,df_bloqueios_judiciais!G:G,"&gt;0")</f>
        <v/>
      </c>
      <c r="H334" s="7">
        <f>SUMIFS(df_extratos!I:I,df_extratos!F:F,Conciliacao!BE334,df_extratos!G:G,"CREDITO")+SUMIFS(df_extratos!I:I,df_extratos!F:F,Conciliacao!A334,df_extratos!G:G,"CREDITO")+SUMIFS(df_extratos!I:I,df_extratos!F:F,Conciliacao!BF334,df_extratos!G:G,"CREDITO")+SUMIFS(df_extratos!I:I,df_extratos!F:F,Conciliacao!BG334,df_extratos!G:G,"CREDITO")+SUMIFS(df_extratos!I:I,df_extratos!F:F,Conciliacao!BH334,df_extratos!G:G,"CREDITO")</f>
        <v/>
      </c>
      <c r="I334" s="9">
        <f>H334-SUM(B334:G334)</f>
        <v/>
      </c>
      <c r="J334" s="4">
        <f>SUMIFS(df_blueme_sem_parcelamento!E:E,df_blueme_sem_parcelamento!H:H,Conciliacao!A334)*(-1)</f>
        <v/>
      </c>
      <c r="K334" s="4">
        <f>SUMIFS(df_blueme_com_parcelamento!J:J,df_blueme_com_parcelamento!M:M,Conciliacao!A334)*(-1)</f>
        <v/>
      </c>
      <c r="L334" s="4">
        <f>SUMIFS(df_mutuos!N:N,df_mutuos!B:B,Conciliacao!A334)*(-1)</f>
        <v/>
      </c>
      <c r="M334" s="8">
        <f>SUMIFS(df_bloqueios_judiciais!G:G,df_bloqueios_judiciais!D:D,Conciliacao!A334,df_bloqueios_judiciais!G:G,"&lt;0")</f>
        <v/>
      </c>
      <c r="N334" s="10">
        <f>SUMIFS(df_extratos!I:I,df_extratos!F:F,Conciliacao!BE334,df_extratos!G:G,"DEBITO")+SUMIFS(df_extratos!I:I,df_extratos!F:F,Conciliacao!A334,df_extratos!G:G,"DEBITO")+SUMIFS(df_extratos!I:I,df_extratos!F:F,Conciliacao!BF334,df_extratos!G:G,"DEBITO")+SUMIFS(df_extratos!I:I,df_extratos!F:F,Conciliacao!BG334,df_extratos!G:G,"DEBITO")+SUMIFS(df_extratos!I:I,df_extratos!F:F,Conciliacao!BH334,df_extratos!G:G,"DEBITO")</f>
        <v/>
      </c>
      <c r="O334" s="11">
        <f>N334-SUM(J334:M334)</f>
        <v/>
      </c>
      <c r="P334" s="25">
        <f>SUMIFS(df_ajustes_conciliaco!D:D,df_ajustes_conciliaco!C:C,Conciliacao!A334)</f>
        <v/>
      </c>
      <c r="Q334" s="22">
        <f>O334+I334-P334</f>
        <v/>
      </c>
      <c r="BE334" s="20" t="n">
        <v>45990.5</v>
      </c>
      <c r="BF334" s="20" t="n">
        <v>45990.125</v>
      </c>
      <c r="BG334" s="20" t="n">
        <v>45990.54166666666</v>
      </c>
      <c r="BH334" s="20" t="n">
        <v>45990.625</v>
      </c>
    </row>
    <row r="335">
      <c r="A335" s="5">
        <f>A334+1</f>
        <v/>
      </c>
      <c r="B335" s="3">
        <f>-SUMIFS(df_extrato_zig!G:G,df_extrato_zig!E:E,Conciliacao!A335,df_extrato_zig!D:D,"Saque")-SUMIFS(df_extrato_zig!G:G,df_extrato_zig!E:E,Conciliacao!A335,df_extrato_zig!D:D,"Antecipação")</f>
        <v/>
      </c>
      <c r="C335" s="3">
        <f>SUMIFS(df_extrato_zig!E:E,df_extrato_zig!L:L,Conciliacao!A335,df_extrato_zig!F:F,"DINHEIRO")</f>
        <v/>
      </c>
      <c r="D335" s="3">
        <f>SUMIFS(view_parc_agrup!H:H,view_parc_agrup!G:G,Conciliacao!A335)</f>
        <v/>
      </c>
      <c r="E335" s="3">
        <f>SUMIFS(df_eventos!F:F,df_eventos!H:H,Conciliacao!A335)</f>
        <v/>
      </c>
      <c r="F335" s="3">
        <f>SUMIFS(df_mutuos!M:M,df_mutuos!B:B,Conciliacao!A335)</f>
        <v/>
      </c>
      <c r="G335" s="6">
        <f>SUMIFS(df_bloqueios_judiciais!G:G,df_bloqueios_judiciais!D:D,Conciliacao!A335,df_bloqueios_judiciais!G:G,"&gt;0")</f>
        <v/>
      </c>
      <c r="H335" s="7">
        <f>SUMIFS(df_extratos!I:I,df_extratos!F:F,Conciliacao!BE335,df_extratos!G:G,"CREDITO")+SUMIFS(df_extratos!I:I,df_extratos!F:F,Conciliacao!A335,df_extratos!G:G,"CREDITO")+SUMIFS(df_extratos!I:I,df_extratos!F:F,Conciliacao!BF335,df_extratos!G:G,"CREDITO")+SUMIFS(df_extratos!I:I,df_extratos!F:F,Conciliacao!BG335,df_extratos!G:G,"CREDITO")+SUMIFS(df_extratos!I:I,df_extratos!F:F,Conciliacao!BH335,df_extratos!G:G,"CREDITO")</f>
        <v/>
      </c>
      <c r="I335" s="9">
        <f>H335-SUM(B335:G335)</f>
        <v/>
      </c>
      <c r="J335" s="4">
        <f>SUMIFS(df_blueme_sem_parcelamento!E:E,df_blueme_sem_parcelamento!H:H,Conciliacao!A335)*(-1)</f>
        <v/>
      </c>
      <c r="K335" s="4">
        <f>SUMIFS(df_blueme_com_parcelamento!J:J,df_blueme_com_parcelamento!M:M,Conciliacao!A335)*(-1)</f>
        <v/>
      </c>
      <c r="L335" s="4">
        <f>SUMIFS(df_mutuos!N:N,df_mutuos!B:B,Conciliacao!A335)*(-1)</f>
        <v/>
      </c>
      <c r="M335" s="8">
        <f>SUMIFS(df_bloqueios_judiciais!G:G,df_bloqueios_judiciais!D:D,Conciliacao!A335,df_bloqueios_judiciais!G:G,"&lt;0")</f>
        <v/>
      </c>
      <c r="N335" s="10">
        <f>SUMIFS(df_extratos!I:I,df_extratos!F:F,Conciliacao!BE335,df_extratos!G:G,"DEBITO")+SUMIFS(df_extratos!I:I,df_extratos!F:F,Conciliacao!A335,df_extratos!G:G,"DEBITO")+SUMIFS(df_extratos!I:I,df_extratos!F:F,Conciliacao!BF335,df_extratos!G:G,"DEBITO")+SUMIFS(df_extratos!I:I,df_extratos!F:F,Conciliacao!BG335,df_extratos!G:G,"DEBITO")+SUMIFS(df_extratos!I:I,df_extratos!F:F,Conciliacao!BH335,df_extratos!G:G,"DEBITO")</f>
        <v/>
      </c>
      <c r="O335" s="11">
        <f>N335-SUM(J335:M335)</f>
        <v/>
      </c>
      <c r="P335" s="25">
        <f>SUMIFS(df_ajustes_conciliaco!D:D,df_ajustes_conciliaco!C:C,Conciliacao!A335)</f>
        <v/>
      </c>
      <c r="Q335" s="22">
        <f>O335+I335-P335</f>
        <v/>
      </c>
      <c r="BE335" s="20" t="n">
        <v>45991.5</v>
      </c>
      <c r="BF335" s="20" t="n">
        <v>45991.125</v>
      </c>
      <c r="BG335" s="20" t="n">
        <v>45991.54166666666</v>
      </c>
      <c r="BH335" s="20" t="n">
        <v>45991.625</v>
      </c>
    </row>
    <row r="336">
      <c r="A336" s="5">
        <f>A335+1</f>
        <v/>
      </c>
      <c r="B336" s="3">
        <f>-SUMIFS(df_extrato_zig!G:G,df_extrato_zig!E:E,Conciliacao!A336,df_extrato_zig!D:D,"Saque")-SUMIFS(df_extrato_zig!G:G,df_extrato_zig!E:E,Conciliacao!A336,df_extrato_zig!D:D,"Antecipação")</f>
        <v/>
      </c>
      <c r="C336" s="3">
        <f>SUMIFS(df_extrato_zig!E:E,df_extrato_zig!L:L,Conciliacao!A336,df_extrato_zig!F:F,"DINHEIRO")</f>
        <v/>
      </c>
      <c r="D336" s="3">
        <f>SUMIFS(view_parc_agrup!H:H,view_parc_agrup!G:G,Conciliacao!A336)</f>
        <v/>
      </c>
      <c r="E336" s="3">
        <f>SUMIFS(df_eventos!F:F,df_eventos!H:H,Conciliacao!A336)</f>
        <v/>
      </c>
      <c r="F336" s="3">
        <f>SUMIFS(df_mutuos!M:M,df_mutuos!B:B,Conciliacao!A336)</f>
        <v/>
      </c>
      <c r="G336" s="6">
        <f>SUMIFS(df_bloqueios_judiciais!G:G,df_bloqueios_judiciais!D:D,Conciliacao!A336,df_bloqueios_judiciais!G:G,"&gt;0")</f>
        <v/>
      </c>
      <c r="H336" s="7">
        <f>SUMIFS(df_extratos!I:I,df_extratos!F:F,Conciliacao!BE336,df_extratos!G:G,"CREDITO")+SUMIFS(df_extratos!I:I,df_extratos!F:F,Conciliacao!A336,df_extratos!G:G,"CREDITO")+SUMIFS(df_extratos!I:I,df_extratos!F:F,Conciliacao!BF336,df_extratos!G:G,"CREDITO")+SUMIFS(df_extratos!I:I,df_extratos!F:F,Conciliacao!BG336,df_extratos!G:G,"CREDITO")+SUMIFS(df_extratos!I:I,df_extratos!F:F,Conciliacao!BH336,df_extratos!G:G,"CREDITO")</f>
        <v/>
      </c>
      <c r="I336" s="9">
        <f>H336-SUM(B336:G336)</f>
        <v/>
      </c>
      <c r="J336" s="4">
        <f>SUMIFS(df_blueme_sem_parcelamento!E:E,df_blueme_sem_parcelamento!H:H,Conciliacao!A336)*(-1)</f>
        <v/>
      </c>
      <c r="K336" s="4">
        <f>SUMIFS(df_blueme_com_parcelamento!J:J,df_blueme_com_parcelamento!M:M,Conciliacao!A336)*(-1)</f>
        <v/>
      </c>
      <c r="L336" s="4">
        <f>SUMIFS(df_mutuos!N:N,df_mutuos!B:B,Conciliacao!A336)*(-1)</f>
        <v/>
      </c>
      <c r="M336" s="8">
        <f>SUMIFS(df_bloqueios_judiciais!G:G,df_bloqueios_judiciais!D:D,Conciliacao!A336,df_bloqueios_judiciais!G:G,"&lt;0")</f>
        <v/>
      </c>
      <c r="N336" s="10">
        <f>SUMIFS(df_extratos!I:I,df_extratos!F:F,Conciliacao!BE336,df_extratos!G:G,"DEBITO")+SUMIFS(df_extratos!I:I,df_extratos!F:F,Conciliacao!A336,df_extratos!G:G,"DEBITO")+SUMIFS(df_extratos!I:I,df_extratos!F:F,Conciliacao!BF336,df_extratos!G:G,"DEBITO")+SUMIFS(df_extratos!I:I,df_extratos!F:F,Conciliacao!BG336,df_extratos!G:G,"DEBITO")+SUMIFS(df_extratos!I:I,df_extratos!F:F,Conciliacao!BH336,df_extratos!G:G,"DEBITO")</f>
        <v/>
      </c>
      <c r="O336" s="11">
        <f>N336-SUM(J336:M336)</f>
        <v/>
      </c>
      <c r="P336" s="25">
        <f>SUMIFS(df_ajustes_conciliaco!D:D,df_ajustes_conciliaco!C:C,Conciliacao!A336)</f>
        <v/>
      </c>
      <c r="Q336" s="22">
        <f>O336+I336-P336</f>
        <v/>
      </c>
      <c r="BE336" s="20" t="n">
        <v>45992.5</v>
      </c>
      <c r="BF336" s="20" t="n">
        <v>45992.125</v>
      </c>
      <c r="BG336" s="20" t="n">
        <v>45992.54166666666</v>
      </c>
      <c r="BH336" s="20" t="n">
        <v>45992.625</v>
      </c>
    </row>
    <row r="337">
      <c r="A337" s="5">
        <f>A336+1</f>
        <v/>
      </c>
      <c r="B337" s="3">
        <f>-SUMIFS(df_extrato_zig!G:G,df_extrato_zig!E:E,Conciliacao!A337,df_extrato_zig!D:D,"Saque")-SUMIFS(df_extrato_zig!G:G,df_extrato_zig!E:E,Conciliacao!A337,df_extrato_zig!D:D,"Antecipação")</f>
        <v/>
      </c>
      <c r="C337" s="3">
        <f>SUMIFS(df_extrato_zig!E:E,df_extrato_zig!L:L,Conciliacao!A337,df_extrato_zig!F:F,"DINHEIRO")</f>
        <v/>
      </c>
      <c r="D337" s="3">
        <f>SUMIFS(view_parc_agrup!H:H,view_parc_agrup!G:G,Conciliacao!A337)</f>
        <v/>
      </c>
      <c r="E337" s="3">
        <f>SUMIFS(df_eventos!F:F,df_eventos!H:H,Conciliacao!A337)</f>
        <v/>
      </c>
      <c r="F337" s="3">
        <f>SUMIFS(df_mutuos!M:M,df_mutuos!B:B,Conciliacao!A337)</f>
        <v/>
      </c>
      <c r="G337" s="6">
        <f>SUMIFS(df_bloqueios_judiciais!G:G,df_bloqueios_judiciais!D:D,Conciliacao!A337,df_bloqueios_judiciais!G:G,"&gt;0")</f>
        <v/>
      </c>
      <c r="H337" s="7">
        <f>SUMIFS(df_extratos!I:I,df_extratos!F:F,Conciliacao!BE337,df_extratos!G:G,"CREDITO")+SUMIFS(df_extratos!I:I,df_extratos!F:F,Conciliacao!A337,df_extratos!G:G,"CREDITO")+SUMIFS(df_extratos!I:I,df_extratos!F:F,Conciliacao!BF337,df_extratos!G:G,"CREDITO")+SUMIFS(df_extratos!I:I,df_extratos!F:F,Conciliacao!BG337,df_extratos!G:G,"CREDITO")+SUMIFS(df_extratos!I:I,df_extratos!F:F,Conciliacao!BH337,df_extratos!G:G,"CREDITO")</f>
        <v/>
      </c>
      <c r="I337" s="9">
        <f>H337-SUM(B337:G337)</f>
        <v/>
      </c>
      <c r="J337" s="4">
        <f>SUMIFS(df_blueme_sem_parcelamento!E:E,df_blueme_sem_parcelamento!H:H,Conciliacao!A337)*(-1)</f>
        <v/>
      </c>
      <c r="K337" s="4">
        <f>SUMIFS(df_blueme_com_parcelamento!J:J,df_blueme_com_parcelamento!M:M,Conciliacao!A337)*(-1)</f>
        <v/>
      </c>
      <c r="L337" s="4">
        <f>SUMIFS(df_mutuos!N:N,df_mutuos!B:B,Conciliacao!A337)*(-1)</f>
        <v/>
      </c>
      <c r="M337" s="8">
        <f>SUMIFS(df_bloqueios_judiciais!G:G,df_bloqueios_judiciais!D:D,Conciliacao!A337,df_bloqueios_judiciais!G:G,"&lt;0")</f>
        <v/>
      </c>
      <c r="N337" s="10">
        <f>SUMIFS(df_extratos!I:I,df_extratos!F:F,Conciliacao!BE337,df_extratos!G:G,"DEBITO")+SUMIFS(df_extratos!I:I,df_extratos!F:F,Conciliacao!A337,df_extratos!G:G,"DEBITO")+SUMIFS(df_extratos!I:I,df_extratos!F:F,Conciliacao!BF337,df_extratos!G:G,"DEBITO")+SUMIFS(df_extratos!I:I,df_extratos!F:F,Conciliacao!BG337,df_extratos!G:G,"DEBITO")+SUMIFS(df_extratos!I:I,df_extratos!F:F,Conciliacao!BH337,df_extratos!G:G,"DEBITO")</f>
        <v/>
      </c>
      <c r="O337" s="11">
        <f>N337-SUM(J337:M337)</f>
        <v/>
      </c>
      <c r="P337" s="25">
        <f>SUMIFS(df_ajustes_conciliaco!D:D,df_ajustes_conciliaco!C:C,Conciliacao!A337)</f>
        <v/>
      </c>
      <c r="Q337" s="22">
        <f>O337+I337-P337</f>
        <v/>
      </c>
      <c r="BE337" s="20" t="n">
        <v>45993.5</v>
      </c>
      <c r="BF337" s="20" t="n">
        <v>45993.125</v>
      </c>
      <c r="BG337" s="20" t="n">
        <v>45993.54166666666</v>
      </c>
      <c r="BH337" s="20" t="n">
        <v>45993.625</v>
      </c>
    </row>
    <row r="338">
      <c r="A338" s="5">
        <f>A337+1</f>
        <v/>
      </c>
      <c r="B338" s="3">
        <f>-SUMIFS(df_extrato_zig!G:G,df_extrato_zig!E:E,Conciliacao!A338,df_extrato_zig!D:D,"Saque")-SUMIFS(df_extrato_zig!G:G,df_extrato_zig!E:E,Conciliacao!A338,df_extrato_zig!D:D,"Antecipação")</f>
        <v/>
      </c>
      <c r="C338" s="3">
        <f>SUMIFS(df_extrato_zig!E:E,df_extrato_zig!L:L,Conciliacao!A338,df_extrato_zig!F:F,"DINHEIRO")</f>
        <v/>
      </c>
      <c r="D338" s="3">
        <f>SUMIFS(view_parc_agrup!H:H,view_parc_agrup!G:G,Conciliacao!A338)</f>
        <v/>
      </c>
      <c r="E338" s="3">
        <f>SUMIFS(df_eventos!F:F,df_eventos!H:H,Conciliacao!A338)</f>
        <v/>
      </c>
      <c r="F338" s="3">
        <f>SUMIFS(df_mutuos!M:M,df_mutuos!B:B,Conciliacao!A338)</f>
        <v/>
      </c>
      <c r="G338" s="6">
        <f>SUMIFS(df_bloqueios_judiciais!G:G,df_bloqueios_judiciais!D:D,Conciliacao!A338,df_bloqueios_judiciais!G:G,"&gt;0")</f>
        <v/>
      </c>
      <c r="H338" s="7">
        <f>SUMIFS(df_extratos!I:I,df_extratos!F:F,Conciliacao!BE338,df_extratos!G:G,"CREDITO")+SUMIFS(df_extratos!I:I,df_extratos!F:F,Conciliacao!A338,df_extratos!G:G,"CREDITO")+SUMIFS(df_extratos!I:I,df_extratos!F:F,Conciliacao!BF338,df_extratos!G:G,"CREDITO")+SUMIFS(df_extratos!I:I,df_extratos!F:F,Conciliacao!BG338,df_extratos!G:G,"CREDITO")+SUMIFS(df_extratos!I:I,df_extratos!F:F,Conciliacao!BH338,df_extratos!G:G,"CREDITO")</f>
        <v/>
      </c>
      <c r="I338" s="9">
        <f>H338-SUM(B338:G338)</f>
        <v/>
      </c>
      <c r="J338" s="4">
        <f>SUMIFS(df_blueme_sem_parcelamento!E:E,df_blueme_sem_parcelamento!H:H,Conciliacao!A338)*(-1)</f>
        <v/>
      </c>
      <c r="K338" s="4">
        <f>SUMIFS(df_blueme_com_parcelamento!J:J,df_blueme_com_parcelamento!M:M,Conciliacao!A338)*(-1)</f>
        <v/>
      </c>
      <c r="L338" s="4">
        <f>SUMIFS(df_mutuos!N:N,df_mutuos!B:B,Conciliacao!A338)*(-1)</f>
        <v/>
      </c>
      <c r="M338" s="8">
        <f>SUMIFS(df_bloqueios_judiciais!G:G,df_bloqueios_judiciais!D:D,Conciliacao!A338,df_bloqueios_judiciais!G:G,"&lt;0")</f>
        <v/>
      </c>
      <c r="N338" s="10">
        <f>SUMIFS(df_extratos!I:I,df_extratos!F:F,Conciliacao!BE338,df_extratos!G:G,"DEBITO")+SUMIFS(df_extratos!I:I,df_extratos!F:F,Conciliacao!A338,df_extratos!G:G,"DEBITO")+SUMIFS(df_extratos!I:I,df_extratos!F:F,Conciliacao!BF338,df_extratos!G:G,"DEBITO")+SUMIFS(df_extratos!I:I,df_extratos!F:F,Conciliacao!BG338,df_extratos!G:G,"DEBITO")+SUMIFS(df_extratos!I:I,df_extratos!F:F,Conciliacao!BH338,df_extratos!G:G,"DEBITO")</f>
        <v/>
      </c>
      <c r="O338" s="11">
        <f>N338-SUM(J338:M338)</f>
        <v/>
      </c>
      <c r="P338" s="25">
        <f>SUMIFS(df_ajustes_conciliaco!D:D,df_ajustes_conciliaco!C:C,Conciliacao!A338)</f>
        <v/>
      </c>
      <c r="Q338" s="22">
        <f>O338+I338-P338</f>
        <v/>
      </c>
      <c r="BE338" s="20" t="n">
        <v>45994.5</v>
      </c>
      <c r="BF338" s="20" t="n">
        <v>45994.125</v>
      </c>
      <c r="BG338" s="20" t="n">
        <v>45994.54166666666</v>
      </c>
      <c r="BH338" s="20" t="n">
        <v>45994.625</v>
      </c>
    </row>
    <row r="339">
      <c r="A339" s="5">
        <f>A338+1</f>
        <v/>
      </c>
      <c r="B339" s="3">
        <f>-SUMIFS(df_extrato_zig!G:G,df_extrato_zig!E:E,Conciliacao!A339,df_extrato_zig!D:D,"Saque")-SUMIFS(df_extrato_zig!G:G,df_extrato_zig!E:E,Conciliacao!A339,df_extrato_zig!D:D,"Antecipação")</f>
        <v/>
      </c>
      <c r="C339" s="3">
        <f>SUMIFS(df_extrato_zig!E:E,df_extrato_zig!L:L,Conciliacao!A339,df_extrato_zig!F:F,"DINHEIRO")</f>
        <v/>
      </c>
      <c r="D339" s="3">
        <f>SUMIFS(view_parc_agrup!H:H,view_parc_agrup!G:G,Conciliacao!A339)</f>
        <v/>
      </c>
      <c r="E339" s="3">
        <f>SUMIFS(df_eventos!F:F,df_eventos!H:H,Conciliacao!A339)</f>
        <v/>
      </c>
      <c r="F339" s="3">
        <f>SUMIFS(df_mutuos!M:M,df_mutuos!B:B,Conciliacao!A339)</f>
        <v/>
      </c>
      <c r="G339" s="6">
        <f>SUMIFS(df_bloqueios_judiciais!G:G,df_bloqueios_judiciais!D:D,Conciliacao!A339,df_bloqueios_judiciais!G:G,"&gt;0")</f>
        <v/>
      </c>
      <c r="H339" s="7">
        <f>SUMIFS(df_extratos!I:I,df_extratos!F:F,Conciliacao!BE339,df_extratos!G:G,"CREDITO")+SUMIFS(df_extratos!I:I,df_extratos!F:F,Conciliacao!A339,df_extratos!G:G,"CREDITO")+SUMIFS(df_extratos!I:I,df_extratos!F:F,Conciliacao!BF339,df_extratos!G:G,"CREDITO")+SUMIFS(df_extratos!I:I,df_extratos!F:F,Conciliacao!BG339,df_extratos!G:G,"CREDITO")+SUMIFS(df_extratos!I:I,df_extratos!F:F,Conciliacao!BH339,df_extratos!G:G,"CREDITO")</f>
        <v/>
      </c>
      <c r="I339" s="9">
        <f>H339-SUM(B339:G339)</f>
        <v/>
      </c>
      <c r="J339" s="4">
        <f>SUMIFS(df_blueme_sem_parcelamento!E:E,df_blueme_sem_parcelamento!H:H,Conciliacao!A339)*(-1)</f>
        <v/>
      </c>
      <c r="K339" s="4">
        <f>SUMIFS(df_blueme_com_parcelamento!J:J,df_blueme_com_parcelamento!M:M,Conciliacao!A339)*(-1)</f>
        <v/>
      </c>
      <c r="L339" s="4">
        <f>SUMIFS(df_mutuos!N:N,df_mutuos!B:B,Conciliacao!A339)*(-1)</f>
        <v/>
      </c>
      <c r="M339" s="8">
        <f>SUMIFS(df_bloqueios_judiciais!G:G,df_bloqueios_judiciais!D:D,Conciliacao!A339,df_bloqueios_judiciais!G:G,"&lt;0")</f>
        <v/>
      </c>
      <c r="N339" s="10">
        <f>SUMIFS(df_extratos!I:I,df_extratos!F:F,Conciliacao!BE339,df_extratos!G:G,"DEBITO")+SUMIFS(df_extratos!I:I,df_extratos!F:F,Conciliacao!A339,df_extratos!G:G,"DEBITO")+SUMIFS(df_extratos!I:I,df_extratos!F:F,Conciliacao!BF339,df_extratos!G:G,"DEBITO")+SUMIFS(df_extratos!I:I,df_extratos!F:F,Conciliacao!BG339,df_extratos!G:G,"DEBITO")+SUMIFS(df_extratos!I:I,df_extratos!F:F,Conciliacao!BH339,df_extratos!G:G,"DEBITO")</f>
        <v/>
      </c>
      <c r="O339" s="11">
        <f>N339-SUM(J339:M339)</f>
        <v/>
      </c>
      <c r="P339" s="25">
        <f>SUMIFS(df_ajustes_conciliaco!D:D,df_ajustes_conciliaco!C:C,Conciliacao!A339)</f>
        <v/>
      </c>
      <c r="Q339" s="22">
        <f>O339+I339-P339</f>
        <v/>
      </c>
      <c r="BE339" s="20" t="n">
        <v>45995.5</v>
      </c>
      <c r="BF339" s="20" t="n">
        <v>45995.125</v>
      </c>
      <c r="BG339" s="20" t="n">
        <v>45995.54166666666</v>
      </c>
      <c r="BH339" s="20" t="n">
        <v>45995.625</v>
      </c>
    </row>
    <row r="340">
      <c r="A340" s="5">
        <f>A339+1</f>
        <v/>
      </c>
      <c r="B340" s="3">
        <f>-SUMIFS(df_extrato_zig!G:G,df_extrato_zig!E:E,Conciliacao!A340,df_extrato_zig!D:D,"Saque")-SUMIFS(df_extrato_zig!G:G,df_extrato_zig!E:E,Conciliacao!A340,df_extrato_zig!D:D,"Antecipação")</f>
        <v/>
      </c>
      <c r="C340" s="3">
        <f>SUMIFS(df_extrato_zig!E:E,df_extrato_zig!L:L,Conciliacao!A340,df_extrato_zig!F:F,"DINHEIRO")</f>
        <v/>
      </c>
      <c r="D340" s="3">
        <f>SUMIFS(view_parc_agrup!H:H,view_parc_agrup!G:G,Conciliacao!A340)</f>
        <v/>
      </c>
      <c r="E340" s="3">
        <f>SUMIFS(df_eventos!F:F,df_eventos!H:H,Conciliacao!A340)</f>
        <v/>
      </c>
      <c r="F340" s="3">
        <f>SUMIFS(df_mutuos!M:M,df_mutuos!B:B,Conciliacao!A340)</f>
        <v/>
      </c>
      <c r="G340" s="6">
        <f>SUMIFS(df_bloqueios_judiciais!G:G,df_bloqueios_judiciais!D:D,Conciliacao!A340,df_bloqueios_judiciais!G:G,"&gt;0")</f>
        <v/>
      </c>
      <c r="H340" s="7">
        <f>SUMIFS(df_extratos!I:I,df_extratos!F:F,Conciliacao!BE340,df_extratos!G:G,"CREDITO")+SUMIFS(df_extratos!I:I,df_extratos!F:F,Conciliacao!A340,df_extratos!G:G,"CREDITO")+SUMIFS(df_extratos!I:I,df_extratos!F:F,Conciliacao!BF340,df_extratos!G:G,"CREDITO")+SUMIFS(df_extratos!I:I,df_extratos!F:F,Conciliacao!BG340,df_extratos!G:G,"CREDITO")+SUMIFS(df_extratos!I:I,df_extratos!F:F,Conciliacao!BH340,df_extratos!G:G,"CREDITO")</f>
        <v/>
      </c>
      <c r="I340" s="9">
        <f>H340-SUM(B340:G340)</f>
        <v/>
      </c>
      <c r="J340" s="4">
        <f>SUMIFS(df_blueme_sem_parcelamento!E:E,df_blueme_sem_parcelamento!H:H,Conciliacao!A340)*(-1)</f>
        <v/>
      </c>
      <c r="K340" s="4">
        <f>SUMIFS(df_blueme_com_parcelamento!J:J,df_blueme_com_parcelamento!M:M,Conciliacao!A340)*(-1)</f>
        <v/>
      </c>
      <c r="L340" s="4">
        <f>SUMIFS(df_mutuos!N:N,df_mutuos!B:B,Conciliacao!A340)*(-1)</f>
        <v/>
      </c>
      <c r="M340" s="8">
        <f>SUMIFS(df_bloqueios_judiciais!G:G,df_bloqueios_judiciais!D:D,Conciliacao!A340,df_bloqueios_judiciais!G:G,"&lt;0")</f>
        <v/>
      </c>
      <c r="N340" s="10">
        <f>SUMIFS(df_extratos!I:I,df_extratos!F:F,Conciliacao!BE340,df_extratos!G:G,"DEBITO")+SUMIFS(df_extratos!I:I,df_extratos!F:F,Conciliacao!A340,df_extratos!G:G,"DEBITO")+SUMIFS(df_extratos!I:I,df_extratos!F:F,Conciliacao!BF340,df_extratos!G:G,"DEBITO")+SUMIFS(df_extratos!I:I,df_extratos!F:F,Conciliacao!BG340,df_extratos!G:G,"DEBITO")+SUMIFS(df_extratos!I:I,df_extratos!F:F,Conciliacao!BH340,df_extratos!G:G,"DEBITO")</f>
        <v/>
      </c>
      <c r="O340" s="11">
        <f>N340-SUM(J340:M340)</f>
        <v/>
      </c>
      <c r="P340" s="25">
        <f>SUMIFS(df_ajustes_conciliaco!D:D,df_ajustes_conciliaco!C:C,Conciliacao!A340)</f>
        <v/>
      </c>
      <c r="Q340" s="22">
        <f>O340+I340-P340</f>
        <v/>
      </c>
      <c r="BE340" s="20" t="n">
        <v>45996.5</v>
      </c>
      <c r="BF340" s="20" t="n">
        <v>45996.125</v>
      </c>
      <c r="BG340" s="20" t="n">
        <v>45996.54166666666</v>
      </c>
      <c r="BH340" s="20" t="n">
        <v>45996.625</v>
      </c>
    </row>
    <row r="341">
      <c r="A341" s="5">
        <f>A340+1</f>
        <v/>
      </c>
      <c r="B341" s="3">
        <f>-SUMIFS(df_extrato_zig!G:G,df_extrato_zig!E:E,Conciliacao!A341,df_extrato_zig!D:D,"Saque")-SUMIFS(df_extrato_zig!G:G,df_extrato_zig!E:E,Conciliacao!A341,df_extrato_zig!D:D,"Antecipação")</f>
        <v/>
      </c>
      <c r="C341" s="3">
        <f>SUMIFS(df_extrato_zig!E:E,df_extrato_zig!L:L,Conciliacao!A341,df_extrato_zig!F:F,"DINHEIRO")</f>
        <v/>
      </c>
      <c r="D341" s="3">
        <f>SUMIFS(view_parc_agrup!H:H,view_parc_agrup!G:G,Conciliacao!A341)</f>
        <v/>
      </c>
      <c r="E341" s="3">
        <f>SUMIFS(df_eventos!F:F,df_eventos!H:H,Conciliacao!A341)</f>
        <v/>
      </c>
      <c r="F341" s="3">
        <f>SUMIFS(df_mutuos!M:M,df_mutuos!B:B,Conciliacao!A341)</f>
        <v/>
      </c>
      <c r="G341" s="6">
        <f>SUMIFS(df_bloqueios_judiciais!G:G,df_bloqueios_judiciais!D:D,Conciliacao!A341,df_bloqueios_judiciais!G:G,"&gt;0")</f>
        <v/>
      </c>
      <c r="H341" s="7">
        <f>SUMIFS(df_extratos!I:I,df_extratos!F:F,Conciliacao!BE341,df_extratos!G:G,"CREDITO")+SUMIFS(df_extratos!I:I,df_extratos!F:F,Conciliacao!A341,df_extratos!G:G,"CREDITO")+SUMIFS(df_extratos!I:I,df_extratos!F:F,Conciliacao!BF341,df_extratos!G:G,"CREDITO")+SUMIFS(df_extratos!I:I,df_extratos!F:F,Conciliacao!BG341,df_extratos!G:G,"CREDITO")+SUMIFS(df_extratos!I:I,df_extratos!F:F,Conciliacao!BH341,df_extratos!G:G,"CREDITO")</f>
        <v/>
      </c>
      <c r="I341" s="9">
        <f>H341-SUM(B341:G341)</f>
        <v/>
      </c>
      <c r="J341" s="4">
        <f>SUMIFS(df_blueme_sem_parcelamento!E:E,df_blueme_sem_parcelamento!H:H,Conciliacao!A341)*(-1)</f>
        <v/>
      </c>
      <c r="K341" s="4">
        <f>SUMIFS(df_blueme_com_parcelamento!J:J,df_blueme_com_parcelamento!M:M,Conciliacao!A341)*(-1)</f>
        <v/>
      </c>
      <c r="L341" s="4">
        <f>SUMIFS(df_mutuos!N:N,df_mutuos!B:B,Conciliacao!A341)*(-1)</f>
        <v/>
      </c>
      <c r="M341" s="8">
        <f>SUMIFS(df_bloqueios_judiciais!G:G,df_bloqueios_judiciais!D:D,Conciliacao!A341,df_bloqueios_judiciais!G:G,"&lt;0")</f>
        <v/>
      </c>
      <c r="N341" s="10">
        <f>SUMIFS(df_extratos!I:I,df_extratos!F:F,Conciliacao!BE341,df_extratos!G:G,"DEBITO")+SUMIFS(df_extratos!I:I,df_extratos!F:F,Conciliacao!A341,df_extratos!G:G,"DEBITO")+SUMIFS(df_extratos!I:I,df_extratos!F:F,Conciliacao!BF341,df_extratos!G:G,"DEBITO")+SUMIFS(df_extratos!I:I,df_extratos!F:F,Conciliacao!BG341,df_extratos!G:G,"DEBITO")+SUMIFS(df_extratos!I:I,df_extratos!F:F,Conciliacao!BH341,df_extratos!G:G,"DEBITO")</f>
        <v/>
      </c>
      <c r="O341" s="11">
        <f>N341-SUM(J341:M341)</f>
        <v/>
      </c>
      <c r="P341" s="25">
        <f>SUMIFS(df_ajustes_conciliaco!D:D,df_ajustes_conciliaco!C:C,Conciliacao!A341)</f>
        <v/>
      </c>
      <c r="Q341" s="22">
        <f>O341+I341-P341</f>
        <v/>
      </c>
      <c r="BE341" s="20" t="n">
        <v>45997.5</v>
      </c>
      <c r="BF341" s="20" t="n">
        <v>45997.125</v>
      </c>
      <c r="BG341" s="20" t="n">
        <v>45997.54166666666</v>
      </c>
      <c r="BH341" s="20" t="n">
        <v>45997.625</v>
      </c>
    </row>
    <row r="342">
      <c r="A342" s="5">
        <f>A341+1</f>
        <v/>
      </c>
      <c r="B342" s="3">
        <f>-SUMIFS(df_extrato_zig!G:G,df_extrato_zig!E:E,Conciliacao!A342,df_extrato_zig!D:D,"Saque")-SUMIFS(df_extrato_zig!G:G,df_extrato_zig!E:E,Conciliacao!A342,df_extrato_zig!D:D,"Antecipação")</f>
        <v/>
      </c>
      <c r="C342" s="3">
        <f>SUMIFS(df_extrato_zig!E:E,df_extrato_zig!L:L,Conciliacao!A342,df_extrato_zig!F:F,"DINHEIRO")</f>
        <v/>
      </c>
      <c r="D342" s="3">
        <f>SUMIFS(view_parc_agrup!H:H,view_parc_agrup!G:G,Conciliacao!A342)</f>
        <v/>
      </c>
      <c r="E342" s="3">
        <f>SUMIFS(df_eventos!F:F,df_eventos!H:H,Conciliacao!A342)</f>
        <v/>
      </c>
      <c r="F342" s="3">
        <f>SUMIFS(df_mutuos!M:M,df_mutuos!B:B,Conciliacao!A342)</f>
        <v/>
      </c>
      <c r="G342" s="6">
        <f>SUMIFS(df_bloqueios_judiciais!G:G,df_bloqueios_judiciais!D:D,Conciliacao!A342,df_bloqueios_judiciais!G:G,"&gt;0")</f>
        <v/>
      </c>
      <c r="H342" s="7">
        <f>SUMIFS(df_extratos!I:I,df_extratos!F:F,Conciliacao!BE342,df_extratos!G:G,"CREDITO")+SUMIFS(df_extratos!I:I,df_extratos!F:F,Conciliacao!A342,df_extratos!G:G,"CREDITO")+SUMIFS(df_extratos!I:I,df_extratos!F:F,Conciliacao!BF342,df_extratos!G:G,"CREDITO")+SUMIFS(df_extratos!I:I,df_extratos!F:F,Conciliacao!BG342,df_extratos!G:G,"CREDITO")+SUMIFS(df_extratos!I:I,df_extratos!F:F,Conciliacao!BH342,df_extratos!G:G,"CREDITO")</f>
        <v/>
      </c>
      <c r="I342" s="9">
        <f>H342-SUM(B342:G342)</f>
        <v/>
      </c>
      <c r="J342" s="4">
        <f>SUMIFS(df_blueme_sem_parcelamento!E:E,df_blueme_sem_parcelamento!H:H,Conciliacao!A342)*(-1)</f>
        <v/>
      </c>
      <c r="K342" s="4">
        <f>SUMIFS(df_blueme_com_parcelamento!J:J,df_blueme_com_parcelamento!M:M,Conciliacao!A342)*(-1)</f>
        <v/>
      </c>
      <c r="L342" s="4">
        <f>SUMIFS(df_mutuos!N:N,df_mutuos!B:B,Conciliacao!A342)*(-1)</f>
        <v/>
      </c>
      <c r="M342" s="8">
        <f>SUMIFS(df_bloqueios_judiciais!G:G,df_bloqueios_judiciais!D:D,Conciliacao!A342,df_bloqueios_judiciais!G:G,"&lt;0")</f>
        <v/>
      </c>
      <c r="N342" s="10">
        <f>SUMIFS(df_extratos!I:I,df_extratos!F:F,Conciliacao!BE342,df_extratos!G:G,"DEBITO")+SUMIFS(df_extratos!I:I,df_extratos!F:F,Conciliacao!A342,df_extratos!G:G,"DEBITO")+SUMIFS(df_extratos!I:I,df_extratos!F:F,Conciliacao!BF342,df_extratos!G:G,"DEBITO")+SUMIFS(df_extratos!I:I,df_extratos!F:F,Conciliacao!BG342,df_extratos!G:G,"DEBITO")+SUMIFS(df_extratos!I:I,df_extratos!F:F,Conciliacao!BH342,df_extratos!G:G,"DEBITO")</f>
        <v/>
      </c>
      <c r="O342" s="11">
        <f>N342-SUM(J342:M342)</f>
        <v/>
      </c>
      <c r="P342" s="25">
        <f>SUMIFS(df_ajustes_conciliaco!D:D,df_ajustes_conciliaco!C:C,Conciliacao!A342)</f>
        <v/>
      </c>
      <c r="Q342" s="22">
        <f>O342+I342-P342</f>
        <v/>
      </c>
      <c r="BE342" s="20" t="n">
        <v>45998.5</v>
      </c>
      <c r="BF342" s="20" t="n">
        <v>45998.125</v>
      </c>
      <c r="BG342" s="20" t="n">
        <v>45998.54166666666</v>
      </c>
      <c r="BH342" s="20" t="n">
        <v>45998.625</v>
      </c>
    </row>
    <row r="343">
      <c r="A343" s="5">
        <f>A342+1</f>
        <v/>
      </c>
      <c r="B343" s="3">
        <f>-SUMIFS(df_extrato_zig!G:G,df_extrato_zig!E:E,Conciliacao!A343,df_extrato_zig!D:D,"Saque")-SUMIFS(df_extrato_zig!G:G,df_extrato_zig!E:E,Conciliacao!A343,df_extrato_zig!D:D,"Antecipação")</f>
        <v/>
      </c>
      <c r="C343" s="3">
        <f>SUMIFS(df_extrato_zig!E:E,df_extrato_zig!L:L,Conciliacao!A343,df_extrato_zig!F:F,"DINHEIRO")</f>
        <v/>
      </c>
      <c r="D343" s="3">
        <f>SUMIFS(view_parc_agrup!H:H,view_parc_agrup!G:G,Conciliacao!A343)</f>
        <v/>
      </c>
      <c r="E343" s="3">
        <f>SUMIFS(df_eventos!F:F,df_eventos!H:H,Conciliacao!A343)</f>
        <v/>
      </c>
      <c r="F343" s="3">
        <f>SUMIFS(df_mutuos!M:M,df_mutuos!B:B,Conciliacao!A343)</f>
        <v/>
      </c>
      <c r="G343" s="6">
        <f>SUMIFS(df_bloqueios_judiciais!G:G,df_bloqueios_judiciais!D:D,Conciliacao!A343,df_bloqueios_judiciais!G:G,"&gt;0")</f>
        <v/>
      </c>
      <c r="H343" s="7">
        <f>SUMIFS(df_extratos!I:I,df_extratos!F:F,Conciliacao!BE343,df_extratos!G:G,"CREDITO")+SUMIFS(df_extratos!I:I,df_extratos!F:F,Conciliacao!A343,df_extratos!G:G,"CREDITO")+SUMIFS(df_extratos!I:I,df_extratos!F:F,Conciliacao!BF343,df_extratos!G:G,"CREDITO")+SUMIFS(df_extratos!I:I,df_extratos!F:F,Conciliacao!BG343,df_extratos!G:G,"CREDITO")+SUMIFS(df_extratos!I:I,df_extratos!F:F,Conciliacao!BH343,df_extratos!G:G,"CREDITO")</f>
        <v/>
      </c>
      <c r="I343" s="9">
        <f>H343-SUM(B343:G343)</f>
        <v/>
      </c>
      <c r="J343" s="4">
        <f>SUMIFS(df_blueme_sem_parcelamento!E:E,df_blueme_sem_parcelamento!H:H,Conciliacao!A343)*(-1)</f>
        <v/>
      </c>
      <c r="K343" s="4">
        <f>SUMIFS(df_blueme_com_parcelamento!J:J,df_blueme_com_parcelamento!M:M,Conciliacao!A343)*(-1)</f>
        <v/>
      </c>
      <c r="L343" s="4">
        <f>SUMIFS(df_mutuos!N:N,df_mutuos!B:B,Conciliacao!A343)*(-1)</f>
        <v/>
      </c>
      <c r="M343" s="8">
        <f>SUMIFS(df_bloqueios_judiciais!G:G,df_bloqueios_judiciais!D:D,Conciliacao!A343,df_bloqueios_judiciais!G:G,"&lt;0")</f>
        <v/>
      </c>
      <c r="N343" s="10">
        <f>SUMIFS(df_extratos!I:I,df_extratos!F:F,Conciliacao!BE343,df_extratos!G:G,"DEBITO")+SUMIFS(df_extratos!I:I,df_extratos!F:F,Conciliacao!A343,df_extratos!G:G,"DEBITO")+SUMIFS(df_extratos!I:I,df_extratos!F:F,Conciliacao!BF343,df_extratos!G:G,"DEBITO")+SUMIFS(df_extratos!I:I,df_extratos!F:F,Conciliacao!BG343,df_extratos!G:G,"DEBITO")+SUMIFS(df_extratos!I:I,df_extratos!F:F,Conciliacao!BH343,df_extratos!G:G,"DEBITO")</f>
        <v/>
      </c>
      <c r="O343" s="11">
        <f>N343-SUM(J343:M343)</f>
        <v/>
      </c>
      <c r="P343" s="25">
        <f>SUMIFS(df_ajustes_conciliaco!D:D,df_ajustes_conciliaco!C:C,Conciliacao!A343)</f>
        <v/>
      </c>
      <c r="Q343" s="22">
        <f>O343+I343-P343</f>
        <v/>
      </c>
      <c r="BE343" s="20" t="n">
        <v>45999.5</v>
      </c>
      <c r="BF343" s="20" t="n">
        <v>45999.125</v>
      </c>
      <c r="BG343" s="20" t="n">
        <v>45999.54166666666</v>
      </c>
      <c r="BH343" s="20" t="n">
        <v>45999.625</v>
      </c>
    </row>
    <row r="344">
      <c r="A344" s="5">
        <f>A343+1</f>
        <v/>
      </c>
      <c r="B344" s="3">
        <f>-SUMIFS(df_extrato_zig!G:G,df_extrato_zig!E:E,Conciliacao!A344,df_extrato_zig!D:D,"Saque")-SUMIFS(df_extrato_zig!G:G,df_extrato_zig!E:E,Conciliacao!A344,df_extrato_zig!D:D,"Antecipação")</f>
        <v/>
      </c>
      <c r="C344" s="3">
        <f>SUMIFS(df_extrato_zig!E:E,df_extrato_zig!L:L,Conciliacao!A344,df_extrato_zig!F:F,"DINHEIRO")</f>
        <v/>
      </c>
      <c r="D344" s="3">
        <f>SUMIFS(view_parc_agrup!H:H,view_parc_agrup!G:G,Conciliacao!A344)</f>
        <v/>
      </c>
      <c r="E344" s="3">
        <f>SUMIFS(df_eventos!F:F,df_eventos!H:H,Conciliacao!A344)</f>
        <v/>
      </c>
      <c r="F344" s="3">
        <f>SUMIFS(df_mutuos!M:M,df_mutuos!B:B,Conciliacao!A344)</f>
        <v/>
      </c>
      <c r="G344" s="6">
        <f>SUMIFS(df_bloqueios_judiciais!G:G,df_bloqueios_judiciais!D:D,Conciliacao!A344,df_bloqueios_judiciais!G:G,"&gt;0")</f>
        <v/>
      </c>
      <c r="H344" s="7">
        <f>SUMIFS(df_extratos!I:I,df_extratos!F:F,Conciliacao!BE344,df_extratos!G:G,"CREDITO")+SUMIFS(df_extratos!I:I,df_extratos!F:F,Conciliacao!A344,df_extratos!G:G,"CREDITO")+SUMIFS(df_extratos!I:I,df_extratos!F:F,Conciliacao!BF344,df_extratos!G:G,"CREDITO")+SUMIFS(df_extratos!I:I,df_extratos!F:F,Conciliacao!BG344,df_extratos!G:G,"CREDITO")+SUMIFS(df_extratos!I:I,df_extratos!F:F,Conciliacao!BH344,df_extratos!G:G,"CREDITO")</f>
        <v/>
      </c>
      <c r="I344" s="9">
        <f>H344-SUM(B344:G344)</f>
        <v/>
      </c>
      <c r="J344" s="4">
        <f>SUMIFS(df_blueme_sem_parcelamento!E:E,df_blueme_sem_parcelamento!H:H,Conciliacao!A344)*(-1)</f>
        <v/>
      </c>
      <c r="K344" s="4">
        <f>SUMIFS(df_blueme_com_parcelamento!J:J,df_blueme_com_parcelamento!M:M,Conciliacao!A344)*(-1)</f>
        <v/>
      </c>
      <c r="L344" s="4">
        <f>SUMIFS(df_mutuos!N:N,df_mutuos!B:B,Conciliacao!A344)*(-1)</f>
        <v/>
      </c>
      <c r="M344" s="8">
        <f>SUMIFS(df_bloqueios_judiciais!G:G,df_bloqueios_judiciais!D:D,Conciliacao!A344,df_bloqueios_judiciais!G:G,"&lt;0")</f>
        <v/>
      </c>
      <c r="N344" s="10">
        <f>SUMIFS(df_extratos!I:I,df_extratos!F:F,Conciliacao!BE344,df_extratos!G:G,"DEBITO")+SUMIFS(df_extratos!I:I,df_extratos!F:F,Conciliacao!A344,df_extratos!G:G,"DEBITO")+SUMIFS(df_extratos!I:I,df_extratos!F:F,Conciliacao!BF344,df_extratos!G:G,"DEBITO")+SUMIFS(df_extratos!I:I,df_extratos!F:F,Conciliacao!BG344,df_extratos!G:G,"DEBITO")+SUMIFS(df_extratos!I:I,df_extratos!F:F,Conciliacao!BH344,df_extratos!G:G,"DEBITO")</f>
        <v/>
      </c>
      <c r="O344" s="11">
        <f>N344-SUM(J344:M344)</f>
        <v/>
      </c>
      <c r="P344" s="25">
        <f>SUMIFS(df_ajustes_conciliaco!D:D,df_ajustes_conciliaco!C:C,Conciliacao!A344)</f>
        <v/>
      </c>
      <c r="Q344" s="22">
        <f>O344+I344-P344</f>
        <v/>
      </c>
      <c r="BE344" s="20" t="n">
        <v>46000.5</v>
      </c>
      <c r="BF344" s="20" t="n">
        <v>46000.125</v>
      </c>
      <c r="BG344" s="20" t="n">
        <v>46000.54166666666</v>
      </c>
      <c r="BH344" s="20" t="n">
        <v>46000.625</v>
      </c>
    </row>
    <row r="345">
      <c r="A345" s="5">
        <f>A344+1</f>
        <v/>
      </c>
      <c r="B345" s="3">
        <f>-SUMIFS(df_extrato_zig!G:G,df_extrato_zig!E:E,Conciliacao!A345,df_extrato_zig!D:D,"Saque")-SUMIFS(df_extrato_zig!G:G,df_extrato_zig!E:E,Conciliacao!A345,df_extrato_zig!D:D,"Antecipação")</f>
        <v/>
      </c>
      <c r="C345" s="3">
        <f>SUMIFS(df_extrato_zig!E:E,df_extrato_zig!L:L,Conciliacao!A345,df_extrato_zig!F:F,"DINHEIRO")</f>
        <v/>
      </c>
      <c r="D345" s="3">
        <f>SUMIFS(view_parc_agrup!H:H,view_parc_agrup!G:G,Conciliacao!A345)</f>
        <v/>
      </c>
      <c r="E345" s="3">
        <f>SUMIFS(df_eventos!F:F,df_eventos!H:H,Conciliacao!A345)</f>
        <v/>
      </c>
      <c r="F345" s="3">
        <f>SUMIFS(df_mutuos!M:M,df_mutuos!B:B,Conciliacao!A345)</f>
        <v/>
      </c>
      <c r="G345" s="6">
        <f>SUMIFS(df_bloqueios_judiciais!G:G,df_bloqueios_judiciais!D:D,Conciliacao!A345,df_bloqueios_judiciais!G:G,"&gt;0")</f>
        <v/>
      </c>
      <c r="H345" s="7">
        <f>SUMIFS(df_extratos!I:I,df_extratos!F:F,Conciliacao!BE345,df_extratos!G:G,"CREDITO")+SUMIFS(df_extratos!I:I,df_extratos!F:F,Conciliacao!A345,df_extratos!G:G,"CREDITO")+SUMIFS(df_extratos!I:I,df_extratos!F:F,Conciliacao!BF345,df_extratos!G:G,"CREDITO")+SUMIFS(df_extratos!I:I,df_extratos!F:F,Conciliacao!BG345,df_extratos!G:G,"CREDITO")+SUMIFS(df_extratos!I:I,df_extratos!F:F,Conciliacao!BH345,df_extratos!G:G,"CREDITO")</f>
        <v/>
      </c>
      <c r="I345" s="9">
        <f>H345-SUM(B345:G345)</f>
        <v/>
      </c>
      <c r="J345" s="4">
        <f>SUMIFS(df_blueme_sem_parcelamento!E:E,df_blueme_sem_parcelamento!H:H,Conciliacao!A345)*(-1)</f>
        <v/>
      </c>
      <c r="K345" s="4">
        <f>SUMIFS(df_blueme_com_parcelamento!J:J,df_blueme_com_parcelamento!M:M,Conciliacao!A345)*(-1)</f>
        <v/>
      </c>
      <c r="L345" s="4">
        <f>SUMIFS(df_mutuos!N:N,df_mutuos!B:B,Conciliacao!A345)*(-1)</f>
        <v/>
      </c>
      <c r="M345" s="8">
        <f>SUMIFS(df_bloqueios_judiciais!G:G,df_bloqueios_judiciais!D:D,Conciliacao!A345,df_bloqueios_judiciais!G:G,"&lt;0")</f>
        <v/>
      </c>
      <c r="N345" s="10">
        <f>SUMIFS(df_extratos!I:I,df_extratos!F:F,Conciliacao!BE345,df_extratos!G:G,"DEBITO")+SUMIFS(df_extratos!I:I,df_extratos!F:F,Conciliacao!A345,df_extratos!G:G,"DEBITO")+SUMIFS(df_extratos!I:I,df_extratos!F:F,Conciliacao!BF345,df_extratos!G:G,"DEBITO")+SUMIFS(df_extratos!I:I,df_extratos!F:F,Conciliacao!BG345,df_extratos!G:G,"DEBITO")+SUMIFS(df_extratos!I:I,df_extratos!F:F,Conciliacao!BH345,df_extratos!G:G,"DEBITO")</f>
        <v/>
      </c>
      <c r="O345" s="11">
        <f>N345-SUM(J345:M345)</f>
        <v/>
      </c>
      <c r="P345" s="25">
        <f>SUMIFS(df_ajustes_conciliaco!D:D,df_ajustes_conciliaco!C:C,Conciliacao!A345)</f>
        <v/>
      </c>
      <c r="Q345" s="22">
        <f>O345+I345-P345</f>
        <v/>
      </c>
      <c r="BE345" s="20" t="n">
        <v>46001.5</v>
      </c>
      <c r="BF345" s="20" t="n">
        <v>46001.125</v>
      </c>
      <c r="BG345" s="20" t="n">
        <v>46001.54166666666</v>
      </c>
      <c r="BH345" s="20" t="n">
        <v>46001.625</v>
      </c>
    </row>
    <row r="346">
      <c r="A346" s="5">
        <f>A345+1</f>
        <v/>
      </c>
      <c r="B346" s="3">
        <f>-SUMIFS(df_extrato_zig!G:G,df_extrato_zig!E:E,Conciliacao!A346,df_extrato_zig!D:D,"Saque")-SUMIFS(df_extrato_zig!G:G,df_extrato_zig!E:E,Conciliacao!A346,df_extrato_zig!D:D,"Antecipação")</f>
        <v/>
      </c>
      <c r="C346" s="3">
        <f>SUMIFS(df_extrato_zig!E:E,df_extrato_zig!L:L,Conciliacao!A346,df_extrato_zig!F:F,"DINHEIRO")</f>
        <v/>
      </c>
      <c r="D346" s="3">
        <f>SUMIFS(view_parc_agrup!H:H,view_parc_agrup!G:G,Conciliacao!A346)</f>
        <v/>
      </c>
      <c r="E346" s="3">
        <f>SUMIFS(df_eventos!F:F,df_eventos!H:H,Conciliacao!A346)</f>
        <v/>
      </c>
      <c r="F346" s="3">
        <f>SUMIFS(df_mutuos!M:M,df_mutuos!B:B,Conciliacao!A346)</f>
        <v/>
      </c>
      <c r="G346" s="6">
        <f>SUMIFS(df_bloqueios_judiciais!G:G,df_bloqueios_judiciais!D:D,Conciliacao!A346,df_bloqueios_judiciais!G:G,"&gt;0")</f>
        <v/>
      </c>
      <c r="H346" s="7">
        <f>SUMIFS(df_extratos!I:I,df_extratos!F:F,Conciliacao!BE346,df_extratos!G:G,"CREDITO")+SUMIFS(df_extratos!I:I,df_extratos!F:F,Conciliacao!A346,df_extratos!G:G,"CREDITO")+SUMIFS(df_extratos!I:I,df_extratos!F:F,Conciliacao!BF346,df_extratos!G:G,"CREDITO")+SUMIFS(df_extratos!I:I,df_extratos!F:F,Conciliacao!BG346,df_extratos!G:G,"CREDITO")+SUMIFS(df_extratos!I:I,df_extratos!F:F,Conciliacao!BH346,df_extratos!G:G,"CREDITO")</f>
        <v/>
      </c>
      <c r="I346" s="9">
        <f>H346-SUM(B346:G346)</f>
        <v/>
      </c>
      <c r="J346" s="4">
        <f>SUMIFS(df_blueme_sem_parcelamento!E:E,df_blueme_sem_parcelamento!H:H,Conciliacao!A346)*(-1)</f>
        <v/>
      </c>
      <c r="K346" s="4">
        <f>SUMIFS(df_blueme_com_parcelamento!J:J,df_blueme_com_parcelamento!M:M,Conciliacao!A346)*(-1)</f>
        <v/>
      </c>
      <c r="L346" s="4">
        <f>SUMIFS(df_mutuos!N:N,df_mutuos!B:B,Conciliacao!A346)*(-1)</f>
        <v/>
      </c>
      <c r="M346" s="8">
        <f>SUMIFS(df_bloqueios_judiciais!G:G,df_bloqueios_judiciais!D:D,Conciliacao!A346,df_bloqueios_judiciais!G:G,"&lt;0")</f>
        <v/>
      </c>
      <c r="N346" s="10">
        <f>SUMIFS(df_extratos!I:I,df_extratos!F:F,Conciliacao!BE346,df_extratos!G:G,"DEBITO")+SUMIFS(df_extratos!I:I,df_extratos!F:F,Conciliacao!A346,df_extratos!G:G,"DEBITO")+SUMIFS(df_extratos!I:I,df_extratos!F:F,Conciliacao!BF346,df_extratos!G:G,"DEBITO")+SUMIFS(df_extratos!I:I,df_extratos!F:F,Conciliacao!BG346,df_extratos!G:G,"DEBITO")+SUMIFS(df_extratos!I:I,df_extratos!F:F,Conciliacao!BH346,df_extratos!G:G,"DEBITO")</f>
        <v/>
      </c>
      <c r="O346" s="11">
        <f>N346-SUM(J346:M346)</f>
        <v/>
      </c>
      <c r="P346" s="25">
        <f>SUMIFS(df_ajustes_conciliaco!D:D,df_ajustes_conciliaco!C:C,Conciliacao!A346)</f>
        <v/>
      </c>
      <c r="Q346" s="22">
        <f>O346+I346-P346</f>
        <v/>
      </c>
      <c r="BE346" s="20" t="n">
        <v>46002.5</v>
      </c>
      <c r="BF346" s="20" t="n">
        <v>46002.125</v>
      </c>
      <c r="BG346" s="20" t="n">
        <v>46002.54166666666</v>
      </c>
      <c r="BH346" s="20" t="n">
        <v>46002.625</v>
      </c>
    </row>
    <row r="347">
      <c r="A347" s="5">
        <f>A346+1</f>
        <v/>
      </c>
      <c r="B347" s="3">
        <f>-SUMIFS(df_extrato_zig!G:G,df_extrato_zig!E:E,Conciliacao!A347,df_extrato_zig!D:D,"Saque")-SUMIFS(df_extrato_zig!G:G,df_extrato_zig!E:E,Conciliacao!A347,df_extrato_zig!D:D,"Antecipação")</f>
        <v/>
      </c>
      <c r="C347" s="3">
        <f>SUMIFS(df_extrato_zig!E:E,df_extrato_zig!L:L,Conciliacao!A347,df_extrato_zig!F:F,"DINHEIRO")</f>
        <v/>
      </c>
      <c r="D347" s="3">
        <f>SUMIFS(view_parc_agrup!H:H,view_parc_agrup!G:G,Conciliacao!A347)</f>
        <v/>
      </c>
      <c r="E347" s="3">
        <f>SUMIFS(df_eventos!F:F,df_eventos!H:H,Conciliacao!A347)</f>
        <v/>
      </c>
      <c r="F347" s="3">
        <f>SUMIFS(df_mutuos!M:M,df_mutuos!B:B,Conciliacao!A347)</f>
        <v/>
      </c>
      <c r="G347" s="6">
        <f>SUMIFS(df_bloqueios_judiciais!G:G,df_bloqueios_judiciais!D:D,Conciliacao!A347,df_bloqueios_judiciais!G:G,"&gt;0")</f>
        <v/>
      </c>
      <c r="H347" s="7">
        <f>SUMIFS(df_extratos!I:I,df_extratos!F:F,Conciliacao!BE347,df_extratos!G:G,"CREDITO")+SUMIFS(df_extratos!I:I,df_extratos!F:F,Conciliacao!A347,df_extratos!G:G,"CREDITO")+SUMIFS(df_extratos!I:I,df_extratos!F:F,Conciliacao!BF347,df_extratos!G:G,"CREDITO")+SUMIFS(df_extratos!I:I,df_extratos!F:F,Conciliacao!BG347,df_extratos!G:G,"CREDITO")+SUMIFS(df_extratos!I:I,df_extratos!F:F,Conciliacao!BH347,df_extratos!G:G,"CREDITO")</f>
        <v/>
      </c>
      <c r="I347" s="9">
        <f>H347-SUM(B347:G347)</f>
        <v/>
      </c>
      <c r="J347" s="4">
        <f>SUMIFS(df_blueme_sem_parcelamento!E:E,df_blueme_sem_parcelamento!H:H,Conciliacao!A347)*(-1)</f>
        <v/>
      </c>
      <c r="K347" s="4">
        <f>SUMIFS(df_blueme_com_parcelamento!J:J,df_blueme_com_parcelamento!M:M,Conciliacao!A347)*(-1)</f>
        <v/>
      </c>
      <c r="L347" s="4">
        <f>SUMIFS(df_mutuos!N:N,df_mutuos!B:B,Conciliacao!A347)*(-1)</f>
        <v/>
      </c>
      <c r="M347" s="8">
        <f>SUMIFS(df_bloqueios_judiciais!G:G,df_bloqueios_judiciais!D:D,Conciliacao!A347,df_bloqueios_judiciais!G:G,"&lt;0")</f>
        <v/>
      </c>
      <c r="N347" s="10">
        <f>SUMIFS(df_extratos!I:I,df_extratos!F:F,Conciliacao!BE347,df_extratos!G:G,"DEBITO")+SUMIFS(df_extratos!I:I,df_extratos!F:F,Conciliacao!A347,df_extratos!G:G,"DEBITO")+SUMIFS(df_extratos!I:I,df_extratos!F:F,Conciliacao!BF347,df_extratos!G:G,"DEBITO")+SUMIFS(df_extratos!I:I,df_extratos!F:F,Conciliacao!BG347,df_extratos!G:G,"DEBITO")+SUMIFS(df_extratos!I:I,df_extratos!F:F,Conciliacao!BH347,df_extratos!G:G,"DEBITO")</f>
        <v/>
      </c>
      <c r="O347" s="11">
        <f>N347-SUM(J347:M347)</f>
        <v/>
      </c>
      <c r="P347" s="25">
        <f>SUMIFS(df_ajustes_conciliaco!D:D,df_ajustes_conciliaco!C:C,Conciliacao!A347)</f>
        <v/>
      </c>
      <c r="Q347" s="22">
        <f>O347+I347-P347</f>
        <v/>
      </c>
      <c r="BE347" s="20" t="n">
        <v>46003.5</v>
      </c>
      <c r="BF347" s="20" t="n">
        <v>46003.125</v>
      </c>
      <c r="BG347" s="20" t="n">
        <v>46003.54166666666</v>
      </c>
      <c r="BH347" s="20" t="n">
        <v>46003.625</v>
      </c>
    </row>
    <row r="348">
      <c r="A348" s="5">
        <f>A347+1</f>
        <v/>
      </c>
      <c r="B348" s="3">
        <f>-SUMIFS(df_extrato_zig!G:G,df_extrato_zig!E:E,Conciliacao!A348,df_extrato_zig!D:D,"Saque")-SUMIFS(df_extrato_zig!G:G,df_extrato_zig!E:E,Conciliacao!A348,df_extrato_zig!D:D,"Antecipação")</f>
        <v/>
      </c>
      <c r="C348" s="3">
        <f>SUMIFS(df_extrato_zig!E:E,df_extrato_zig!L:L,Conciliacao!A348,df_extrato_zig!F:F,"DINHEIRO")</f>
        <v/>
      </c>
      <c r="D348" s="3">
        <f>SUMIFS(view_parc_agrup!H:H,view_parc_agrup!G:G,Conciliacao!A348)</f>
        <v/>
      </c>
      <c r="E348" s="3">
        <f>SUMIFS(df_eventos!F:F,df_eventos!H:H,Conciliacao!A348)</f>
        <v/>
      </c>
      <c r="F348" s="3">
        <f>SUMIFS(df_mutuos!M:M,df_mutuos!B:B,Conciliacao!A348)</f>
        <v/>
      </c>
      <c r="G348" s="6">
        <f>SUMIFS(df_bloqueios_judiciais!G:G,df_bloqueios_judiciais!D:D,Conciliacao!A348,df_bloqueios_judiciais!G:G,"&gt;0")</f>
        <v/>
      </c>
      <c r="H348" s="7">
        <f>SUMIFS(df_extratos!I:I,df_extratos!F:F,Conciliacao!BE348,df_extratos!G:G,"CREDITO")+SUMIFS(df_extratos!I:I,df_extratos!F:F,Conciliacao!A348,df_extratos!G:G,"CREDITO")+SUMIFS(df_extratos!I:I,df_extratos!F:F,Conciliacao!BF348,df_extratos!G:G,"CREDITO")+SUMIFS(df_extratos!I:I,df_extratos!F:F,Conciliacao!BG348,df_extratos!G:G,"CREDITO")+SUMIFS(df_extratos!I:I,df_extratos!F:F,Conciliacao!BH348,df_extratos!G:G,"CREDITO")</f>
        <v/>
      </c>
      <c r="I348" s="9">
        <f>H348-SUM(B348:G348)</f>
        <v/>
      </c>
      <c r="J348" s="4">
        <f>SUMIFS(df_blueme_sem_parcelamento!E:E,df_blueme_sem_parcelamento!H:H,Conciliacao!A348)*(-1)</f>
        <v/>
      </c>
      <c r="K348" s="4">
        <f>SUMIFS(df_blueme_com_parcelamento!J:J,df_blueme_com_parcelamento!M:M,Conciliacao!A348)*(-1)</f>
        <v/>
      </c>
      <c r="L348" s="4">
        <f>SUMIFS(df_mutuos!N:N,df_mutuos!B:B,Conciliacao!A348)*(-1)</f>
        <v/>
      </c>
      <c r="M348" s="8">
        <f>SUMIFS(df_bloqueios_judiciais!G:G,df_bloqueios_judiciais!D:D,Conciliacao!A348,df_bloqueios_judiciais!G:G,"&lt;0")</f>
        <v/>
      </c>
      <c r="N348" s="10">
        <f>SUMIFS(df_extratos!I:I,df_extratos!F:F,Conciliacao!BE348,df_extratos!G:G,"DEBITO")+SUMIFS(df_extratos!I:I,df_extratos!F:F,Conciliacao!A348,df_extratos!G:G,"DEBITO")+SUMIFS(df_extratos!I:I,df_extratos!F:F,Conciliacao!BF348,df_extratos!G:G,"DEBITO")+SUMIFS(df_extratos!I:I,df_extratos!F:F,Conciliacao!BG348,df_extratos!G:G,"DEBITO")+SUMIFS(df_extratos!I:I,df_extratos!F:F,Conciliacao!BH348,df_extratos!G:G,"DEBITO")</f>
        <v/>
      </c>
      <c r="O348" s="11">
        <f>N348-SUM(J348:M348)</f>
        <v/>
      </c>
      <c r="P348" s="25">
        <f>SUMIFS(df_ajustes_conciliaco!D:D,df_ajustes_conciliaco!C:C,Conciliacao!A348)</f>
        <v/>
      </c>
      <c r="Q348" s="22">
        <f>O348+I348-P348</f>
        <v/>
      </c>
      <c r="BE348" s="20" t="n">
        <v>46004.5</v>
      </c>
      <c r="BF348" s="20" t="n">
        <v>46004.125</v>
      </c>
      <c r="BG348" s="20" t="n">
        <v>46004.54166666666</v>
      </c>
      <c r="BH348" s="20" t="n">
        <v>46004.625</v>
      </c>
    </row>
    <row r="349">
      <c r="A349" s="5">
        <f>A348+1</f>
        <v/>
      </c>
      <c r="B349" s="3">
        <f>-SUMIFS(df_extrato_zig!G:G,df_extrato_zig!E:E,Conciliacao!A349,df_extrato_zig!D:D,"Saque")-SUMIFS(df_extrato_zig!G:G,df_extrato_zig!E:E,Conciliacao!A349,df_extrato_zig!D:D,"Antecipação")</f>
        <v/>
      </c>
      <c r="C349" s="3">
        <f>SUMIFS(df_extrato_zig!E:E,df_extrato_zig!L:L,Conciliacao!A349,df_extrato_zig!F:F,"DINHEIRO")</f>
        <v/>
      </c>
      <c r="D349" s="3">
        <f>SUMIFS(view_parc_agrup!H:H,view_parc_agrup!G:G,Conciliacao!A349)</f>
        <v/>
      </c>
      <c r="E349" s="3">
        <f>SUMIFS(df_eventos!F:F,df_eventos!H:H,Conciliacao!A349)</f>
        <v/>
      </c>
      <c r="F349" s="3">
        <f>SUMIFS(df_mutuos!M:M,df_mutuos!B:B,Conciliacao!A349)</f>
        <v/>
      </c>
      <c r="G349" s="6">
        <f>SUMIFS(df_bloqueios_judiciais!G:G,df_bloqueios_judiciais!D:D,Conciliacao!A349,df_bloqueios_judiciais!G:G,"&gt;0")</f>
        <v/>
      </c>
      <c r="H349" s="7">
        <f>SUMIFS(df_extratos!I:I,df_extratos!F:F,Conciliacao!BE349,df_extratos!G:G,"CREDITO")+SUMIFS(df_extratos!I:I,df_extratos!F:F,Conciliacao!A349,df_extratos!G:G,"CREDITO")+SUMIFS(df_extratos!I:I,df_extratos!F:F,Conciliacao!BF349,df_extratos!G:G,"CREDITO")+SUMIFS(df_extratos!I:I,df_extratos!F:F,Conciliacao!BG349,df_extratos!G:G,"CREDITO")+SUMIFS(df_extratos!I:I,df_extratos!F:F,Conciliacao!BH349,df_extratos!G:G,"CREDITO")</f>
        <v/>
      </c>
      <c r="I349" s="9">
        <f>H349-SUM(B349:G349)</f>
        <v/>
      </c>
      <c r="J349" s="4">
        <f>SUMIFS(df_blueme_sem_parcelamento!E:E,df_blueme_sem_parcelamento!H:H,Conciliacao!A349)*(-1)</f>
        <v/>
      </c>
      <c r="K349" s="4">
        <f>SUMIFS(df_blueme_com_parcelamento!J:J,df_blueme_com_parcelamento!M:M,Conciliacao!A349)*(-1)</f>
        <v/>
      </c>
      <c r="L349" s="4">
        <f>SUMIFS(df_mutuos!N:N,df_mutuos!B:B,Conciliacao!A349)*(-1)</f>
        <v/>
      </c>
      <c r="M349" s="8">
        <f>SUMIFS(df_bloqueios_judiciais!G:G,df_bloqueios_judiciais!D:D,Conciliacao!A349,df_bloqueios_judiciais!G:G,"&lt;0")</f>
        <v/>
      </c>
      <c r="N349" s="10">
        <f>SUMIFS(df_extratos!I:I,df_extratos!F:F,Conciliacao!BE349,df_extratos!G:G,"DEBITO")+SUMIFS(df_extratos!I:I,df_extratos!F:F,Conciliacao!A349,df_extratos!G:G,"DEBITO")+SUMIFS(df_extratos!I:I,df_extratos!F:F,Conciliacao!BF349,df_extratos!G:G,"DEBITO")+SUMIFS(df_extratos!I:I,df_extratos!F:F,Conciliacao!BG349,df_extratos!G:G,"DEBITO")+SUMIFS(df_extratos!I:I,df_extratos!F:F,Conciliacao!BH349,df_extratos!G:G,"DEBITO")</f>
        <v/>
      </c>
      <c r="O349" s="11">
        <f>N349-SUM(J349:M349)</f>
        <v/>
      </c>
      <c r="P349" s="25">
        <f>SUMIFS(df_ajustes_conciliaco!D:D,df_ajustes_conciliaco!C:C,Conciliacao!A349)</f>
        <v/>
      </c>
      <c r="Q349" s="22">
        <f>O349+I349-P349</f>
        <v/>
      </c>
      <c r="BE349" s="20" t="n">
        <v>46005.5</v>
      </c>
      <c r="BF349" s="20" t="n">
        <v>46005.125</v>
      </c>
      <c r="BG349" s="20" t="n">
        <v>46005.54166666666</v>
      </c>
      <c r="BH349" s="20" t="n">
        <v>46005.625</v>
      </c>
    </row>
    <row r="350">
      <c r="A350" s="5">
        <f>A349+1</f>
        <v/>
      </c>
      <c r="B350" s="3">
        <f>-SUMIFS(df_extrato_zig!G:G,df_extrato_zig!E:E,Conciliacao!A350,df_extrato_zig!D:D,"Saque")-SUMIFS(df_extrato_zig!G:G,df_extrato_zig!E:E,Conciliacao!A350,df_extrato_zig!D:D,"Antecipação")</f>
        <v/>
      </c>
      <c r="C350" s="3">
        <f>SUMIFS(df_extrato_zig!E:E,df_extrato_zig!L:L,Conciliacao!A350,df_extrato_zig!F:F,"DINHEIRO")</f>
        <v/>
      </c>
      <c r="D350" s="3">
        <f>SUMIFS(view_parc_agrup!H:H,view_parc_agrup!G:G,Conciliacao!A350)</f>
        <v/>
      </c>
      <c r="E350" s="3">
        <f>SUMIFS(df_eventos!F:F,df_eventos!H:H,Conciliacao!A350)</f>
        <v/>
      </c>
      <c r="F350" s="3">
        <f>SUMIFS(df_mutuos!M:M,df_mutuos!B:B,Conciliacao!A350)</f>
        <v/>
      </c>
      <c r="G350" s="6">
        <f>SUMIFS(df_bloqueios_judiciais!G:G,df_bloqueios_judiciais!D:D,Conciliacao!A350,df_bloqueios_judiciais!G:G,"&gt;0")</f>
        <v/>
      </c>
      <c r="H350" s="7">
        <f>SUMIFS(df_extratos!I:I,df_extratos!F:F,Conciliacao!BE350,df_extratos!G:G,"CREDITO")+SUMIFS(df_extratos!I:I,df_extratos!F:F,Conciliacao!A350,df_extratos!G:G,"CREDITO")+SUMIFS(df_extratos!I:I,df_extratos!F:F,Conciliacao!BF350,df_extratos!G:G,"CREDITO")+SUMIFS(df_extratos!I:I,df_extratos!F:F,Conciliacao!BG350,df_extratos!G:G,"CREDITO")+SUMIFS(df_extratos!I:I,df_extratos!F:F,Conciliacao!BH350,df_extratos!G:G,"CREDITO")</f>
        <v/>
      </c>
      <c r="I350" s="9">
        <f>H350-SUM(B350:G350)</f>
        <v/>
      </c>
      <c r="J350" s="4">
        <f>SUMIFS(df_blueme_sem_parcelamento!E:E,df_blueme_sem_parcelamento!H:H,Conciliacao!A350)*(-1)</f>
        <v/>
      </c>
      <c r="K350" s="4">
        <f>SUMIFS(df_blueme_com_parcelamento!J:J,df_blueme_com_parcelamento!M:M,Conciliacao!A350)*(-1)</f>
        <v/>
      </c>
      <c r="L350" s="4">
        <f>SUMIFS(df_mutuos!N:N,df_mutuos!B:B,Conciliacao!A350)*(-1)</f>
        <v/>
      </c>
      <c r="M350" s="8">
        <f>SUMIFS(df_bloqueios_judiciais!G:G,df_bloqueios_judiciais!D:D,Conciliacao!A350,df_bloqueios_judiciais!G:G,"&lt;0")</f>
        <v/>
      </c>
      <c r="N350" s="10">
        <f>SUMIFS(df_extratos!I:I,df_extratos!F:F,Conciliacao!BE350,df_extratos!G:G,"DEBITO")+SUMIFS(df_extratos!I:I,df_extratos!F:F,Conciliacao!A350,df_extratos!G:G,"DEBITO")+SUMIFS(df_extratos!I:I,df_extratos!F:F,Conciliacao!BF350,df_extratos!G:G,"DEBITO")+SUMIFS(df_extratos!I:I,df_extratos!F:F,Conciliacao!BG350,df_extratos!G:G,"DEBITO")+SUMIFS(df_extratos!I:I,df_extratos!F:F,Conciliacao!BH350,df_extratos!G:G,"DEBITO")</f>
        <v/>
      </c>
      <c r="O350" s="11">
        <f>N350-SUM(J350:M350)</f>
        <v/>
      </c>
      <c r="P350" s="25">
        <f>SUMIFS(df_ajustes_conciliaco!D:D,df_ajustes_conciliaco!C:C,Conciliacao!A350)</f>
        <v/>
      </c>
      <c r="Q350" s="22">
        <f>O350+I350-P350</f>
        <v/>
      </c>
      <c r="BE350" s="20" t="n">
        <v>46006.5</v>
      </c>
      <c r="BF350" s="20" t="n">
        <v>46006.125</v>
      </c>
      <c r="BG350" s="20" t="n">
        <v>46006.54166666666</v>
      </c>
      <c r="BH350" s="20" t="n">
        <v>46006.625</v>
      </c>
    </row>
    <row r="351">
      <c r="A351" s="5">
        <f>A350+1</f>
        <v/>
      </c>
      <c r="B351" s="3">
        <f>-SUMIFS(df_extrato_zig!G:G,df_extrato_zig!E:E,Conciliacao!A351,df_extrato_zig!D:D,"Saque")-SUMIFS(df_extrato_zig!G:G,df_extrato_zig!E:E,Conciliacao!A351,df_extrato_zig!D:D,"Antecipação")</f>
        <v/>
      </c>
      <c r="C351" s="3">
        <f>SUMIFS(df_extrato_zig!E:E,df_extrato_zig!L:L,Conciliacao!A351,df_extrato_zig!F:F,"DINHEIRO")</f>
        <v/>
      </c>
      <c r="D351" s="3">
        <f>SUMIFS(view_parc_agrup!H:H,view_parc_agrup!G:G,Conciliacao!A351)</f>
        <v/>
      </c>
      <c r="E351" s="3">
        <f>SUMIFS(df_eventos!F:F,df_eventos!H:H,Conciliacao!A351)</f>
        <v/>
      </c>
      <c r="F351" s="3">
        <f>SUMIFS(df_mutuos!M:M,df_mutuos!B:B,Conciliacao!A351)</f>
        <v/>
      </c>
      <c r="G351" s="6">
        <f>SUMIFS(df_bloqueios_judiciais!G:G,df_bloqueios_judiciais!D:D,Conciliacao!A351,df_bloqueios_judiciais!G:G,"&gt;0")</f>
        <v/>
      </c>
      <c r="H351" s="7">
        <f>SUMIFS(df_extratos!I:I,df_extratos!F:F,Conciliacao!BE351,df_extratos!G:G,"CREDITO")+SUMIFS(df_extratos!I:I,df_extratos!F:F,Conciliacao!A351,df_extratos!G:G,"CREDITO")+SUMIFS(df_extratos!I:I,df_extratos!F:F,Conciliacao!BF351,df_extratos!G:G,"CREDITO")+SUMIFS(df_extratos!I:I,df_extratos!F:F,Conciliacao!BG351,df_extratos!G:G,"CREDITO")+SUMIFS(df_extratos!I:I,df_extratos!F:F,Conciliacao!BH351,df_extratos!G:G,"CREDITO")</f>
        <v/>
      </c>
      <c r="I351" s="9">
        <f>H351-SUM(B351:G351)</f>
        <v/>
      </c>
      <c r="J351" s="4">
        <f>SUMIFS(df_blueme_sem_parcelamento!E:E,df_blueme_sem_parcelamento!H:H,Conciliacao!A351)*(-1)</f>
        <v/>
      </c>
      <c r="K351" s="4">
        <f>SUMIFS(df_blueme_com_parcelamento!J:J,df_blueme_com_parcelamento!M:M,Conciliacao!A351)*(-1)</f>
        <v/>
      </c>
      <c r="L351" s="4">
        <f>SUMIFS(df_mutuos!N:N,df_mutuos!B:B,Conciliacao!A351)*(-1)</f>
        <v/>
      </c>
      <c r="M351" s="8">
        <f>SUMIFS(df_bloqueios_judiciais!G:G,df_bloqueios_judiciais!D:D,Conciliacao!A351,df_bloqueios_judiciais!G:G,"&lt;0")</f>
        <v/>
      </c>
      <c r="N351" s="10">
        <f>SUMIFS(df_extratos!I:I,df_extratos!F:F,Conciliacao!BE351,df_extratos!G:G,"DEBITO")+SUMIFS(df_extratos!I:I,df_extratos!F:F,Conciliacao!A351,df_extratos!G:G,"DEBITO")+SUMIFS(df_extratos!I:I,df_extratos!F:F,Conciliacao!BF351,df_extratos!G:G,"DEBITO")+SUMIFS(df_extratos!I:I,df_extratos!F:F,Conciliacao!BG351,df_extratos!G:G,"DEBITO")+SUMIFS(df_extratos!I:I,df_extratos!F:F,Conciliacao!BH351,df_extratos!G:G,"DEBITO")</f>
        <v/>
      </c>
      <c r="O351" s="11">
        <f>N351-SUM(J351:M351)</f>
        <v/>
      </c>
      <c r="P351" s="25">
        <f>SUMIFS(df_ajustes_conciliaco!D:D,df_ajustes_conciliaco!C:C,Conciliacao!A351)</f>
        <v/>
      </c>
      <c r="Q351" s="22">
        <f>O351+I351-P351</f>
        <v/>
      </c>
      <c r="BE351" s="20" t="n">
        <v>46007.5</v>
      </c>
      <c r="BF351" s="20" t="n">
        <v>46007.125</v>
      </c>
      <c r="BG351" s="20" t="n">
        <v>46007.54166666666</v>
      </c>
      <c r="BH351" s="20" t="n">
        <v>46007.625</v>
      </c>
    </row>
    <row r="352">
      <c r="A352" s="5">
        <f>A351+1</f>
        <v/>
      </c>
      <c r="B352" s="3">
        <f>-SUMIFS(df_extrato_zig!G:G,df_extrato_zig!E:E,Conciliacao!A352,df_extrato_zig!D:D,"Saque")-SUMIFS(df_extrato_zig!G:G,df_extrato_zig!E:E,Conciliacao!A352,df_extrato_zig!D:D,"Antecipação")</f>
        <v/>
      </c>
      <c r="C352" s="3">
        <f>SUMIFS(df_extrato_zig!E:E,df_extrato_zig!L:L,Conciliacao!A352,df_extrato_zig!F:F,"DINHEIRO")</f>
        <v/>
      </c>
      <c r="D352" s="3">
        <f>SUMIFS(view_parc_agrup!H:H,view_parc_agrup!G:G,Conciliacao!A352)</f>
        <v/>
      </c>
      <c r="E352" s="3">
        <f>SUMIFS(df_eventos!F:F,df_eventos!H:H,Conciliacao!A352)</f>
        <v/>
      </c>
      <c r="F352" s="3">
        <f>SUMIFS(df_mutuos!M:M,df_mutuos!B:B,Conciliacao!A352)</f>
        <v/>
      </c>
      <c r="G352" s="6">
        <f>SUMIFS(df_bloqueios_judiciais!G:G,df_bloqueios_judiciais!D:D,Conciliacao!A352,df_bloqueios_judiciais!G:G,"&gt;0")</f>
        <v/>
      </c>
      <c r="H352" s="7">
        <f>SUMIFS(df_extratos!I:I,df_extratos!F:F,Conciliacao!BE352,df_extratos!G:G,"CREDITO")+SUMIFS(df_extratos!I:I,df_extratos!F:F,Conciliacao!A352,df_extratos!G:G,"CREDITO")+SUMIFS(df_extratos!I:I,df_extratos!F:F,Conciliacao!BF352,df_extratos!G:G,"CREDITO")+SUMIFS(df_extratos!I:I,df_extratos!F:F,Conciliacao!BG352,df_extratos!G:G,"CREDITO")+SUMIFS(df_extratos!I:I,df_extratos!F:F,Conciliacao!BH352,df_extratos!G:G,"CREDITO")</f>
        <v/>
      </c>
      <c r="I352" s="9">
        <f>H352-SUM(B352:G352)</f>
        <v/>
      </c>
      <c r="J352" s="4">
        <f>SUMIFS(df_blueme_sem_parcelamento!E:E,df_blueme_sem_parcelamento!H:H,Conciliacao!A352)*(-1)</f>
        <v/>
      </c>
      <c r="K352" s="4">
        <f>SUMIFS(df_blueme_com_parcelamento!J:J,df_blueme_com_parcelamento!M:M,Conciliacao!A352)*(-1)</f>
        <v/>
      </c>
      <c r="L352" s="4">
        <f>SUMIFS(df_mutuos!N:N,df_mutuos!B:B,Conciliacao!A352)*(-1)</f>
        <v/>
      </c>
      <c r="M352" s="8">
        <f>SUMIFS(df_bloqueios_judiciais!G:G,df_bloqueios_judiciais!D:D,Conciliacao!A352,df_bloqueios_judiciais!G:G,"&lt;0")</f>
        <v/>
      </c>
      <c r="N352" s="10">
        <f>SUMIFS(df_extratos!I:I,df_extratos!F:F,Conciliacao!BE352,df_extratos!G:G,"DEBITO")+SUMIFS(df_extratos!I:I,df_extratos!F:F,Conciliacao!A352,df_extratos!G:G,"DEBITO")+SUMIFS(df_extratos!I:I,df_extratos!F:F,Conciliacao!BF352,df_extratos!G:G,"DEBITO")+SUMIFS(df_extratos!I:I,df_extratos!F:F,Conciliacao!BG352,df_extratos!G:G,"DEBITO")+SUMIFS(df_extratos!I:I,df_extratos!F:F,Conciliacao!BH352,df_extratos!G:G,"DEBITO")</f>
        <v/>
      </c>
      <c r="O352" s="11">
        <f>N352-SUM(J352:M352)</f>
        <v/>
      </c>
      <c r="P352" s="25">
        <f>SUMIFS(df_ajustes_conciliaco!D:D,df_ajustes_conciliaco!C:C,Conciliacao!A352)</f>
        <v/>
      </c>
      <c r="Q352" s="22">
        <f>O352+I352-P352</f>
        <v/>
      </c>
      <c r="BE352" s="20" t="n">
        <v>46008.5</v>
      </c>
      <c r="BF352" s="20" t="n">
        <v>46008.125</v>
      </c>
      <c r="BG352" s="20" t="n">
        <v>46008.54166666666</v>
      </c>
      <c r="BH352" s="20" t="n">
        <v>46008.625</v>
      </c>
    </row>
    <row r="353">
      <c r="A353" s="5">
        <f>A352+1</f>
        <v/>
      </c>
      <c r="B353" s="3">
        <f>-SUMIFS(df_extrato_zig!G:G,df_extrato_zig!E:E,Conciliacao!A353,df_extrato_zig!D:D,"Saque")-SUMIFS(df_extrato_zig!G:G,df_extrato_zig!E:E,Conciliacao!A353,df_extrato_zig!D:D,"Antecipação")</f>
        <v/>
      </c>
      <c r="C353" s="3">
        <f>SUMIFS(df_extrato_zig!E:E,df_extrato_zig!L:L,Conciliacao!A353,df_extrato_zig!F:F,"DINHEIRO")</f>
        <v/>
      </c>
      <c r="D353" s="3">
        <f>SUMIFS(view_parc_agrup!H:H,view_parc_agrup!G:G,Conciliacao!A353)</f>
        <v/>
      </c>
      <c r="E353" s="3">
        <f>SUMIFS(df_eventos!F:F,df_eventos!H:H,Conciliacao!A353)</f>
        <v/>
      </c>
      <c r="F353" s="3">
        <f>SUMIFS(df_mutuos!M:M,df_mutuos!B:B,Conciliacao!A353)</f>
        <v/>
      </c>
      <c r="G353" s="6">
        <f>SUMIFS(df_bloqueios_judiciais!G:G,df_bloqueios_judiciais!D:D,Conciliacao!A353,df_bloqueios_judiciais!G:G,"&gt;0")</f>
        <v/>
      </c>
      <c r="H353" s="7">
        <f>SUMIFS(df_extratos!I:I,df_extratos!F:F,Conciliacao!BE353,df_extratos!G:G,"CREDITO")+SUMIFS(df_extratos!I:I,df_extratos!F:F,Conciliacao!A353,df_extratos!G:G,"CREDITO")+SUMIFS(df_extratos!I:I,df_extratos!F:F,Conciliacao!BF353,df_extratos!G:G,"CREDITO")+SUMIFS(df_extratos!I:I,df_extratos!F:F,Conciliacao!BG353,df_extratos!G:G,"CREDITO")+SUMIFS(df_extratos!I:I,df_extratos!F:F,Conciliacao!BH353,df_extratos!G:G,"CREDITO")</f>
        <v/>
      </c>
      <c r="I353" s="9">
        <f>H353-SUM(B353:G353)</f>
        <v/>
      </c>
      <c r="J353" s="4">
        <f>SUMIFS(df_blueme_sem_parcelamento!E:E,df_blueme_sem_parcelamento!H:H,Conciliacao!A353)*(-1)</f>
        <v/>
      </c>
      <c r="K353" s="4">
        <f>SUMIFS(df_blueme_com_parcelamento!J:J,df_blueme_com_parcelamento!M:M,Conciliacao!A353)*(-1)</f>
        <v/>
      </c>
      <c r="L353" s="4">
        <f>SUMIFS(df_mutuos!N:N,df_mutuos!B:B,Conciliacao!A353)*(-1)</f>
        <v/>
      </c>
      <c r="M353" s="8">
        <f>SUMIFS(df_bloqueios_judiciais!G:G,df_bloqueios_judiciais!D:D,Conciliacao!A353,df_bloqueios_judiciais!G:G,"&lt;0")</f>
        <v/>
      </c>
      <c r="N353" s="10">
        <f>SUMIFS(df_extratos!I:I,df_extratos!F:F,Conciliacao!BE353,df_extratos!G:G,"DEBITO")+SUMIFS(df_extratos!I:I,df_extratos!F:F,Conciliacao!A353,df_extratos!G:G,"DEBITO")+SUMIFS(df_extratos!I:I,df_extratos!F:F,Conciliacao!BF353,df_extratos!G:G,"DEBITO")+SUMIFS(df_extratos!I:I,df_extratos!F:F,Conciliacao!BG353,df_extratos!G:G,"DEBITO")+SUMIFS(df_extratos!I:I,df_extratos!F:F,Conciliacao!BH353,df_extratos!G:G,"DEBITO")</f>
        <v/>
      </c>
      <c r="O353" s="11">
        <f>N353-SUM(J353:M353)</f>
        <v/>
      </c>
      <c r="P353" s="25">
        <f>SUMIFS(df_ajustes_conciliaco!D:D,df_ajustes_conciliaco!C:C,Conciliacao!A353)</f>
        <v/>
      </c>
      <c r="Q353" s="22">
        <f>O353+I353-P353</f>
        <v/>
      </c>
      <c r="BE353" s="20" t="n">
        <v>46009.5</v>
      </c>
      <c r="BF353" s="20" t="n">
        <v>46009.125</v>
      </c>
      <c r="BG353" s="20" t="n">
        <v>46009.54166666666</v>
      </c>
      <c r="BH353" s="20" t="n">
        <v>46009.625</v>
      </c>
    </row>
    <row r="354">
      <c r="A354" s="5">
        <f>A353+1</f>
        <v/>
      </c>
      <c r="B354" s="3">
        <f>-SUMIFS(df_extrato_zig!G:G,df_extrato_zig!E:E,Conciliacao!A354,df_extrato_zig!D:D,"Saque")-SUMIFS(df_extrato_zig!G:G,df_extrato_zig!E:E,Conciliacao!A354,df_extrato_zig!D:D,"Antecipação")</f>
        <v/>
      </c>
      <c r="C354" s="3">
        <f>SUMIFS(df_extrato_zig!E:E,df_extrato_zig!L:L,Conciliacao!A354,df_extrato_zig!F:F,"DINHEIRO")</f>
        <v/>
      </c>
      <c r="D354" s="3">
        <f>SUMIFS(view_parc_agrup!H:H,view_parc_agrup!G:G,Conciliacao!A354)</f>
        <v/>
      </c>
      <c r="E354" s="3">
        <f>SUMIFS(df_eventos!F:F,df_eventos!H:H,Conciliacao!A354)</f>
        <v/>
      </c>
      <c r="F354" s="3">
        <f>SUMIFS(df_mutuos!M:M,df_mutuos!B:B,Conciliacao!A354)</f>
        <v/>
      </c>
      <c r="G354" s="6">
        <f>SUMIFS(df_bloqueios_judiciais!G:G,df_bloqueios_judiciais!D:D,Conciliacao!A354,df_bloqueios_judiciais!G:G,"&gt;0")</f>
        <v/>
      </c>
      <c r="H354" s="7">
        <f>SUMIFS(df_extratos!I:I,df_extratos!F:F,Conciliacao!BE354,df_extratos!G:G,"CREDITO")+SUMIFS(df_extratos!I:I,df_extratos!F:F,Conciliacao!A354,df_extratos!G:G,"CREDITO")+SUMIFS(df_extratos!I:I,df_extratos!F:F,Conciliacao!BF354,df_extratos!G:G,"CREDITO")+SUMIFS(df_extratos!I:I,df_extratos!F:F,Conciliacao!BG354,df_extratos!G:G,"CREDITO")+SUMIFS(df_extratos!I:I,df_extratos!F:F,Conciliacao!BH354,df_extratos!G:G,"CREDITO")</f>
        <v/>
      </c>
      <c r="I354" s="9">
        <f>H354-SUM(B354:G354)</f>
        <v/>
      </c>
      <c r="J354" s="4">
        <f>SUMIFS(df_blueme_sem_parcelamento!E:E,df_blueme_sem_parcelamento!H:H,Conciliacao!A354)*(-1)</f>
        <v/>
      </c>
      <c r="K354" s="4">
        <f>SUMIFS(df_blueme_com_parcelamento!J:J,df_blueme_com_parcelamento!M:M,Conciliacao!A354)*(-1)</f>
        <v/>
      </c>
      <c r="L354" s="4">
        <f>SUMIFS(df_mutuos!N:N,df_mutuos!B:B,Conciliacao!A354)*(-1)</f>
        <v/>
      </c>
      <c r="M354" s="8">
        <f>SUMIFS(df_bloqueios_judiciais!G:G,df_bloqueios_judiciais!D:D,Conciliacao!A354,df_bloqueios_judiciais!G:G,"&lt;0")</f>
        <v/>
      </c>
      <c r="N354" s="10">
        <f>SUMIFS(df_extratos!I:I,df_extratos!F:F,Conciliacao!BE354,df_extratos!G:G,"DEBITO")+SUMIFS(df_extratos!I:I,df_extratos!F:F,Conciliacao!A354,df_extratos!G:G,"DEBITO")+SUMIFS(df_extratos!I:I,df_extratos!F:F,Conciliacao!BF354,df_extratos!G:G,"DEBITO")+SUMIFS(df_extratos!I:I,df_extratos!F:F,Conciliacao!BG354,df_extratos!G:G,"DEBITO")+SUMIFS(df_extratos!I:I,df_extratos!F:F,Conciliacao!BH354,df_extratos!G:G,"DEBITO")</f>
        <v/>
      </c>
      <c r="O354" s="11">
        <f>N354-SUM(J354:M354)</f>
        <v/>
      </c>
      <c r="P354" s="25">
        <f>SUMIFS(df_ajustes_conciliaco!D:D,df_ajustes_conciliaco!C:C,Conciliacao!A354)</f>
        <v/>
      </c>
      <c r="Q354" s="22">
        <f>O354+I354-P354</f>
        <v/>
      </c>
      <c r="BE354" s="20" t="n">
        <v>46010.5</v>
      </c>
      <c r="BF354" s="20" t="n">
        <v>46010.125</v>
      </c>
      <c r="BG354" s="20" t="n">
        <v>46010.54166666666</v>
      </c>
      <c r="BH354" s="20" t="n">
        <v>46010.625</v>
      </c>
    </row>
    <row r="355">
      <c r="A355" s="5">
        <f>A354+1</f>
        <v/>
      </c>
      <c r="B355" s="3">
        <f>-SUMIFS(df_extrato_zig!G:G,df_extrato_zig!E:E,Conciliacao!A355,df_extrato_zig!D:D,"Saque")-SUMIFS(df_extrato_zig!G:G,df_extrato_zig!E:E,Conciliacao!A355,df_extrato_zig!D:D,"Antecipação")</f>
        <v/>
      </c>
      <c r="C355" s="3">
        <f>SUMIFS(df_extrato_zig!E:E,df_extrato_zig!L:L,Conciliacao!A355,df_extrato_zig!F:F,"DINHEIRO")</f>
        <v/>
      </c>
      <c r="D355" s="3">
        <f>SUMIFS(view_parc_agrup!H:H,view_parc_agrup!G:G,Conciliacao!A355)</f>
        <v/>
      </c>
      <c r="E355" s="3">
        <f>SUMIFS(df_eventos!F:F,df_eventos!H:H,Conciliacao!A355)</f>
        <v/>
      </c>
      <c r="F355" s="3">
        <f>SUMIFS(df_mutuos!M:M,df_mutuos!B:B,Conciliacao!A355)</f>
        <v/>
      </c>
      <c r="G355" s="6">
        <f>SUMIFS(df_bloqueios_judiciais!G:G,df_bloqueios_judiciais!D:D,Conciliacao!A355,df_bloqueios_judiciais!G:G,"&gt;0")</f>
        <v/>
      </c>
      <c r="H355" s="7">
        <f>SUMIFS(df_extratos!I:I,df_extratos!F:F,Conciliacao!BE355,df_extratos!G:G,"CREDITO")+SUMIFS(df_extratos!I:I,df_extratos!F:F,Conciliacao!A355,df_extratos!G:G,"CREDITO")+SUMIFS(df_extratos!I:I,df_extratos!F:F,Conciliacao!BF355,df_extratos!G:G,"CREDITO")+SUMIFS(df_extratos!I:I,df_extratos!F:F,Conciliacao!BG355,df_extratos!G:G,"CREDITO")+SUMIFS(df_extratos!I:I,df_extratos!F:F,Conciliacao!BH355,df_extratos!G:G,"CREDITO")</f>
        <v/>
      </c>
      <c r="I355" s="9">
        <f>H355-SUM(B355:G355)</f>
        <v/>
      </c>
      <c r="J355" s="4">
        <f>SUMIFS(df_blueme_sem_parcelamento!E:E,df_blueme_sem_parcelamento!H:H,Conciliacao!A355)*(-1)</f>
        <v/>
      </c>
      <c r="K355" s="4">
        <f>SUMIFS(df_blueme_com_parcelamento!J:J,df_blueme_com_parcelamento!M:M,Conciliacao!A355)*(-1)</f>
        <v/>
      </c>
      <c r="L355" s="4">
        <f>SUMIFS(df_mutuos!N:N,df_mutuos!B:B,Conciliacao!A355)*(-1)</f>
        <v/>
      </c>
      <c r="M355" s="8">
        <f>SUMIFS(df_bloqueios_judiciais!G:G,df_bloqueios_judiciais!D:D,Conciliacao!A355,df_bloqueios_judiciais!G:G,"&lt;0")</f>
        <v/>
      </c>
      <c r="N355" s="10">
        <f>SUMIFS(df_extratos!I:I,df_extratos!F:F,Conciliacao!BE355,df_extratos!G:G,"DEBITO")+SUMIFS(df_extratos!I:I,df_extratos!F:F,Conciliacao!A355,df_extratos!G:G,"DEBITO")+SUMIFS(df_extratos!I:I,df_extratos!F:F,Conciliacao!BF355,df_extratos!G:G,"DEBITO")+SUMIFS(df_extratos!I:I,df_extratos!F:F,Conciliacao!BG355,df_extratos!G:G,"DEBITO")+SUMIFS(df_extratos!I:I,df_extratos!F:F,Conciliacao!BH355,df_extratos!G:G,"DEBITO")</f>
        <v/>
      </c>
      <c r="O355" s="11">
        <f>N355-SUM(J355:M355)</f>
        <v/>
      </c>
      <c r="P355" s="25">
        <f>SUMIFS(df_ajustes_conciliaco!D:D,df_ajustes_conciliaco!C:C,Conciliacao!A355)</f>
        <v/>
      </c>
      <c r="Q355" s="22">
        <f>O355+I355-P355</f>
        <v/>
      </c>
      <c r="BE355" s="20" t="n">
        <v>46011.5</v>
      </c>
      <c r="BF355" s="20" t="n">
        <v>46011.125</v>
      </c>
      <c r="BG355" s="20" t="n">
        <v>46011.54166666666</v>
      </c>
      <c r="BH355" s="20" t="n">
        <v>46011.625</v>
      </c>
    </row>
    <row r="356">
      <c r="A356" s="5">
        <f>A355+1</f>
        <v/>
      </c>
      <c r="B356" s="3">
        <f>-SUMIFS(df_extrato_zig!G:G,df_extrato_zig!E:E,Conciliacao!A356,df_extrato_zig!D:D,"Saque")-SUMIFS(df_extrato_zig!G:G,df_extrato_zig!E:E,Conciliacao!A356,df_extrato_zig!D:D,"Antecipação")</f>
        <v/>
      </c>
      <c r="C356" s="3">
        <f>SUMIFS(df_extrato_zig!E:E,df_extrato_zig!L:L,Conciliacao!A356,df_extrato_zig!F:F,"DINHEIRO")</f>
        <v/>
      </c>
      <c r="D356" s="3">
        <f>SUMIFS(view_parc_agrup!H:H,view_parc_agrup!G:G,Conciliacao!A356)</f>
        <v/>
      </c>
      <c r="E356" s="3">
        <f>SUMIFS(df_eventos!F:F,df_eventos!H:H,Conciliacao!A356)</f>
        <v/>
      </c>
      <c r="F356" s="3">
        <f>SUMIFS(df_mutuos!M:M,df_mutuos!B:B,Conciliacao!A356)</f>
        <v/>
      </c>
      <c r="G356" s="6">
        <f>SUMIFS(df_bloqueios_judiciais!G:G,df_bloqueios_judiciais!D:D,Conciliacao!A356,df_bloqueios_judiciais!G:G,"&gt;0")</f>
        <v/>
      </c>
      <c r="H356" s="7">
        <f>SUMIFS(df_extratos!I:I,df_extratos!F:F,Conciliacao!BE356,df_extratos!G:G,"CREDITO")+SUMIFS(df_extratos!I:I,df_extratos!F:F,Conciliacao!A356,df_extratos!G:G,"CREDITO")+SUMIFS(df_extratos!I:I,df_extratos!F:F,Conciliacao!BF356,df_extratos!G:G,"CREDITO")+SUMIFS(df_extratos!I:I,df_extratos!F:F,Conciliacao!BG356,df_extratos!G:G,"CREDITO")+SUMIFS(df_extratos!I:I,df_extratos!F:F,Conciliacao!BH356,df_extratos!G:G,"CREDITO")</f>
        <v/>
      </c>
      <c r="I356" s="9">
        <f>H356-SUM(B356:G356)</f>
        <v/>
      </c>
      <c r="J356" s="4">
        <f>SUMIFS(df_blueme_sem_parcelamento!E:E,df_blueme_sem_parcelamento!H:H,Conciliacao!A356)*(-1)</f>
        <v/>
      </c>
      <c r="K356" s="4">
        <f>SUMIFS(df_blueme_com_parcelamento!J:J,df_blueme_com_parcelamento!M:M,Conciliacao!A356)*(-1)</f>
        <v/>
      </c>
      <c r="L356" s="4">
        <f>SUMIFS(df_mutuos!N:N,df_mutuos!B:B,Conciliacao!A356)*(-1)</f>
        <v/>
      </c>
      <c r="M356" s="8">
        <f>SUMIFS(df_bloqueios_judiciais!G:G,df_bloqueios_judiciais!D:D,Conciliacao!A356,df_bloqueios_judiciais!G:G,"&lt;0")</f>
        <v/>
      </c>
      <c r="N356" s="10">
        <f>SUMIFS(df_extratos!I:I,df_extratos!F:F,Conciliacao!BE356,df_extratos!G:G,"DEBITO")+SUMIFS(df_extratos!I:I,df_extratos!F:F,Conciliacao!A356,df_extratos!G:G,"DEBITO")+SUMIFS(df_extratos!I:I,df_extratos!F:F,Conciliacao!BF356,df_extratos!G:G,"DEBITO")+SUMIFS(df_extratos!I:I,df_extratos!F:F,Conciliacao!BG356,df_extratos!G:G,"DEBITO")+SUMIFS(df_extratos!I:I,df_extratos!F:F,Conciliacao!BH356,df_extratos!G:G,"DEBITO")</f>
        <v/>
      </c>
      <c r="O356" s="11">
        <f>N356-SUM(J356:M356)</f>
        <v/>
      </c>
      <c r="P356" s="25">
        <f>SUMIFS(df_ajustes_conciliaco!D:D,df_ajustes_conciliaco!C:C,Conciliacao!A356)</f>
        <v/>
      </c>
      <c r="Q356" s="22">
        <f>O356+I356-P356</f>
        <v/>
      </c>
      <c r="BE356" s="20" t="n">
        <v>46012.5</v>
      </c>
      <c r="BF356" s="20" t="n">
        <v>46012.125</v>
      </c>
      <c r="BG356" s="20" t="n">
        <v>46012.54166666666</v>
      </c>
      <c r="BH356" s="20" t="n">
        <v>46012.625</v>
      </c>
    </row>
    <row r="357">
      <c r="A357" s="5">
        <f>A356+1</f>
        <v/>
      </c>
      <c r="B357" s="3">
        <f>-SUMIFS(df_extrato_zig!G:G,df_extrato_zig!E:E,Conciliacao!A357,df_extrato_zig!D:D,"Saque")-SUMIFS(df_extrato_zig!G:G,df_extrato_zig!E:E,Conciliacao!A357,df_extrato_zig!D:D,"Antecipação")</f>
        <v/>
      </c>
      <c r="C357" s="3">
        <f>SUMIFS(df_extrato_zig!E:E,df_extrato_zig!L:L,Conciliacao!A357,df_extrato_zig!F:F,"DINHEIRO")</f>
        <v/>
      </c>
      <c r="D357" s="3">
        <f>SUMIFS(view_parc_agrup!H:H,view_parc_agrup!G:G,Conciliacao!A357)</f>
        <v/>
      </c>
      <c r="E357" s="3">
        <f>SUMIFS(df_eventos!F:F,df_eventos!H:H,Conciliacao!A357)</f>
        <v/>
      </c>
      <c r="F357" s="3">
        <f>SUMIFS(df_mutuos!M:M,df_mutuos!B:B,Conciliacao!A357)</f>
        <v/>
      </c>
      <c r="G357" s="6">
        <f>SUMIFS(df_bloqueios_judiciais!G:G,df_bloqueios_judiciais!D:D,Conciliacao!A357,df_bloqueios_judiciais!G:G,"&gt;0")</f>
        <v/>
      </c>
      <c r="H357" s="7">
        <f>SUMIFS(df_extratos!I:I,df_extratos!F:F,Conciliacao!BE357,df_extratos!G:G,"CREDITO")+SUMIFS(df_extratos!I:I,df_extratos!F:F,Conciliacao!A357,df_extratos!G:G,"CREDITO")+SUMIFS(df_extratos!I:I,df_extratos!F:F,Conciliacao!BF357,df_extratos!G:G,"CREDITO")+SUMIFS(df_extratos!I:I,df_extratos!F:F,Conciliacao!BG357,df_extratos!G:G,"CREDITO")+SUMIFS(df_extratos!I:I,df_extratos!F:F,Conciliacao!BH357,df_extratos!G:G,"CREDITO")</f>
        <v/>
      </c>
      <c r="I357" s="9">
        <f>H357-SUM(B357:G357)</f>
        <v/>
      </c>
      <c r="J357" s="4">
        <f>SUMIFS(df_blueme_sem_parcelamento!E:E,df_blueme_sem_parcelamento!H:H,Conciliacao!A357)*(-1)</f>
        <v/>
      </c>
      <c r="K357" s="4">
        <f>SUMIFS(df_blueme_com_parcelamento!J:J,df_blueme_com_parcelamento!M:M,Conciliacao!A357)*(-1)</f>
        <v/>
      </c>
      <c r="L357" s="4">
        <f>SUMIFS(df_mutuos!N:N,df_mutuos!B:B,Conciliacao!A357)*(-1)</f>
        <v/>
      </c>
      <c r="M357" s="8">
        <f>SUMIFS(df_bloqueios_judiciais!G:G,df_bloqueios_judiciais!D:D,Conciliacao!A357,df_bloqueios_judiciais!G:G,"&lt;0")</f>
        <v/>
      </c>
      <c r="N357" s="10">
        <f>SUMIFS(df_extratos!I:I,df_extratos!F:F,Conciliacao!BE357,df_extratos!G:G,"DEBITO")+SUMIFS(df_extratos!I:I,df_extratos!F:F,Conciliacao!A357,df_extratos!G:G,"DEBITO")+SUMIFS(df_extratos!I:I,df_extratos!F:F,Conciliacao!BF357,df_extratos!G:G,"DEBITO")+SUMIFS(df_extratos!I:I,df_extratos!F:F,Conciliacao!BG357,df_extratos!G:G,"DEBITO")+SUMIFS(df_extratos!I:I,df_extratos!F:F,Conciliacao!BH357,df_extratos!G:G,"DEBITO")</f>
        <v/>
      </c>
      <c r="O357" s="11">
        <f>N357-SUM(J357:M357)</f>
        <v/>
      </c>
      <c r="P357" s="25">
        <f>SUMIFS(df_ajustes_conciliaco!D:D,df_ajustes_conciliaco!C:C,Conciliacao!A357)</f>
        <v/>
      </c>
      <c r="Q357" s="22">
        <f>O357+I357-P357</f>
        <v/>
      </c>
      <c r="BE357" s="20" t="n">
        <v>46013.5</v>
      </c>
      <c r="BF357" s="20" t="n">
        <v>46013.125</v>
      </c>
      <c r="BG357" s="20" t="n">
        <v>46013.54166666666</v>
      </c>
      <c r="BH357" s="20" t="n">
        <v>46013.625</v>
      </c>
    </row>
    <row r="358">
      <c r="A358" s="5">
        <f>A357+1</f>
        <v/>
      </c>
      <c r="B358" s="3">
        <f>-SUMIFS(df_extrato_zig!G:G,df_extrato_zig!E:E,Conciliacao!A358,df_extrato_zig!D:D,"Saque")-SUMIFS(df_extrato_zig!G:G,df_extrato_zig!E:E,Conciliacao!A358,df_extrato_zig!D:D,"Antecipação")</f>
        <v/>
      </c>
      <c r="C358" s="3">
        <f>SUMIFS(df_extrato_zig!E:E,df_extrato_zig!L:L,Conciliacao!A358,df_extrato_zig!F:F,"DINHEIRO")</f>
        <v/>
      </c>
      <c r="D358" s="3">
        <f>SUMIFS(view_parc_agrup!H:H,view_parc_agrup!G:G,Conciliacao!A358)</f>
        <v/>
      </c>
      <c r="E358" s="3">
        <f>SUMIFS(df_eventos!F:F,df_eventos!H:H,Conciliacao!A358)</f>
        <v/>
      </c>
      <c r="F358" s="3">
        <f>SUMIFS(df_mutuos!M:M,df_mutuos!B:B,Conciliacao!A358)</f>
        <v/>
      </c>
      <c r="G358" s="6">
        <f>SUMIFS(df_bloqueios_judiciais!G:G,df_bloqueios_judiciais!D:D,Conciliacao!A358,df_bloqueios_judiciais!G:G,"&gt;0")</f>
        <v/>
      </c>
      <c r="H358" s="7">
        <f>SUMIFS(df_extratos!I:I,df_extratos!F:F,Conciliacao!BE358,df_extratos!G:G,"CREDITO")+SUMIFS(df_extratos!I:I,df_extratos!F:F,Conciliacao!A358,df_extratos!G:G,"CREDITO")+SUMIFS(df_extratos!I:I,df_extratos!F:F,Conciliacao!BF358,df_extratos!G:G,"CREDITO")+SUMIFS(df_extratos!I:I,df_extratos!F:F,Conciliacao!BG358,df_extratos!G:G,"CREDITO")+SUMIFS(df_extratos!I:I,df_extratos!F:F,Conciliacao!BH358,df_extratos!G:G,"CREDITO")</f>
        <v/>
      </c>
      <c r="I358" s="9">
        <f>H358-SUM(B358:G358)</f>
        <v/>
      </c>
      <c r="J358" s="4">
        <f>SUMIFS(df_blueme_sem_parcelamento!E:E,df_blueme_sem_parcelamento!H:H,Conciliacao!A358)*(-1)</f>
        <v/>
      </c>
      <c r="K358" s="4">
        <f>SUMIFS(df_blueme_com_parcelamento!J:J,df_blueme_com_parcelamento!M:M,Conciliacao!A358)*(-1)</f>
        <v/>
      </c>
      <c r="L358" s="4">
        <f>SUMIFS(df_mutuos!N:N,df_mutuos!B:B,Conciliacao!A358)*(-1)</f>
        <v/>
      </c>
      <c r="M358" s="8">
        <f>SUMIFS(df_bloqueios_judiciais!G:G,df_bloqueios_judiciais!D:D,Conciliacao!A358,df_bloqueios_judiciais!G:G,"&lt;0")</f>
        <v/>
      </c>
      <c r="N358" s="10">
        <f>SUMIFS(df_extratos!I:I,df_extratos!F:F,Conciliacao!BE358,df_extratos!G:G,"DEBITO")+SUMIFS(df_extratos!I:I,df_extratos!F:F,Conciliacao!A358,df_extratos!G:G,"DEBITO")+SUMIFS(df_extratos!I:I,df_extratos!F:F,Conciliacao!BF358,df_extratos!G:G,"DEBITO")+SUMIFS(df_extratos!I:I,df_extratos!F:F,Conciliacao!BG358,df_extratos!G:G,"DEBITO")+SUMIFS(df_extratos!I:I,df_extratos!F:F,Conciliacao!BH358,df_extratos!G:G,"DEBITO")</f>
        <v/>
      </c>
      <c r="O358" s="11">
        <f>N358-SUM(J358:M358)</f>
        <v/>
      </c>
      <c r="P358" s="25">
        <f>SUMIFS(df_ajustes_conciliaco!D:D,df_ajustes_conciliaco!C:C,Conciliacao!A358)</f>
        <v/>
      </c>
      <c r="Q358" s="22">
        <f>O358+I358-P358</f>
        <v/>
      </c>
      <c r="BE358" s="20" t="n">
        <v>46014.5</v>
      </c>
      <c r="BF358" s="20" t="n">
        <v>46014.125</v>
      </c>
      <c r="BG358" s="20" t="n">
        <v>46014.54166666666</v>
      </c>
      <c r="BH358" s="20" t="n">
        <v>46014.625</v>
      </c>
    </row>
    <row r="359">
      <c r="A359" s="5">
        <f>A358+1</f>
        <v/>
      </c>
      <c r="B359" s="3">
        <f>-SUMIFS(df_extrato_zig!G:G,df_extrato_zig!E:E,Conciliacao!A359,df_extrato_zig!D:D,"Saque")-SUMIFS(df_extrato_zig!G:G,df_extrato_zig!E:E,Conciliacao!A359,df_extrato_zig!D:D,"Antecipação")</f>
        <v/>
      </c>
      <c r="C359" s="3">
        <f>SUMIFS(df_extrato_zig!E:E,df_extrato_zig!L:L,Conciliacao!A359,df_extrato_zig!F:F,"DINHEIRO")</f>
        <v/>
      </c>
      <c r="D359" s="3">
        <f>SUMIFS(view_parc_agrup!H:H,view_parc_agrup!G:G,Conciliacao!A359)</f>
        <v/>
      </c>
      <c r="E359" s="3">
        <f>SUMIFS(df_eventos!F:F,df_eventos!H:H,Conciliacao!A359)</f>
        <v/>
      </c>
      <c r="F359" s="3">
        <f>SUMIFS(df_mutuos!M:M,df_mutuos!B:B,Conciliacao!A359)</f>
        <v/>
      </c>
      <c r="G359" s="6">
        <f>SUMIFS(df_bloqueios_judiciais!G:G,df_bloqueios_judiciais!D:D,Conciliacao!A359,df_bloqueios_judiciais!G:G,"&gt;0")</f>
        <v/>
      </c>
      <c r="H359" s="7">
        <f>SUMIFS(df_extratos!I:I,df_extratos!F:F,Conciliacao!BE359,df_extratos!G:G,"CREDITO")+SUMIFS(df_extratos!I:I,df_extratos!F:F,Conciliacao!A359,df_extratos!G:G,"CREDITO")+SUMIFS(df_extratos!I:I,df_extratos!F:F,Conciliacao!BF359,df_extratos!G:G,"CREDITO")+SUMIFS(df_extratos!I:I,df_extratos!F:F,Conciliacao!BG359,df_extratos!G:G,"CREDITO")+SUMIFS(df_extratos!I:I,df_extratos!F:F,Conciliacao!BH359,df_extratos!G:G,"CREDITO")</f>
        <v/>
      </c>
      <c r="I359" s="9">
        <f>H359-SUM(B359:G359)</f>
        <v/>
      </c>
      <c r="J359" s="4">
        <f>SUMIFS(df_blueme_sem_parcelamento!E:E,df_blueme_sem_parcelamento!H:H,Conciliacao!A359)*(-1)</f>
        <v/>
      </c>
      <c r="K359" s="4">
        <f>SUMIFS(df_blueme_com_parcelamento!J:J,df_blueme_com_parcelamento!M:M,Conciliacao!A359)*(-1)</f>
        <v/>
      </c>
      <c r="L359" s="4">
        <f>SUMIFS(df_mutuos!N:N,df_mutuos!B:B,Conciliacao!A359)*(-1)</f>
        <v/>
      </c>
      <c r="M359" s="8">
        <f>SUMIFS(df_bloqueios_judiciais!G:G,df_bloqueios_judiciais!D:D,Conciliacao!A359,df_bloqueios_judiciais!G:G,"&lt;0")</f>
        <v/>
      </c>
      <c r="N359" s="10">
        <f>SUMIFS(df_extratos!I:I,df_extratos!F:F,Conciliacao!BE359,df_extratos!G:G,"DEBITO")+SUMIFS(df_extratos!I:I,df_extratos!F:F,Conciliacao!A359,df_extratos!G:G,"DEBITO")+SUMIFS(df_extratos!I:I,df_extratos!F:F,Conciliacao!BF359,df_extratos!G:G,"DEBITO")+SUMIFS(df_extratos!I:I,df_extratos!F:F,Conciliacao!BG359,df_extratos!G:G,"DEBITO")+SUMIFS(df_extratos!I:I,df_extratos!F:F,Conciliacao!BH359,df_extratos!G:G,"DEBITO")</f>
        <v/>
      </c>
      <c r="O359" s="11">
        <f>N359-SUM(J359:M359)</f>
        <v/>
      </c>
      <c r="P359" s="25">
        <f>SUMIFS(df_ajustes_conciliaco!D:D,df_ajustes_conciliaco!C:C,Conciliacao!A359)</f>
        <v/>
      </c>
      <c r="Q359" s="22">
        <f>O359+I359-P359</f>
        <v/>
      </c>
      <c r="BE359" s="20" t="n">
        <v>46015.5</v>
      </c>
      <c r="BF359" s="20" t="n">
        <v>46015.125</v>
      </c>
      <c r="BG359" s="20" t="n">
        <v>46015.54166666666</v>
      </c>
      <c r="BH359" s="20" t="n">
        <v>46015.625</v>
      </c>
    </row>
    <row r="360">
      <c r="A360" s="5">
        <f>A359+1</f>
        <v/>
      </c>
      <c r="B360" s="3">
        <f>-SUMIFS(df_extrato_zig!G:G,df_extrato_zig!E:E,Conciliacao!A360,df_extrato_zig!D:D,"Saque")-SUMIFS(df_extrato_zig!G:G,df_extrato_zig!E:E,Conciliacao!A360,df_extrato_zig!D:D,"Antecipação")</f>
        <v/>
      </c>
      <c r="C360" s="3">
        <f>SUMIFS(df_extrato_zig!E:E,df_extrato_zig!L:L,Conciliacao!A360,df_extrato_zig!F:F,"DINHEIRO")</f>
        <v/>
      </c>
      <c r="D360" s="3">
        <f>SUMIFS(view_parc_agrup!H:H,view_parc_agrup!G:G,Conciliacao!A360)</f>
        <v/>
      </c>
      <c r="E360" s="3">
        <f>SUMIFS(df_eventos!F:F,df_eventos!H:H,Conciliacao!A360)</f>
        <v/>
      </c>
      <c r="F360" s="3">
        <f>SUMIFS(df_mutuos!M:M,df_mutuos!B:B,Conciliacao!A360)</f>
        <v/>
      </c>
      <c r="G360" s="6">
        <f>SUMIFS(df_bloqueios_judiciais!G:G,df_bloqueios_judiciais!D:D,Conciliacao!A360,df_bloqueios_judiciais!G:G,"&gt;0")</f>
        <v/>
      </c>
      <c r="H360" s="7">
        <f>SUMIFS(df_extratos!I:I,df_extratos!F:F,Conciliacao!BE360,df_extratos!G:G,"CREDITO")+SUMIFS(df_extratos!I:I,df_extratos!F:F,Conciliacao!A360,df_extratos!G:G,"CREDITO")+SUMIFS(df_extratos!I:I,df_extratos!F:F,Conciliacao!BF360,df_extratos!G:G,"CREDITO")+SUMIFS(df_extratos!I:I,df_extratos!F:F,Conciliacao!BG360,df_extratos!G:G,"CREDITO")+SUMIFS(df_extratos!I:I,df_extratos!F:F,Conciliacao!BH360,df_extratos!G:G,"CREDITO")</f>
        <v/>
      </c>
      <c r="I360" s="9">
        <f>H360-SUM(B360:G360)</f>
        <v/>
      </c>
      <c r="J360" s="4">
        <f>SUMIFS(df_blueme_sem_parcelamento!E:E,df_blueme_sem_parcelamento!H:H,Conciliacao!A360)*(-1)</f>
        <v/>
      </c>
      <c r="K360" s="4">
        <f>SUMIFS(df_blueme_com_parcelamento!J:J,df_blueme_com_parcelamento!M:M,Conciliacao!A360)*(-1)</f>
        <v/>
      </c>
      <c r="L360" s="4">
        <f>SUMIFS(df_mutuos!N:N,df_mutuos!B:B,Conciliacao!A360)*(-1)</f>
        <v/>
      </c>
      <c r="M360" s="8">
        <f>SUMIFS(df_bloqueios_judiciais!G:G,df_bloqueios_judiciais!D:D,Conciliacao!A360,df_bloqueios_judiciais!G:G,"&lt;0")</f>
        <v/>
      </c>
      <c r="N360" s="10">
        <f>SUMIFS(df_extratos!I:I,df_extratos!F:F,Conciliacao!BE360,df_extratos!G:G,"DEBITO")+SUMIFS(df_extratos!I:I,df_extratos!F:F,Conciliacao!A360,df_extratos!G:G,"DEBITO")+SUMIFS(df_extratos!I:I,df_extratos!F:F,Conciliacao!BF360,df_extratos!G:G,"DEBITO")+SUMIFS(df_extratos!I:I,df_extratos!F:F,Conciliacao!BG360,df_extratos!G:G,"DEBITO")+SUMIFS(df_extratos!I:I,df_extratos!F:F,Conciliacao!BH360,df_extratos!G:G,"DEBITO")</f>
        <v/>
      </c>
      <c r="O360" s="11">
        <f>N360-SUM(J360:M360)</f>
        <v/>
      </c>
      <c r="P360" s="25">
        <f>SUMIFS(df_ajustes_conciliaco!D:D,df_ajustes_conciliaco!C:C,Conciliacao!A360)</f>
        <v/>
      </c>
      <c r="Q360" s="22">
        <f>O360+I360-P360</f>
        <v/>
      </c>
      <c r="BE360" s="20" t="n">
        <v>46016.5</v>
      </c>
      <c r="BF360" s="20" t="n">
        <v>46016.125</v>
      </c>
      <c r="BG360" s="20" t="n">
        <v>46016.54166666666</v>
      </c>
      <c r="BH360" s="20" t="n">
        <v>46016.625</v>
      </c>
    </row>
    <row r="361">
      <c r="A361" s="5">
        <f>A360+1</f>
        <v/>
      </c>
      <c r="B361" s="3">
        <f>-SUMIFS(df_extrato_zig!G:G,df_extrato_zig!E:E,Conciliacao!A361,df_extrato_zig!D:D,"Saque")-SUMIFS(df_extrato_zig!G:G,df_extrato_zig!E:E,Conciliacao!A361,df_extrato_zig!D:D,"Antecipação")</f>
        <v/>
      </c>
      <c r="C361" s="3">
        <f>SUMIFS(df_extrato_zig!E:E,df_extrato_zig!L:L,Conciliacao!A361,df_extrato_zig!F:F,"DINHEIRO")</f>
        <v/>
      </c>
      <c r="D361" s="3">
        <f>SUMIFS(view_parc_agrup!H:H,view_parc_agrup!G:G,Conciliacao!A361)</f>
        <v/>
      </c>
      <c r="E361" s="3">
        <f>SUMIFS(df_eventos!F:F,df_eventos!H:H,Conciliacao!A361)</f>
        <v/>
      </c>
      <c r="F361" s="3">
        <f>SUMIFS(df_mutuos!M:M,df_mutuos!B:B,Conciliacao!A361)</f>
        <v/>
      </c>
      <c r="G361" s="6">
        <f>SUMIFS(df_bloqueios_judiciais!G:G,df_bloqueios_judiciais!D:D,Conciliacao!A361,df_bloqueios_judiciais!G:G,"&gt;0")</f>
        <v/>
      </c>
      <c r="H361" s="7">
        <f>SUMIFS(df_extratos!I:I,df_extratos!F:F,Conciliacao!BE361,df_extratos!G:G,"CREDITO")+SUMIFS(df_extratos!I:I,df_extratos!F:F,Conciliacao!A361,df_extratos!G:G,"CREDITO")+SUMIFS(df_extratos!I:I,df_extratos!F:F,Conciliacao!BF361,df_extratos!G:G,"CREDITO")+SUMIFS(df_extratos!I:I,df_extratos!F:F,Conciliacao!BG361,df_extratos!G:G,"CREDITO")+SUMIFS(df_extratos!I:I,df_extratos!F:F,Conciliacao!BH361,df_extratos!G:G,"CREDITO")</f>
        <v/>
      </c>
      <c r="I361" s="9">
        <f>H361-SUM(B361:G361)</f>
        <v/>
      </c>
      <c r="J361" s="4">
        <f>SUMIFS(df_blueme_sem_parcelamento!E:E,df_blueme_sem_parcelamento!H:H,Conciliacao!A361)*(-1)</f>
        <v/>
      </c>
      <c r="K361" s="4">
        <f>SUMIFS(df_blueme_com_parcelamento!J:J,df_blueme_com_parcelamento!M:M,Conciliacao!A361)*(-1)</f>
        <v/>
      </c>
      <c r="L361" s="4">
        <f>SUMIFS(df_mutuos!N:N,df_mutuos!B:B,Conciliacao!A361)*(-1)</f>
        <v/>
      </c>
      <c r="M361" s="8">
        <f>SUMIFS(df_bloqueios_judiciais!G:G,df_bloqueios_judiciais!D:D,Conciliacao!A361,df_bloqueios_judiciais!G:G,"&lt;0")</f>
        <v/>
      </c>
      <c r="N361" s="10">
        <f>SUMIFS(df_extratos!I:I,df_extratos!F:F,Conciliacao!BE361,df_extratos!G:G,"DEBITO")+SUMIFS(df_extratos!I:I,df_extratos!F:F,Conciliacao!A361,df_extratos!G:G,"DEBITO")+SUMIFS(df_extratos!I:I,df_extratos!F:F,Conciliacao!BF361,df_extratos!G:G,"DEBITO")+SUMIFS(df_extratos!I:I,df_extratos!F:F,Conciliacao!BG361,df_extratos!G:G,"DEBITO")+SUMIFS(df_extratos!I:I,df_extratos!F:F,Conciliacao!BH361,df_extratos!G:G,"DEBITO")</f>
        <v/>
      </c>
      <c r="O361" s="11">
        <f>N361-SUM(J361:M361)</f>
        <v/>
      </c>
      <c r="P361" s="25">
        <f>SUMIFS(df_ajustes_conciliaco!D:D,df_ajustes_conciliaco!C:C,Conciliacao!A361)</f>
        <v/>
      </c>
      <c r="Q361" s="22">
        <f>O361+I361-P361</f>
        <v/>
      </c>
      <c r="BE361" s="20" t="n">
        <v>46017.5</v>
      </c>
      <c r="BF361" s="20" t="n">
        <v>46017.125</v>
      </c>
      <c r="BG361" s="20" t="n">
        <v>46017.54166666666</v>
      </c>
      <c r="BH361" s="20" t="n">
        <v>46017.625</v>
      </c>
    </row>
    <row r="362">
      <c r="A362" s="5">
        <f>A361+1</f>
        <v/>
      </c>
      <c r="B362" s="3">
        <f>-SUMIFS(df_extrato_zig!G:G,df_extrato_zig!E:E,Conciliacao!A362,df_extrato_zig!D:D,"Saque")-SUMIFS(df_extrato_zig!G:G,df_extrato_zig!E:E,Conciliacao!A362,df_extrato_zig!D:D,"Antecipação")</f>
        <v/>
      </c>
      <c r="C362" s="3">
        <f>SUMIFS(df_extrato_zig!E:E,df_extrato_zig!L:L,Conciliacao!A362,df_extrato_zig!F:F,"DINHEIRO")</f>
        <v/>
      </c>
      <c r="D362" s="3">
        <f>SUMIFS(view_parc_agrup!H:H,view_parc_agrup!G:G,Conciliacao!A362)</f>
        <v/>
      </c>
      <c r="E362" s="3">
        <f>SUMIFS(df_eventos!F:F,df_eventos!H:H,Conciliacao!A362)</f>
        <v/>
      </c>
      <c r="F362" s="3">
        <f>SUMIFS(df_mutuos!M:M,df_mutuos!B:B,Conciliacao!A362)</f>
        <v/>
      </c>
      <c r="G362" s="6">
        <f>SUMIFS(df_bloqueios_judiciais!G:G,df_bloqueios_judiciais!D:D,Conciliacao!A362,df_bloqueios_judiciais!G:G,"&gt;0")</f>
        <v/>
      </c>
      <c r="H362" s="7">
        <f>SUMIFS(df_extratos!I:I,df_extratos!F:F,Conciliacao!BE362,df_extratos!G:G,"CREDITO")+SUMIFS(df_extratos!I:I,df_extratos!F:F,Conciliacao!A362,df_extratos!G:G,"CREDITO")+SUMIFS(df_extratos!I:I,df_extratos!F:F,Conciliacao!BF362,df_extratos!G:G,"CREDITO")+SUMIFS(df_extratos!I:I,df_extratos!F:F,Conciliacao!BG362,df_extratos!G:G,"CREDITO")+SUMIFS(df_extratos!I:I,df_extratos!F:F,Conciliacao!BH362,df_extratos!G:G,"CREDITO")</f>
        <v/>
      </c>
      <c r="I362" s="9">
        <f>H362-SUM(B362:G362)</f>
        <v/>
      </c>
      <c r="J362" s="4">
        <f>SUMIFS(df_blueme_sem_parcelamento!E:E,df_blueme_sem_parcelamento!H:H,Conciliacao!A362)*(-1)</f>
        <v/>
      </c>
      <c r="K362" s="4">
        <f>SUMIFS(df_blueme_com_parcelamento!J:J,df_blueme_com_parcelamento!M:M,Conciliacao!A362)*(-1)</f>
        <v/>
      </c>
      <c r="L362" s="4">
        <f>SUMIFS(df_mutuos!N:N,df_mutuos!B:B,Conciliacao!A362)*(-1)</f>
        <v/>
      </c>
      <c r="M362" s="8">
        <f>SUMIFS(df_bloqueios_judiciais!G:G,df_bloqueios_judiciais!D:D,Conciliacao!A362,df_bloqueios_judiciais!G:G,"&lt;0")</f>
        <v/>
      </c>
      <c r="N362" s="10">
        <f>SUMIFS(df_extratos!I:I,df_extratos!F:F,Conciliacao!BE362,df_extratos!G:G,"DEBITO")+SUMIFS(df_extratos!I:I,df_extratos!F:F,Conciliacao!A362,df_extratos!G:G,"DEBITO")+SUMIFS(df_extratos!I:I,df_extratos!F:F,Conciliacao!BF362,df_extratos!G:G,"DEBITO")+SUMIFS(df_extratos!I:I,df_extratos!F:F,Conciliacao!BG362,df_extratos!G:G,"DEBITO")+SUMIFS(df_extratos!I:I,df_extratos!F:F,Conciliacao!BH362,df_extratos!G:G,"DEBITO")</f>
        <v/>
      </c>
      <c r="O362" s="11">
        <f>N362-SUM(J362:M362)</f>
        <v/>
      </c>
      <c r="P362" s="25">
        <f>SUMIFS(df_ajustes_conciliaco!D:D,df_ajustes_conciliaco!C:C,Conciliacao!A362)</f>
        <v/>
      </c>
      <c r="Q362" s="22">
        <f>O362+I362-P362</f>
        <v/>
      </c>
      <c r="BE362" s="20" t="n">
        <v>46018.5</v>
      </c>
      <c r="BF362" s="20" t="n">
        <v>46018.125</v>
      </c>
      <c r="BG362" s="20" t="n">
        <v>46018.54166666666</v>
      </c>
      <c r="BH362" s="20" t="n">
        <v>46018.625</v>
      </c>
    </row>
    <row r="363">
      <c r="A363" s="5">
        <f>A362+1</f>
        <v/>
      </c>
      <c r="B363" s="3">
        <f>-SUMIFS(df_extrato_zig!G:G,df_extrato_zig!E:E,Conciliacao!A363,df_extrato_zig!D:D,"Saque")-SUMIFS(df_extrato_zig!G:G,df_extrato_zig!E:E,Conciliacao!A363,df_extrato_zig!D:D,"Antecipação")</f>
        <v/>
      </c>
      <c r="C363" s="3">
        <f>SUMIFS(df_extrato_zig!E:E,df_extrato_zig!L:L,Conciliacao!A363,df_extrato_zig!F:F,"DINHEIRO")</f>
        <v/>
      </c>
      <c r="D363" s="3">
        <f>SUMIFS(view_parc_agrup!H:H,view_parc_agrup!G:G,Conciliacao!A363)</f>
        <v/>
      </c>
      <c r="E363" s="3">
        <f>SUMIFS(df_eventos!F:F,df_eventos!H:H,Conciliacao!A363)</f>
        <v/>
      </c>
      <c r="F363" s="3">
        <f>SUMIFS(df_mutuos!M:M,df_mutuos!B:B,Conciliacao!A363)</f>
        <v/>
      </c>
      <c r="G363" s="6">
        <f>SUMIFS(df_bloqueios_judiciais!G:G,df_bloqueios_judiciais!D:D,Conciliacao!A363,df_bloqueios_judiciais!G:G,"&gt;0")</f>
        <v/>
      </c>
      <c r="H363" s="7">
        <f>SUMIFS(df_extratos!I:I,df_extratos!F:F,Conciliacao!BE363,df_extratos!G:G,"CREDITO")+SUMIFS(df_extratos!I:I,df_extratos!F:F,Conciliacao!A363,df_extratos!G:G,"CREDITO")+SUMIFS(df_extratos!I:I,df_extratos!F:F,Conciliacao!BF363,df_extratos!G:G,"CREDITO")+SUMIFS(df_extratos!I:I,df_extratos!F:F,Conciliacao!BG363,df_extratos!G:G,"CREDITO")+SUMIFS(df_extratos!I:I,df_extratos!F:F,Conciliacao!BH363,df_extratos!G:G,"CREDITO")</f>
        <v/>
      </c>
      <c r="I363" s="9">
        <f>H363-SUM(B363:G363)</f>
        <v/>
      </c>
      <c r="J363" s="4">
        <f>SUMIFS(df_blueme_sem_parcelamento!E:E,df_blueme_sem_parcelamento!H:H,Conciliacao!A363)*(-1)</f>
        <v/>
      </c>
      <c r="K363" s="4">
        <f>SUMIFS(df_blueme_com_parcelamento!J:J,df_blueme_com_parcelamento!M:M,Conciliacao!A363)*(-1)</f>
        <v/>
      </c>
      <c r="L363" s="4">
        <f>SUMIFS(df_mutuos!N:N,df_mutuos!B:B,Conciliacao!A363)*(-1)</f>
        <v/>
      </c>
      <c r="M363" s="8">
        <f>SUMIFS(df_bloqueios_judiciais!G:G,df_bloqueios_judiciais!D:D,Conciliacao!A363,df_bloqueios_judiciais!G:G,"&lt;0")</f>
        <v/>
      </c>
      <c r="N363" s="10">
        <f>SUMIFS(df_extratos!I:I,df_extratos!F:F,Conciliacao!BE363,df_extratos!G:G,"DEBITO")+SUMIFS(df_extratos!I:I,df_extratos!F:F,Conciliacao!A363,df_extratos!G:G,"DEBITO")+SUMIFS(df_extratos!I:I,df_extratos!F:F,Conciliacao!BF363,df_extratos!G:G,"DEBITO")+SUMIFS(df_extratos!I:I,df_extratos!F:F,Conciliacao!BG363,df_extratos!G:G,"DEBITO")+SUMIFS(df_extratos!I:I,df_extratos!F:F,Conciliacao!BH363,df_extratos!G:G,"DEBITO")</f>
        <v/>
      </c>
      <c r="O363" s="11">
        <f>N363-SUM(J363:M363)</f>
        <v/>
      </c>
      <c r="P363" s="25">
        <f>SUMIFS(df_ajustes_conciliaco!D:D,df_ajustes_conciliaco!C:C,Conciliacao!A363)</f>
        <v/>
      </c>
      <c r="Q363" s="22">
        <f>O363+I363-P363</f>
        <v/>
      </c>
      <c r="BE363" s="20" t="n">
        <v>46019.5</v>
      </c>
      <c r="BF363" s="20" t="n">
        <v>46019.125</v>
      </c>
      <c r="BG363" s="20" t="n">
        <v>46019.54166666666</v>
      </c>
      <c r="BH363" s="20" t="n">
        <v>46019.625</v>
      </c>
    </row>
    <row r="364">
      <c r="A364" s="5">
        <f>A363+1</f>
        <v/>
      </c>
      <c r="B364" s="3">
        <f>-SUMIFS(df_extrato_zig!G:G,df_extrato_zig!E:E,Conciliacao!A364,df_extrato_zig!D:D,"Saque")-SUMIFS(df_extrato_zig!G:G,df_extrato_zig!E:E,Conciliacao!A364,df_extrato_zig!D:D,"Antecipação")</f>
        <v/>
      </c>
      <c r="C364" s="3">
        <f>SUMIFS(df_extrato_zig!E:E,df_extrato_zig!L:L,Conciliacao!A364,df_extrato_zig!F:F,"DINHEIRO")</f>
        <v/>
      </c>
      <c r="D364" s="3">
        <f>SUMIFS(view_parc_agrup!H:H,view_parc_agrup!G:G,Conciliacao!A364)</f>
        <v/>
      </c>
      <c r="E364" s="3">
        <f>SUMIFS(df_eventos!F:F,df_eventos!H:H,Conciliacao!A364)</f>
        <v/>
      </c>
      <c r="F364" s="3">
        <f>SUMIFS(df_mutuos!M:M,df_mutuos!B:B,Conciliacao!A364)</f>
        <v/>
      </c>
      <c r="G364" s="6">
        <f>SUMIFS(df_bloqueios_judiciais!G:G,df_bloqueios_judiciais!D:D,Conciliacao!A364,df_bloqueios_judiciais!G:G,"&gt;0")</f>
        <v/>
      </c>
      <c r="H364" s="7">
        <f>SUMIFS(df_extratos!I:I,df_extratos!F:F,Conciliacao!BE364,df_extratos!G:G,"CREDITO")+SUMIFS(df_extratos!I:I,df_extratos!F:F,Conciliacao!A364,df_extratos!G:G,"CREDITO")+SUMIFS(df_extratos!I:I,df_extratos!F:F,Conciliacao!BF364,df_extratos!G:G,"CREDITO")+SUMIFS(df_extratos!I:I,df_extratos!F:F,Conciliacao!BG364,df_extratos!G:G,"CREDITO")+SUMIFS(df_extratos!I:I,df_extratos!F:F,Conciliacao!BH364,df_extratos!G:G,"CREDITO")</f>
        <v/>
      </c>
      <c r="I364" s="9">
        <f>H364-SUM(B364:G364)</f>
        <v/>
      </c>
      <c r="J364" s="4">
        <f>SUMIFS(df_blueme_sem_parcelamento!E:E,df_blueme_sem_parcelamento!H:H,Conciliacao!A364)*(-1)</f>
        <v/>
      </c>
      <c r="K364" s="4">
        <f>SUMIFS(df_blueme_com_parcelamento!J:J,df_blueme_com_parcelamento!M:M,Conciliacao!A364)*(-1)</f>
        <v/>
      </c>
      <c r="L364" s="4">
        <f>SUMIFS(df_mutuos!N:N,df_mutuos!B:B,Conciliacao!A364)*(-1)</f>
        <v/>
      </c>
      <c r="M364" s="8">
        <f>SUMIFS(df_bloqueios_judiciais!G:G,df_bloqueios_judiciais!D:D,Conciliacao!A364,df_bloqueios_judiciais!G:G,"&lt;0")</f>
        <v/>
      </c>
      <c r="N364" s="10">
        <f>SUMIFS(df_extratos!I:I,df_extratos!F:F,Conciliacao!BE364,df_extratos!G:G,"DEBITO")+SUMIFS(df_extratos!I:I,df_extratos!F:F,Conciliacao!A364,df_extratos!G:G,"DEBITO")+SUMIFS(df_extratos!I:I,df_extratos!F:F,Conciliacao!BF364,df_extratos!G:G,"DEBITO")+SUMIFS(df_extratos!I:I,df_extratos!F:F,Conciliacao!BG364,df_extratos!G:G,"DEBITO")+SUMIFS(df_extratos!I:I,df_extratos!F:F,Conciliacao!BH364,df_extratos!G:G,"DEBITO")</f>
        <v/>
      </c>
      <c r="O364" s="11">
        <f>N364-SUM(J364:M364)</f>
        <v/>
      </c>
      <c r="P364" s="25">
        <f>SUMIFS(df_ajustes_conciliaco!D:D,df_ajustes_conciliaco!C:C,Conciliacao!A364)</f>
        <v/>
      </c>
      <c r="Q364" s="22">
        <f>O364+I364-P364</f>
        <v/>
      </c>
      <c r="BE364" s="20" t="n">
        <v>46020.5</v>
      </c>
      <c r="BF364" s="20" t="n">
        <v>46020.125</v>
      </c>
      <c r="BG364" s="20" t="n">
        <v>46020.54166666666</v>
      </c>
      <c r="BH364" s="20" t="n">
        <v>46020.625</v>
      </c>
    </row>
    <row r="365">
      <c r="A365" s="5">
        <f>A364+1</f>
        <v/>
      </c>
      <c r="B365" s="3">
        <f>-SUMIFS(df_extrato_zig!G:G,df_extrato_zig!E:E,Conciliacao!A365,df_extrato_zig!D:D,"Saque")-SUMIFS(df_extrato_zig!G:G,df_extrato_zig!E:E,Conciliacao!A365,df_extrato_zig!D:D,"Antecipação")</f>
        <v/>
      </c>
      <c r="C365" s="3">
        <f>SUMIFS(df_extrato_zig!E:E,df_extrato_zig!L:L,Conciliacao!A365,df_extrato_zig!F:F,"DINHEIRO")</f>
        <v/>
      </c>
      <c r="D365" s="3">
        <f>SUMIFS(view_parc_agrup!H:H,view_parc_agrup!G:G,Conciliacao!A365)</f>
        <v/>
      </c>
      <c r="E365" s="3">
        <f>SUMIFS(df_eventos!F:F,df_eventos!H:H,Conciliacao!A365)</f>
        <v/>
      </c>
      <c r="F365" s="3">
        <f>SUMIFS(df_mutuos!M:M,df_mutuos!B:B,Conciliacao!A365)</f>
        <v/>
      </c>
      <c r="G365" s="6">
        <f>SUMIFS(df_bloqueios_judiciais!G:G,df_bloqueios_judiciais!D:D,Conciliacao!A365,df_bloqueios_judiciais!G:G,"&gt;0")</f>
        <v/>
      </c>
      <c r="H365" s="7">
        <f>SUMIFS(df_extratos!I:I,df_extratos!F:F,Conciliacao!BE365,df_extratos!G:G,"CREDITO")+SUMIFS(df_extratos!I:I,df_extratos!F:F,Conciliacao!A365,df_extratos!G:G,"CREDITO")+SUMIFS(df_extratos!I:I,df_extratos!F:F,Conciliacao!BF365,df_extratos!G:G,"CREDITO")+SUMIFS(df_extratos!I:I,df_extratos!F:F,Conciliacao!BG365,df_extratos!G:G,"CREDITO")+SUMIFS(df_extratos!I:I,df_extratos!F:F,Conciliacao!BH365,df_extratos!G:G,"CREDITO")</f>
        <v/>
      </c>
      <c r="I365" s="9">
        <f>H365-SUM(B365:G365)</f>
        <v/>
      </c>
      <c r="J365" s="4">
        <f>SUMIFS(df_blueme_sem_parcelamento!E:E,df_blueme_sem_parcelamento!H:H,Conciliacao!A365)*(-1)</f>
        <v/>
      </c>
      <c r="K365" s="4">
        <f>SUMIFS(df_blueme_com_parcelamento!J:J,df_blueme_com_parcelamento!M:M,Conciliacao!A365)*(-1)</f>
        <v/>
      </c>
      <c r="L365" s="4">
        <f>SUMIFS(df_mutuos!N:N,df_mutuos!B:B,Conciliacao!A365)*(-1)</f>
        <v/>
      </c>
      <c r="M365" s="8">
        <f>SUMIFS(df_bloqueios_judiciais!G:G,df_bloqueios_judiciais!D:D,Conciliacao!A365,df_bloqueios_judiciais!G:G,"&lt;0")</f>
        <v/>
      </c>
      <c r="N365" s="10">
        <f>SUMIFS(df_extratos!I:I,df_extratos!F:F,Conciliacao!BE365,df_extratos!G:G,"DEBITO")+SUMIFS(df_extratos!I:I,df_extratos!F:F,Conciliacao!A365,df_extratos!G:G,"DEBITO")+SUMIFS(df_extratos!I:I,df_extratos!F:F,Conciliacao!BF365,df_extratos!G:G,"DEBITO")+SUMIFS(df_extratos!I:I,df_extratos!F:F,Conciliacao!BG365,df_extratos!G:G,"DEBITO")+SUMIFS(df_extratos!I:I,df_extratos!F:F,Conciliacao!BH365,df_extratos!G:G,"DEBITO")</f>
        <v/>
      </c>
      <c r="O365" s="11">
        <f>N365-SUM(J365:M365)</f>
        <v/>
      </c>
      <c r="P365" s="25">
        <f>SUMIFS(df_ajustes_conciliaco!D:D,df_ajustes_conciliaco!C:C,Conciliacao!A365)</f>
        <v/>
      </c>
      <c r="Q365" s="22">
        <f>O365+I365-P365</f>
        <v/>
      </c>
      <c r="BE365" s="20" t="n">
        <v>46021.5</v>
      </c>
      <c r="BF365" s="20" t="n">
        <v>46021.125</v>
      </c>
      <c r="BG365" s="20" t="n">
        <v>46021.54166666666</v>
      </c>
      <c r="BH365" s="20" t="n">
        <v>46021.625</v>
      </c>
    </row>
    <row r="366">
      <c r="A366" s="5">
        <f>A365+1</f>
        <v/>
      </c>
      <c r="B366" s="3">
        <f>-SUMIFS(df_extrato_zig!G:G,df_extrato_zig!E:E,Conciliacao!A366,df_extrato_zig!D:D,"Saque")-SUMIFS(df_extrato_zig!G:G,df_extrato_zig!E:E,Conciliacao!A366,df_extrato_zig!D:D,"Antecipação")</f>
        <v/>
      </c>
      <c r="C366" s="3">
        <f>SUMIFS(df_extrato_zig!E:E,df_extrato_zig!L:L,Conciliacao!A366,df_extrato_zig!F:F,"DINHEIRO")</f>
        <v/>
      </c>
      <c r="D366" s="3">
        <f>SUMIFS(view_parc_agrup!H:H,view_parc_agrup!G:G,Conciliacao!A366)</f>
        <v/>
      </c>
      <c r="E366" s="3">
        <f>SUMIFS(df_eventos!F:F,df_eventos!H:H,Conciliacao!A366)</f>
        <v/>
      </c>
      <c r="F366" s="3">
        <f>SUMIFS(df_mutuos!M:M,df_mutuos!B:B,Conciliacao!A366)</f>
        <v/>
      </c>
      <c r="G366" s="6">
        <f>SUMIFS(df_bloqueios_judiciais!G:G,df_bloqueios_judiciais!D:D,Conciliacao!A366,df_bloqueios_judiciais!G:G,"&gt;0")</f>
        <v/>
      </c>
      <c r="H366" s="7">
        <f>SUMIFS(df_extratos!I:I,df_extratos!F:F,Conciliacao!BE366,df_extratos!G:G,"CREDITO")+SUMIFS(df_extratos!I:I,df_extratos!F:F,Conciliacao!A366,df_extratos!G:G,"CREDITO")+SUMIFS(df_extratos!I:I,df_extratos!F:F,Conciliacao!BF366,df_extratos!G:G,"CREDITO")+SUMIFS(df_extratos!I:I,df_extratos!F:F,Conciliacao!BG366,df_extratos!G:G,"CREDITO")+SUMIFS(df_extratos!I:I,df_extratos!F:F,Conciliacao!BH366,df_extratos!G:G,"CREDITO")</f>
        <v/>
      </c>
      <c r="I366" s="9">
        <f>H366-SUM(B366:G366)</f>
        <v/>
      </c>
      <c r="J366" s="4">
        <f>SUMIFS(df_blueme_sem_parcelamento!E:E,df_blueme_sem_parcelamento!H:H,Conciliacao!A366)*(-1)</f>
        <v/>
      </c>
      <c r="K366" s="4">
        <f>SUMIFS(df_blueme_com_parcelamento!J:J,df_blueme_com_parcelamento!M:M,Conciliacao!A366)*(-1)</f>
        <v/>
      </c>
      <c r="L366" s="4">
        <f>SUMIFS(df_mutuos!N:N,df_mutuos!B:B,Conciliacao!A366)*(-1)</f>
        <v/>
      </c>
      <c r="M366" s="8">
        <f>SUMIFS(df_bloqueios_judiciais!G:G,df_bloqueios_judiciais!D:D,Conciliacao!A366,df_bloqueios_judiciais!G:G,"&lt;0")</f>
        <v/>
      </c>
      <c r="N366" s="10">
        <f>SUMIFS(df_extratos!I:I,df_extratos!F:F,Conciliacao!BE366,df_extratos!G:G,"DEBITO")+SUMIFS(df_extratos!I:I,df_extratos!F:F,Conciliacao!A366,df_extratos!G:G,"DEBITO")+SUMIFS(df_extratos!I:I,df_extratos!F:F,Conciliacao!BF366,df_extratos!G:G,"DEBITO")+SUMIFS(df_extratos!I:I,df_extratos!F:F,Conciliacao!BG366,df_extratos!G:G,"DEBITO")+SUMIFS(df_extratos!I:I,df_extratos!F:F,Conciliacao!BH366,df_extratos!G:G,"DEBITO")</f>
        <v/>
      </c>
      <c r="O366" s="11">
        <f>N366-SUM(J366:M366)</f>
        <v/>
      </c>
      <c r="P366" s="25">
        <f>SUMIFS(df_ajustes_conciliaco!D:D,df_ajustes_conciliaco!C:C,Conciliacao!A366)</f>
        <v/>
      </c>
      <c r="Q366" s="22">
        <f>O366+I366-P366</f>
        <v/>
      </c>
      <c r="BE366" s="20" t="n">
        <v>46022.5</v>
      </c>
      <c r="BF366" s="20" t="n">
        <v>46022.125</v>
      </c>
      <c r="BG366" s="20" t="n">
        <v>46022.54166666666</v>
      </c>
      <c r="BH366" s="20" t="n">
        <v>46022.625</v>
      </c>
    </row>
    <row r="367">
      <c r="A367" s="5">
        <f>A366+1</f>
        <v/>
      </c>
      <c r="B367" s="3">
        <f>-SUMIFS(df_extrato_zig!G:G,df_extrato_zig!E:E,Conciliacao!A367,df_extrato_zig!D:D,"Saque")-SUMIFS(df_extrato_zig!G:G,df_extrato_zig!E:E,Conciliacao!A367,df_extrato_zig!D:D,"Antecipação")</f>
        <v/>
      </c>
      <c r="C367" s="3">
        <f>SUMIFS(df_extrato_zig!E:E,df_extrato_zig!L:L,Conciliacao!A367,df_extrato_zig!F:F,"DINHEIRO")</f>
        <v/>
      </c>
      <c r="D367" s="3">
        <f>SUMIFS(view_parc_agrup!H:H,view_parc_agrup!G:G,Conciliacao!A367)</f>
        <v/>
      </c>
      <c r="E367" s="3">
        <f>SUMIFS(df_eventos!F:F,df_eventos!H:H,Conciliacao!A367)</f>
        <v/>
      </c>
      <c r="F367" s="3">
        <f>SUMIFS(df_mutuos!M:M,df_mutuos!B:B,Conciliacao!A367)</f>
        <v/>
      </c>
      <c r="G367" s="6">
        <f>SUMIFS(df_bloqueios_judiciais!G:G,df_bloqueios_judiciais!D:D,Conciliacao!A367,df_bloqueios_judiciais!G:G,"&gt;0")</f>
        <v/>
      </c>
      <c r="H367" s="7">
        <f>SUMIFS(df_extratos!I:I,df_extratos!F:F,Conciliacao!BE367,df_extratos!G:G,"CREDITO")+SUMIFS(df_extratos!I:I,df_extratos!F:F,Conciliacao!A367,df_extratos!G:G,"CREDITO")+SUMIFS(df_extratos!I:I,df_extratos!F:F,Conciliacao!BF367,df_extratos!G:G,"CREDITO")+SUMIFS(df_extratos!I:I,df_extratos!F:F,Conciliacao!BG367,df_extratos!G:G,"CREDITO")+SUMIFS(df_extratos!I:I,df_extratos!F:F,Conciliacao!BH367,df_extratos!G:G,"CREDITO")</f>
        <v/>
      </c>
      <c r="I367" s="9">
        <f>H367-SUM(B367:G367)</f>
        <v/>
      </c>
      <c r="J367" s="4">
        <f>SUMIFS(df_blueme_sem_parcelamento!E:E,df_blueme_sem_parcelamento!H:H,Conciliacao!A367)*(-1)</f>
        <v/>
      </c>
      <c r="K367" s="4">
        <f>SUMIFS(df_blueme_com_parcelamento!J:J,df_blueme_com_parcelamento!M:M,Conciliacao!A367)*(-1)</f>
        <v/>
      </c>
      <c r="L367" s="4">
        <f>SUMIFS(df_mutuos!N:N,df_mutuos!B:B,Conciliacao!A367)*(-1)</f>
        <v/>
      </c>
      <c r="M367" s="8">
        <f>SUMIFS(df_bloqueios_judiciais!G:G,df_bloqueios_judiciais!D:D,Conciliacao!A367,df_bloqueios_judiciais!G:G,"&lt;0")</f>
        <v/>
      </c>
      <c r="N367" s="10">
        <f>SUMIFS(df_extratos!I:I,df_extratos!F:F,Conciliacao!BE367,df_extratos!G:G,"DEBITO")+SUMIFS(df_extratos!I:I,df_extratos!F:F,Conciliacao!A367,df_extratos!G:G,"DEBITO")+SUMIFS(df_extratos!I:I,df_extratos!F:F,Conciliacao!BF367,df_extratos!G:G,"DEBITO")+SUMIFS(df_extratos!I:I,df_extratos!F:F,Conciliacao!BG367,df_extratos!G:G,"DEBITO")+SUMIFS(df_extratos!I:I,df_extratos!F:F,Conciliacao!BH367,df_extratos!G:G,"DEBITO")</f>
        <v/>
      </c>
      <c r="O367" s="11">
        <f>N367-SUM(J367:M367)</f>
        <v/>
      </c>
      <c r="P367" s="25">
        <f>SUMIFS(df_ajustes_conciliaco!D:D,df_ajustes_conciliaco!C:C,Conciliacao!A367)</f>
        <v/>
      </c>
      <c r="Q367" s="22">
        <f>O367+I367-P367</f>
        <v/>
      </c>
      <c r="BE367" s="20" t="n">
        <v>46023.5</v>
      </c>
      <c r="BF367" s="20" t="n">
        <v>46023.125</v>
      </c>
      <c r="BG367" s="20" t="n">
        <v>46023.5416666088</v>
      </c>
      <c r="BH367" s="20" t="n">
        <v>46023.625</v>
      </c>
    </row>
    <row r="368">
      <c r="A368" s="5">
        <f>A367+1</f>
        <v/>
      </c>
      <c r="B368" s="3">
        <f>-SUMIFS(df_extrato_zig!G:G,df_extrato_zig!E:E,Conciliacao!A368,df_extrato_zig!D:D,"Saque")-SUMIFS(df_extrato_zig!G:G,df_extrato_zig!E:E,Conciliacao!A368,df_extrato_zig!D:D,"Antecipação")</f>
        <v/>
      </c>
      <c r="C368" s="3">
        <f>SUMIFS(df_extrato_zig!E:E,df_extrato_zig!L:L,Conciliacao!A368,df_extrato_zig!F:F,"DINHEIRO")</f>
        <v/>
      </c>
      <c r="D368" s="3">
        <f>SUMIFS(view_parc_agrup!H:H,view_parc_agrup!G:G,Conciliacao!A368)</f>
        <v/>
      </c>
      <c r="E368" s="3">
        <f>SUMIFS(df_eventos!F:F,df_eventos!H:H,Conciliacao!A368)</f>
        <v/>
      </c>
      <c r="F368" s="3">
        <f>SUMIFS(df_mutuos!M:M,df_mutuos!B:B,Conciliacao!A368)</f>
        <v/>
      </c>
      <c r="G368" s="6">
        <f>SUMIFS(df_bloqueios_judiciais!G:G,df_bloqueios_judiciais!D:D,Conciliacao!A368,df_bloqueios_judiciais!G:G,"&gt;0")</f>
        <v/>
      </c>
      <c r="H368" s="7">
        <f>SUMIFS(df_extratos!I:I,df_extratos!F:F,Conciliacao!BE368,df_extratos!G:G,"CREDITO")+SUMIFS(df_extratos!I:I,df_extratos!F:F,Conciliacao!A368,df_extratos!G:G,"CREDITO")+SUMIFS(df_extratos!I:I,df_extratos!F:F,Conciliacao!BF368,df_extratos!G:G,"CREDITO")+SUMIFS(df_extratos!I:I,df_extratos!F:F,Conciliacao!BG368,df_extratos!G:G,"CREDITO")+SUMIFS(df_extratos!I:I,df_extratos!F:F,Conciliacao!BH368,df_extratos!G:G,"CREDITO")</f>
        <v/>
      </c>
      <c r="I368" s="9">
        <f>H368-SUM(B368:G368)</f>
        <v/>
      </c>
      <c r="J368" s="4">
        <f>SUMIFS(df_blueme_sem_parcelamento!E:E,df_blueme_sem_parcelamento!H:H,Conciliacao!A368)*(-1)</f>
        <v/>
      </c>
      <c r="K368" s="4">
        <f>SUMIFS(df_blueme_com_parcelamento!J:J,df_blueme_com_parcelamento!M:M,Conciliacao!A368)*(-1)</f>
        <v/>
      </c>
      <c r="L368" s="4">
        <f>SUMIFS(df_mutuos!N:N,df_mutuos!B:B,Conciliacao!A368)*(-1)</f>
        <v/>
      </c>
      <c r="M368" s="8">
        <f>SUMIFS(df_bloqueios_judiciais!G:G,df_bloqueios_judiciais!D:D,Conciliacao!A368,df_bloqueios_judiciais!G:G,"&lt;0")</f>
        <v/>
      </c>
      <c r="N368" s="10">
        <f>SUMIFS(df_extratos!I:I,df_extratos!F:F,Conciliacao!BE368,df_extratos!G:G,"DEBITO")+SUMIFS(df_extratos!I:I,df_extratos!F:F,Conciliacao!A368,df_extratos!G:G,"DEBITO")+SUMIFS(df_extratos!I:I,df_extratos!F:F,Conciliacao!BF368,df_extratos!G:G,"DEBITO")+SUMIFS(df_extratos!I:I,df_extratos!F:F,Conciliacao!BG368,df_extratos!G:G,"DEBITO")+SUMIFS(df_extratos!I:I,df_extratos!F:F,Conciliacao!BH368,df_extratos!G:G,"DEBITO")</f>
        <v/>
      </c>
      <c r="O368" s="11">
        <f>N368-SUM(J368:M368)</f>
        <v/>
      </c>
      <c r="P368" s="25">
        <f>SUMIFS(df_ajustes_conciliaco!D:D,df_ajustes_conciliaco!C:C,Conciliacao!A368)</f>
        <v/>
      </c>
      <c r="Q368" s="22">
        <f>O368+I368-P368</f>
        <v/>
      </c>
      <c r="BE368" s="20" t="n">
        <v>46024.5</v>
      </c>
      <c r="BF368" s="20" t="n">
        <v>46024.125</v>
      </c>
      <c r="BG368" s="20" t="n">
        <v>46024.5416666088</v>
      </c>
      <c r="BH368" s="20" t="n">
        <v>46024.625</v>
      </c>
    </row>
    <row r="369">
      <c r="A369" s="5">
        <f>A368+1</f>
        <v/>
      </c>
      <c r="B369" s="3">
        <f>-SUMIFS(df_extrato_zig!G:G,df_extrato_zig!E:E,Conciliacao!A369,df_extrato_zig!D:D,"Saque")-SUMIFS(df_extrato_zig!G:G,df_extrato_zig!E:E,Conciliacao!A369,df_extrato_zig!D:D,"Antecipação")</f>
        <v/>
      </c>
      <c r="C369" s="3">
        <f>SUMIFS(df_extrato_zig!E:E,df_extrato_zig!L:L,Conciliacao!A369,df_extrato_zig!F:F,"DINHEIRO")</f>
        <v/>
      </c>
      <c r="D369" s="3">
        <f>SUMIFS(view_parc_agrup!H:H,view_parc_agrup!G:G,Conciliacao!A369)</f>
        <v/>
      </c>
      <c r="E369" s="3">
        <f>SUMIFS(df_eventos!F:F,df_eventos!H:H,Conciliacao!A369)</f>
        <v/>
      </c>
      <c r="F369" s="3">
        <f>SUMIFS(df_mutuos!M:M,df_mutuos!B:B,Conciliacao!A369)</f>
        <v/>
      </c>
      <c r="G369" s="6">
        <f>SUMIFS(df_bloqueios_judiciais!G:G,df_bloqueios_judiciais!D:D,Conciliacao!A369,df_bloqueios_judiciais!G:G,"&gt;0")</f>
        <v/>
      </c>
      <c r="H369" s="7">
        <f>SUMIFS(df_extratos!I:I,df_extratos!F:F,Conciliacao!BE369,df_extratos!G:G,"CREDITO")+SUMIFS(df_extratos!I:I,df_extratos!F:F,Conciliacao!A369,df_extratos!G:G,"CREDITO")+SUMIFS(df_extratos!I:I,df_extratos!F:F,Conciliacao!BF369,df_extratos!G:G,"CREDITO")+SUMIFS(df_extratos!I:I,df_extratos!F:F,Conciliacao!BG369,df_extratos!G:G,"CREDITO")+SUMIFS(df_extratos!I:I,df_extratos!F:F,Conciliacao!BH369,df_extratos!G:G,"CREDITO")</f>
        <v/>
      </c>
      <c r="I369" s="9">
        <f>H369-SUM(B369:G369)</f>
        <v/>
      </c>
      <c r="J369" s="4">
        <f>SUMIFS(df_blueme_sem_parcelamento!E:E,df_blueme_sem_parcelamento!H:H,Conciliacao!A369)*(-1)</f>
        <v/>
      </c>
      <c r="K369" s="4">
        <f>SUMIFS(df_blueme_com_parcelamento!J:J,df_blueme_com_parcelamento!M:M,Conciliacao!A369)*(-1)</f>
        <v/>
      </c>
      <c r="L369" s="4">
        <f>SUMIFS(df_mutuos!N:N,df_mutuos!B:B,Conciliacao!A369)*(-1)</f>
        <v/>
      </c>
      <c r="M369" s="8">
        <f>SUMIFS(df_bloqueios_judiciais!G:G,df_bloqueios_judiciais!D:D,Conciliacao!A369,df_bloqueios_judiciais!G:G,"&lt;0")</f>
        <v/>
      </c>
      <c r="N369" s="10">
        <f>SUMIFS(df_extratos!I:I,df_extratos!F:F,Conciliacao!BE369,df_extratos!G:G,"DEBITO")+SUMIFS(df_extratos!I:I,df_extratos!F:F,Conciliacao!A369,df_extratos!G:G,"DEBITO")+SUMIFS(df_extratos!I:I,df_extratos!F:F,Conciliacao!BF369,df_extratos!G:G,"DEBITO")+SUMIFS(df_extratos!I:I,df_extratos!F:F,Conciliacao!BG369,df_extratos!G:G,"DEBITO")+SUMIFS(df_extratos!I:I,df_extratos!F:F,Conciliacao!BH369,df_extratos!G:G,"DEBITO")</f>
        <v/>
      </c>
      <c r="O369" s="11">
        <f>N369-SUM(J369:M369)</f>
        <v/>
      </c>
      <c r="P369" s="25">
        <f>SUMIFS(df_ajustes_conciliaco!D:D,df_ajustes_conciliaco!C:C,Conciliacao!A369)</f>
        <v/>
      </c>
      <c r="Q369" s="22">
        <f>O369+I369-P369</f>
        <v/>
      </c>
      <c r="BE369" s="20" t="n">
        <v>46025.5</v>
      </c>
      <c r="BF369" s="20" t="n">
        <v>46025.125</v>
      </c>
      <c r="BG369" s="20" t="n">
        <v>46025.5416666088</v>
      </c>
      <c r="BH369" s="20" t="n">
        <v>46025.625</v>
      </c>
    </row>
    <row r="370">
      <c r="A370" s="5">
        <f>A369+1</f>
        <v/>
      </c>
      <c r="B370" s="3">
        <f>-SUMIFS(df_extrato_zig!G:G,df_extrato_zig!E:E,Conciliacao!A370,df_extrato_zig!D:D,"Saque")-SUMIFS(df_extrato_zig!G:G,df_extrato_zig!E:E,Conciliacao!A370,df_extrato_zig!D:D,"Antecipação")</f>
        <v/>
      </c>
      <c r="C370" s="3">
        <f>SUMIFS(df_extrato_zig!E:E,df_extrato_zig!L:L,Conciliacao!A370,df_extrato_zig!F:F,"DINHEIRO")</f>
        <v/>
      </c>
      <c r="D370" s="3">
        <f>SUMIFS(view_parc_agrup!H:H,view_parc_agrup!G:G,Conciliacao!A370)</f>
        <v/>
      </c>
      <c r="E370" s="3">
        <f>SUMIFS(df_eventos!F:F,df_eventos!H:H,Conciliacao!A370)</f>
        <v/>
      </c>
      <c r="F370" s="3">
        <f>SUMIFS(df_mutuos!M:M,df_mutuos!B:B,Conciliacao!A370)</f>
        <v/>
      </c>
      <c r="G370" s="6">
        <f>SUMIFS(df_bloqueios_judiciais!G:G,df_bloqueios_judiciais!D:D,Conciliacao!A370,df_bloqueios_judiciais!G:G,"&gt;0")</f>
        <v/>
      </c>
      <c r="H370" s="7">
        <f>SUMIFS(df_extratos!I:I,df_extratos!F:F,Conciliacao!BE370,df_extratos!G:G,"CREDITO")+SUMIFS(df_extratos!I:I,df_extratos!F:F,Conciliacao!A370,df_extratos!G:G,"CREDITO")+SUMIFS(df_extratos!I:I,df_extratos!F:F,Conciliacao!BF370,df_extratos!G:G,"CREDITO")+SUMIFS(df_extratos!I:I,df_extratos!F:F,Conciliacao!BG370,df_extratos!G:G,"CREDITO")+SUMIFS(df_extratos!I:I,df_extratos!F:F,Conciliacao!BH370,df_extratos!G:G,"CREDITO")</f>
        <v/>
      </c>
      <c r="I370" s="9">
        <f>H370-SUM(B370:G370)</f>
        <v/>
      </c>
      <c r="J370" s="4">
        <f>SUMIFS(df_blueme_sem_parcelamento!E:E,df_blueme_sem_parcelamento!H:H,Conciliacao!A370)*(-1)</f>
        <v/>
      </c>
      <c r="K370" s="4">
        <f>SUMIFS(df_blueme_com_parcelamento!J:J,df_blueme_com_parcelamento!M:M,Conciliacao!A370)*(-1)</f>
        <v/>
      </c>
      <c r="L370" s="4">
        <f>SUMIFS(df_mutuos!N:N,df_mutuos!B:B,Conciliacao!A370)*(-1)</f>
        <v/>
      </c>
      <c r="M370" s="8">
        <f>SUMIFS(df_bloqueios_judiciais!G:G,df_bloqueios_judiciais!D:D,Conciliacao!A370,df_bloqueios_judiciais!G:G,"&lt;0")</f>
        <v/>
      </c>
      <c r="N370" s="10">
        <f>SUMIFS(df_extratos!I:I,df_extratos!F:F,Conciliacao!BE370,df_extratos!G:G,"DEBITO")+SUMIFS(df_extratos!I:I,df_extratos!F:F,Conciliacao!A370,df_extratos!G:G,"DEBITO")+SUMIFS(df_extratos!I:I,df_extratos!F:F,Conciliacao!BF370,df_extratos!G:G,"DEBITO")+SUMIFS(df_extratos!I:I,df_extratos!F:F,Conciliacao!BG370,df_extratos!G:G,"DEBITO")+SUMIFS(df_extratos!I:I,df_extratos!F:F,Conciliacao!BH370,df_extratos!G:G,"DEBITO")</f>
        <v/>
      </c>
      <c r="O370" s="11">
        <f>N370-SUM(J370:M370)</f>
        <v/>
      </c>
      <c r="P370" s="25">
        <f>SUMIFS(df_ajustes_conciliaco!D:D,df_ajustes_conciliaco!C:C,Conciliacao!A370)</f>
        <v/>
      </c>
      <c r="Q370" s="22">
        <f>O370+I370-P370</f>
        <v/>
      </c>
      <c r="BE370" s="20" t="n">
        <v>46026.5</v>
      </c>
      <c r="BF370" s="20" t="n">
        <v>46026.125</v>
      </c>
      <c r="BG370" s="20" t="n">
        <v>46026.5416666088</v>
      </c>
      <c r="BH370" s="20" t="n">
        <v>46026.625</v>
      </c>
    </row>
    <row r="371">
      <c r="A371" s="5">
        <f>A370+1</f>
        <v/>
      </c>
      <c r="B371" s="3">
        <f>-SUMIFS(df_extrato_zig!G:G,df_extrato_zig!E:E,Conciliacao!A371,df_extrato_zig!D:D,"Saque")-SUMIFS(df_extrato_zig!G:G,df_extrato_zig!E:E,Conciliacao!A371,df_extrato_zig!D:D,"Antecipação")</f>
        <v/>
      </c>
      <c r="C371" s="3">
        <f>SUMIFS(df_extrato_zig!E:E,df_extrato_zig!L:L,Conciliacao!A371,df_extrato_zig!F:F,"DINHEIRO")</f>
        <v/>
      </c>
      <c r="D371" s="3">
        <f>SUMIFS(view_parc_agrup!H:H,view_parc_agrup!G:G,Conciliacao!A371)</f>
        <v/>
      </c>
      <c r="E371" s="3">
        <f>SUMIFS(df_eventos!F:F,df_eventos!H:H,Conciliacao!A371)</f>
        <v/>
      </c>
      <c r="F371" s="3">
        <f>SUMIFS(df_mutuos!M:M,df_mutuos!B:B,Conciliacao!A371)</f>
        <v/>
      </c>
      <c r="G371" s="6">
        <f>SUMIFS(df_bloqueios_judiciais!G:G,df_bloqueios_judiciais!D:D,Conciliacao!A371,df_bloqueios_judiciais!G:G,"&gt;0")</f>
        <v/>
      </c>
      <c r="H371" s="7">
        <f>SUMIFS(df_extratos!I:I,df_extratos!F:F,Conciliacao!BE371,df_extratos!G:G,"CREDITO")+SUMIFS(df_extratos!I:I,df_extratos!F:F,Conciliacao!A371,df_extratos!G:G,"CREDITO")+SUMIFS(df_extratos!I:I,df_extratos!F:F,Conciliacao!BF371,df_extratos!G:G,"CREDITO")+SUMIFS(df_extratos!I:I,df_extratos!F:F,Conciliacao!BG371,df_extratos!G:G,"CREDITO")+SUMIFS(df_extratos!I:I,df_extratos!F:F,Conciliacao!BH371,df_extratos!G:G,"CREDITO")</f>
        <v/>
      </c>
      <c r="I371" s="9">
        <f>H371-SUM(B371:G371)</f>
        <v/>
      </c>
      <c r="J371" s="4">
        <f>SUMIFS(df_blueme_sem_parcelamento!E:E,df_blueme_sem_parcelamento!H:H,Conciliacao!A371)*(-1)</f>
        <v/>
      </c>
      <c r="K371" s="4">
        <f>SUMIFS(df_blueme_com_parcelamento!J:J,df_blueme_com_parcelamento!M:M,Conciliacao!A371)*(-1)</f>
        <v/>
      </c>
      <c r="L371" s="4">
        <f>SUMIFS(df_mutuos!N:N,df_mutuos!B:B,Conciliacao!A371)*(-1)</f>
        <v/>
      </c>
      <c r="M371" s="8">
        <f>SUMIFS(df_bloqueios_judiciais!G:G,df_bloqueios_judiciais!D:D,Conciliacao!A371,df_bloqueios_judiciais!G:G,"&lt;0")</f>
        <v/>
      </c>
      <c r="N371" s="10">
        <f>SUMIFS(df_extratos!I:I,df_extratos!F:F,Conciliacao!BE371,df_extratos!G:G,"DEBITO")+SUMIFS(df_extratos!I:I,df_extratos!F:F,Conciliacao!A371,df_extratos!G:G,"DEBITO")+SUMIFS(df_extratos!I:I,df_extratos!F:F,Conciliacao!BF371,df_extratos!G:G,"DEBITO")+SUMIFS(df_extratos!I:I,df_extratos!F:F,Conciliacao!BG371,df_extratos!G:G,"DEBITO")+SUMIFS(df_extratos!I:I,df_extratos!F:F,Conciliacao!BH371,df_extratos!G:G,"DEBITO")</f>
        <v/>
      </c>
      <c r="O371" s="11">
        <f>N371-SUM(J371:M371)</f>
        <v/>
      </c>
      <c r="P371" s="25">
        <f>SUMIFS(df_ajustes_conciliaco!D:D,df_ajustes_conciliaco!C:C,Conciliacao!A371)</f>
        <v/>
      </c>
      <c r="Q371" s="22">
        <f>O371+I371-P371</f>
        <v/>
      </c>
      <c r="BE371" s="20" t="n">
        <v>46027.5</v>
      </c>
      <c r="BF371" s="20" t="n">
        <v>46027.125</v>
      </c>
      <c r="BG371" s="20" t="n">
        <v>46027.5416666088</v>
      </c>
      <c r="BH371" s="20" t="n">
        <v>46027.625</v>
      </c>
    </row>
    <row r="372">
      <c r="A372" s="5">
        <f>A371+1</f>
        <v/>
      </c>
      <c r="B372" s="3">
        <f>-SUMIFS(df_extrato_zig!G:G,df_extrato_zig!E:E,Conciliacao!A372,df_extrato_zig!D:D,"Saque")-SUMIFS(df_extrato_zig!G:G,df_extrato_zig!E:E,Conciliacao!A372,df_extrato_zig!D:D,"Antecipação")</f>
        <v/>
      </c>
      <c r="C372" s="3">
        <f>SUMIFS(df_extrato_zig!E:E,df_extrato_zig!L:L,Conciliacao!A372,df_extrato_zig!F:F,"DINHEIRO")</f>
        <v/>
      </c>
      <c r="D372" s="3">
        <f>SUMIFS(view_parc_agrup!H:H,view_parc_agrup!G:G,Conciliacao!A372)</f>
        <v/>
      </c>
      <c r="E372" s="3">
        <f>SUMIFS(df_eventos!F:F,df_eventos!H:H,Conciliacao!A372)</f>
        <v/>
      </c>
      <c r="F372" s="3">
        <f>SUMIFS(df_mutuos!M:M,df_mutuos!B:B,Conciliacao!A372)</f>
        <v/>
      </c>
      <c r="G372" s="6">
        <f>SUMIFS(df_bloqueios_judiciais!G:G,df_bloqueios_judiciais!D:D,Conciliacao!A372,df_bloqueios_judiciais!G:G,"&gt;0")</f>
        <v/>
      </c>
      <c r="H372" s="7">
        <f>SUMIFS(df_extratos!I:I,df_extratos!F:F,Conciliacao!BE372,df_extratos!G:G,"CREDITO")+SUMIFS(df_extratos!I:I,df_extratos!F:F,Conciliacao!A372,df_extratos!G:G,"CREDITO")+SUMIFS(df_extratos!I:I,df_extratos!F:F,Conciliacao!BF372,df_extratos!G:G,"CREDITO")+SUMIFS(df_extratos!I:I,df_extratos!F:F,Conciliacao!BG372,df_extratos!G:G,"CREDITO")+SUMIFS(df_extratos!I:I,df_extratos!F:F,Conciliacao!BH372,df_extratos!G:G,"CREDITO")</f>
        <v/>
      </c>
      <c r="I372" s="9">
        <f>H372-SUM(B372:G372)</f>
        <v/>
      </c>
      <c r="J372" s="4">
        <f>SUMIFS(df_blueme_sem_parcelamento!E:E,df_blueme_sem_parcelamento!H:H,Conciliacao!A372)*(-1)</f>
        <v/>
      </c>
      <c r="K372" s="4">
        <f>SUMIFS(df_blueme_com_parcelamento!J:J,df_blueme_com_parcelamento!M:M,Conciliacao!A372)*(-1)</f>
        <v/>
      </c>
      <c r="L372" s="4">
        <f>SUMIFS(df_mutuos!N:N,df_mutuos!B:B,Conciliacao!A372)*(-1)</f>
        <v/>
      </c>
      <c r="M372" s="8">
        <f>SUMIFS(df_bloqueios_judiciais!G:G,df_bloqueios_judiciais!D:D,Conciliacao!A372,df_bloqueios_judiciais!G:G,"&lt;0")</f>
        <v/>
      </c>
      <c r="N372" s="10">
        <f>SUMIFS(df_extratos!I:I,df_extratos!F:F,Conciliacao!BE372,df_extratos!G:G,"DEBITO")+SUMIFS(df_extratos!I:I,df_extratos!F:F,Conciliacao!A372,df_extratos!G:G,"DEBITO")+SUMIFS(df_extratos!I:I,df_extratos!F:F,Conciliacao!BF372,df_extratos!G:G,"DEBITO")+SUMIFS(df_extratos!I:I,df_extratos!F:F,Conciliacao!BG372,df_extratos!G:G,"DEBITO")+SUMIFS(df_extratos!I:I,df_extratos!F:F,Conciliacao!BH372,df_extratos!G:G,"DEBITO")</f>
        <v/>
      </c>
      <c r="O372" s="11">
        <f>N372-SUM(J372:M372)</f>
        <v/>
      </c>
      <c r="P372" s="25">
        <f>SUMIFS(df_ajustes_conciliaco!D:D,df_ajustes_conciliaco!C:C,Conciliacao!A372)</f>
        <v/>
      </c>
      <c r="Q372" s="22">
        <f>O372+I372-P372</f>
        <v/>
      </c>
      <c r="BE372" s="20" t="n">
        <v>46028.5</v>
      </c>
      <c r="BF372" s="20" t="n">
        <v>46028.125</v>
      </c>
      <c r="BG372" s="20" t="n">
        <v>46028.5416666088</v>
      </c>
      <c r="BH372" s="20" t="n">
        <v>46028.625</v>
      </c>
    </row>
    <row r="373">
      <c r="A373" s="5">
        <f>A372+1</f>
        <v/>
      </c>
      <c r="B373" s="3">
        <f>-SUMIFS(df_extrato_zig!G:G,df_extrato_zig!E:E,Conciliacao!A373,df_extrato_zig!D:D,"Saque")-SUMIFS(df_extrato_zig!G:G,df_extrato_zig!E:E,Conciliacao!A373,df_extrato_zig!D:D,"Antecipação")</f>
        <v/>
      </c>
      <c r="C373" s="3">
        <f>SUMIFS(df_extrato_zig!E:E,df_extrato_zig!L:L,Conciliacao!A373,df_extrato_zig!F:F,"DINHEIRO")</f>
        <v/>
      </c>
      <c r="D373" s="3">
        <f>SUMIFS(view_parc_agrup!H:H,view_parc_agrup!G:G,Conciliacao!A373)</f>
        <v/>
      </c>
      <c r="E373" s="3">
        <f>SUMIFS(df_eventos!F:F,df_eventos!H:H,Conciliacao!A373)</f>
        <v/>
      </c>
      <c r="F373" s="3">
        <f>SUMIFS(df_mutuos!M:M,df_mutuos!B:B,Conciliacao!A373)</f>
        <v/>
      </c>
      <c r="G373" s="6">
        <f>SUMIFS(df_bloqueios_judiciais!G:G,df_bloqueios_judiciais!D:D,Conciliacao!A373,df_bloqueios_judiciais!G:G,"&gt;0")</f>
        <v/>
      </c>
      <c r="H373" s="7">
        <f>SUMIFS(df_extratos!I:I,df_extratos!F:F,Conciliacao!BE373,df_extratos!G:G,"CREDITO")+SUMIFS(df_extratos!I:I,df_extratos!F:F,Conciliacao!A373,df_extratos!G:G,"CREDITO")+SUMIFS(df_extratos!I:I,df_extratos!F:F,Conciliacao!BF373,df_extratos!G:G,"CREDITO")+SUMIFS(df_extratos!I:I,df_extratos!F:F,Conciliacao!BG373,df_extratos!G:G,"CREDITO")+SUMIFS(df_extratos!I:I,df_extratos!F:F,Conciliacao!BH373,df_extratos!G:G,"CREDITO")</f>
        <v/>
      </c>
      <c r="I373" s="9">
        <f>H373-SUM(B373:G373)</f>
        <v/>
      </c>
      <c r="J373" s="4">
        <f>SUMIFS(df_blueme_sem_parcelamento!E:E,df_blueme_sem_parcelamento!H:H,Conciliacao!A373)*(-1)</f>
        <v/>
      </c>
      <c r="K373" s="4">
        <f>SUMIFS(df_blueme_com_parcelamento!J:J,df_blueme_com_parcelamento!M:M,Conciliacao!A373)*(-1)</f>
        <v/>
      </c>
      <c r="L373" s="4">
        <f>SUMIFS(df_mutuos!N:N,df_mutuos!B:B,Conciliacao!A373)*(-1)</f>
        <v/>
      </c>
      <c r="M373" s="8">
        <f>SUMIFS(df_bloqueios_judiciais!G:G,df_bloqueios_judiciais!D:D,Conciliacao!A373,df_bloqueios_judiciais!G:G,"&lt;0")</f>
        <v/>
      </c>
      <c r="N373" s="10">
        <f>SUMIFS(df_extratos!I:I,df_extratos!F:F,Conciliacao!BE373,df_extratos!G:G,"DEBITO")+SUMIFS(df_extratos!I:I,df_extratos!F:F,Conciliacao!A373,df_extratos!G:G,"DEBITO")+SUMIFS(df_extratos!I:I,df_extratos!F:F,Conciliacao!BF373,df_extratos!G:G,"DEBITO")+SUMIFS(df_extratos!I:I,df_extratos!F:F,Conciliacao!BG373,df_extratos!G:G,"DEBITO")+SUMIFS(df_extratos!I:I,df_extratos!F:F,Conciliacao!BH373,df_extratos!G:G,"DEBITO")</f>
        <v/>
      </c>
      <c r="O373" s="11">
        <f>N373-SUM(J373:M373)</f>
        <v/>
      </c>
      <c r="P373" s="25">
        <f>SUMIFS(df_ajustes_conciliaco!D:D,df_ajustes_conciliaco!C:C,Conciliacao!A373)</f>
        <v/>
      </c>
      <c r="Q373" s="22">
        <f>O373+I373-P373</f>
        <v/>
      </c>
      <c r="BE373" s="20" t="n">
        <v>46029.5</v>
      </c>
      <c r="BF373" s="20" t="n">
        <v>46029.125</v>
      </c>
      <c r="BG373" s="20" t="n">
        <v>46029.5416666088</v>
      </c>
      <c r="BH373" s="20" t="n">
        <v>46029.625</v>
      </c>
    </row>
    <row r="374">
      <c r="A374" s="5">
        <f>A373+1</f>
        <v/>
      </c>
      <c r="B374" s="3">
        <f>-SUMIFS(df_extrato_zig!G:G,df_extrato_zig!E:E,Conciliacao!A374,df_extrato_zig!D:D,"Saque")-SUMIFS(df_extrato_zig!G:G,df_extrato_zig!E:E,Conciliacao!A374,df_extrato_zig!D:D,"Antecipação")</f>
        <v/>
      </c>
      <c r="C374" s="3">
        <f>SUMIFS(df_extrato_zig!E:E,df_extrato_zig!L:L,Conciliacao!A374,df_extrato_zig!F:F,"DINHEIRO")</f>
        <v/>
      </c>
      <c r="D374" s="3">
        <f>SUMIFS(view_parc_agrup!H:H,view_parc_agrup!G:G,Conciliacao!A374)</f>
        <v/>
      </c>
      <c r="E374" s="3">
        <f>SUMIFS(df_eventos!F:F,df_eventos!H:H,Conciliacao!A374)</f>
        <v/>
      </c>
      <c r="F374" s="3">
        <f>SUMIFS(df_mutuos!M:M,df_mutuos!B:B,Conciliacao!A374)</f>
        <v/>
      </c>
      <c r="G374" s="6">
        <f>SUMIFS(df_bloqueios_judiciais!G:G,df_bloqueios_judiciais!D:D,Conciliacao!A374,df_bloqueios_judiciais!G:G,"&gt;0")</f>
        <v/>
      </c>
      <c r="H374" s="7">
        <f>SUMIFS(df_extratos!I:I,df_extratos!F:F,Conciliacao!BE374,df_extratos!G:G,"CREDITO")+SUMIFS(df_extratos!I:I,df_extratos!F:F,Conciliacao!A374,df_extratos!G:G,"CREDITO")+SUMIFS(df_extratos!I:I,df_extratos!F:F,Conciliacao!BF374,df_extratos!G:G,"CREDITO")+SUMIFS(df_extratos!I:I,df_extratos!F:F,Conciliacao!BG374,df_extratos!G:G,"CREDITO")+SUMIFS(df_extratos!I:I,df_extratos!F:F,Conciliacao!BH374,df_extratos!G:G,"CREDITO")</f>
        <v/>
      </c>
      <c r="I374" s="9">
        <f>H374-SUM(B374:G374)</f>
        <v/>
      </c>
      <c r="J374" s="4">
        <f>SUMIFS(df_blueme_sem_parcelamento!E:E,df_blueme_sem_parcelamento!H:H,Conciliacao!A374)*(-1)</f>
        <v/>
      </c>
      <c r="K374" s="4">
        <f>SUMIFS(df_blueme_com_parcelamento!J:J,df_blueme_com_parcelamento!M:M,Conciliacao!A374)*(-1)</f>
        <v/>
      </c>
      <c r="L374" s="4">
        <f>SUMIFS(df_mutuos!N:N,df_mutuos!B:B,Conciliacao!A374)*(-1)</f>
        <v/>
      </c>
      <c r="M374" s="8">
        <f>SUMIFS(df_bloqueios_judiciais!G:G,df_bloqueios_judiciais!D:D,Conciliacao!A374,df_bloqueios_judiciais!G:G,"&lt;0")</f>
        <v/>
      </c>
      <c r="N374" s="10">
        <f>SUMIFS(df_extratos!I:I,df_extratos!F:F,Conciliacao!BE374,df_extratos!G:G,"DEBITO")+SUMIFS(df_extratos!I:I,df_extratos!F:F,Conciliacao!A374,df_extratos!G:G,"DEBITO")+SUMIFS(df_extratos!I:I,df_extratos!F:F,Conciliacao!BF374,df_extratos!G:G,"DEBITO")+SUMIFS(df_extratos!I:I,df_extratos!F:F,Conciliacao!BG374,df_extratos!G:G,"DEBITO")+SUMIFS(df_extratos!I:I,df_extratos!F:F,Conciliacao!BH374,df_extratos!G:G,"DEBITO")</f>
        <v/>
      </c>
      <c r="O374" s="11">
        <f>N374-SUM(J374:M374)</f>
        <v/>
      </c>
      <c r="P374" s="25">
        <f>SUMIFS(df_ajustes_conciliaco!D:D,df_ajustes_conciliaco!C:C,Conciliacao!A374)</f>
        <v/>
      </c>
      <c r="Q374" s="22">
        <f>O374+I374-P374</f>
        <v/>
      </c>
      <c r="BE374" s="20" t="n">
        <v>46030.5</v>
      </c>
      <c r="BF374" s="20" t="n">
        <v>46030.125</v>
      </c>
      <c r="BG374" s="20" t="n">
        <v>46030.5416666088</v>
      </c>
      <c r="BH374" s="20" t="n">
        <v>46030.625</v>
      </c>
    </row>
    <row r="375">
      <c r="A375" s="5">
        <f>A374+1</f>
        <v/>
      </c>
      <c r="B375" s="3">
        <f>-SUMIFS(df_extrato_zig!G:G,df_extrato_zig!E:E,Conciliacao!A375,df_extrato_zig!D:D,"Saque")-SUMIFS(df_extrato_zig!G:G,df_extrato_zig!E:E,Conciliacao!A375,df_extrato_zig!D:D,"Antecipação")</f>
        <v/>
      </c>
      <c r="C375" s="3">
        <f>SUMIFS(df_extrato_zig!E:E,df_extrato_zig!L:L,Conciliacao!A375,df_extrato_zig!F:F,"DINHEIRO")</f>
        <v/>
      </c>
      <c r="D375" s="3">
        <f>SUMIFS(view_parc_agrup!H:H,view_parc_agrup!G:G,Conciliacao!A375)</f>
        <v/>
      </c>
      <c r="E375" s="3">
        <f>SUMIFS(df_eventos!F:F,df_eventos!H:H,Conciliacao!A375)</f>
        <v/>
      </c>
      <c r="F375" s="3">
        <f>SUMIFS(df_mutuos!M:M,df_mutuos!B:B,Conciliacao!A375)</f>
        <v/>
      </c>
      <c r="G375" s="6">
        <f>SUMIFS(df_bloqueios_judiciais!G:G,df_bloqueios_judiciais!D:D,Conciliacao!A375,df_bloqueios_judiciais!G:G,"&gt;0")</f>
        <v/>
      </c>
      <c r="H375" s="7">
        <f>SUMIFS(df_extratos!I:I,df_extratos!F:F,Conciliacao!BE375,df_extratos!G:G,"CREDITO")+SUMIFS(df_extratos!I:I,df_extratos!F:F,Conciliacao!A375,df_extratos!G:G,"CREDITO")+SUMIFS(df_extratos!I:I,df_extratos!F:F,Conciliacao!BF375,df_extratos!G:G,"CREDITO")+SUMIFS(df_extratos!I:I,df_extratos!F:F,Conciliacao!BG375,df_extratos!G:G,"CREDITO")+SUMIFS(df_extratos!I:I,df_extratos!F:F,Conciliacao!BH375,df_extratos!G:G,"CREDITO")</f>
        <v/>
      </c>
      <c r="I375" s="9">
        <f>H375-SUM(B375:G375)</f>
        <v/>
      </c>
      <c r="J375" s="4">
        <f>SUMIFS(df_blueme_sem_parcelamento!E:E,df_blueme_sem_parcelamento!H:H,Conciliacao!A375)*(-1)</f>
        <v/>
      </c>
      <c r="K375" s="4">
        <f>SUMIFS(df_blueme_com_parcelamento!J:J,df_blueme_com_parcelamento!M:M,Conciliacao!A375)*(-1)</f>
        <v/>
      </c>
      <c r="L375" s="4">
        <f>SUMIFS(df_mutuos!N:N,df_mutuos!B:B,Conciliacao!A375)*(-1)</f>
        <v/>
      </c>
      <c r="M375" s="8">
        <f>SUMIFS(df_bloqueios_judiciais!G:G,df_bloqueios_judiciais!D:D,Conciliacao!A375,df_bloqueios_judiciais!G:G,"&lt;0")</f>
        <v/>
      </c>
      <c r="N375" s="10">
        <f>SUMIFS(df_extratos!I:I,df_extratos!F:F,Conciliacao!BE375,df_extratos!G:G,"DEBITO")+SUMIFS(df_extratos!I:I,df_extratos!F:F,Conciliacao!A375,df_extratos!G:G,"DEBITO")+SUMIFS(df_extratos!I:I,df_extratos!F:F,Conciliacao!BF375,df_extratos!G:G,"DEBITO")+SUMIFS(df_extratos!I:I,df_extratos!F:F,Conciliacao!BG375,df_extratos!G:G,"DEBITO")+SUMIFS(df_extratos!I:I,df_extratos!F:F,Conciliacao!BH375,df_extratos!G:G,"DEBITO")</f>
        <v/>
      </c>
      <c r="O375" s="11">
        <f>N375-SUM(J375:M375)</f>
        <v/>
      </c>
      <c r="P375" s="25">
        <f>SUMIFS(df_ajustes_conciliaco!D:D,df_ajustes_conciliaco!C:C,Conciliacao!A375)</f>
        <v/>
      </c>
      <c r="Q375" s="22">
        <f>O375+I375-P375</f>
        <v/>
      </c>
      <c r="BE375" s="20" t="n">
        <v>46031.5</v>
      </c>
      <c r="BF375" s="20" t="n">
        <v>46031.125</v>
      </c>
      <c r="BG375" s="20" t="n">
        <v>46031.5416666088</v>
      </c>
      <c r="BH375" s="20" t="n">
        <v>46031.625</v>
      </c>
    </row>
    <row r="376">
      <c r="A376" s="5">
        <f>A375+1</f>
        <v/>
      </c>
      <c r="B376" s="3">
        <f>-SUMIFS(df_extrato_zig!G:G,df_extrato_zig!E:E,Conciliacao!A376,df_extrato_zig!D:D,"Saque")-SUMIFS(df_extrato_zig!G:G,df_extrato_zig!E:E,Conciliacao!A376,df_extrato_zig!D:D,"Antecipação")</f>
        <v/>
      </c>
      <c r="C376" s="3">
        <f>SUMIFS(df_extrato_zig!E:E,df_extrato_zig!L:L,Conciliacao!A376,df_extrato_zig!F:F,"DINHEIRO")</f>
        <v/>
      </c>
      <c r="D376" s="3">
        <f>SUMIFS(view_parc_agrup!H:H,view_parc_agrup!G:G,Conciliacao!A376)</f>
        <v/>
      </c>
      <c r="E376" s="3">
        <f>SUMIFS(df_eventos!F:F,df_eventos!H:H,Conciliacao!A376)</f>
        <v/>
      </c>
      <c r="F376" s="3">
        <f>SUMIFS(df_mutuos!M:M,df_mutuos!B:B,Conciliacao!A376)</f>
        <v/>
      </c>
      <c r="G376" s="6">
        <f>SUMIFS(df_bloqueios_judiciais!G:G,df_bloqueios_judiciais!D:D,Conciliacao!A376,df_bloqueios_judiciais!G:G,"&gt;0")</f>
        <v/>
      </c>
      <c r="H376" s="7">
        <f>SUMIFS(df_extratos!I:I,df_extratos!F:F,Conciliacao!BE376,df_extratos!G:G,"CREDITO")+SUMIFS(df_extratos!I:I,df_extratos!F:F,Conciliacao!A376,df_extratos!G:G,"CREDITO")+SUMIFS(df_extratos!I:I,df_extratos!F:F,Conciliacao!BF376,df_extratos!G:G,"CREDITO")+SUMIFS(df_extratos!I:I,df_extratos!F:F,Conciliacao!BG376,df_extratos!G:G,"CREDITO")+SUMIFS(df_extratos!I:I,df_extratos!F:F,Conciliacao!BH376,df_extratos!G:G,"CREDITO")</f>
        <v/>
      </c>
      <c r="I376" s="9">
        <f>H376-SUM(B376:G376)</f>
        <v/>
      </c>
      <c r="J376" s="4">
        <f>SUMIFS(df_blueme_sem_parcelamento!E:E,df_blueme_sem_parcelamento!H:H,Conciliacao!A376)*(-1)</f>
        <v/>
      </c>
      <c r="K376" s="4">
        <f>SUMIFS(df_blueme_com_parcelamento!J:J,df_blueme_com_parcelamento!M:M,Conciliacao!A376)*(-1)</f>
        <v/>
      </c>
      <c r="L376" s="4">
        <f>SUMIFS(df_mutuos!N:N,df_mutuos!B:B,Conciliacao!A376)*(-1)</f>
        <v/>
      </c>
      <c r="M376" s="8">
        <f>SUMIFS(df_bloqueios_judiciais!G:G,df_bloqueios_judiciais!D:D,Conciliacao!A376,df_bloqueios_judiciais!G:G,"&lt;0")</f>
        <v/>
      </c>
      <c r="N376" s="10">
        <f>SUMIFS(df_extratos!I:I,df_extratos!F:F,Conciliacao!BE376,df_extratos!G:G,"DEBITO")+SUMIFS(df_extratos!I:I,df_extratos!F:F,Conciliacao!A376,df_extratos!G:G,"DEBITO")+SUMIFS(df_extratos!I:I,df_extratos!F:F,Conciliacao!BF376,df_extratos!G:G,"DEBITO")+SUMIFS(df_extratos!I:I,df_extratos!F:F,Conciliacao!BG376,df_extratos!G:G,"DEBITO")+SUMIFS(df_extratos!I:I,df_extratos!F:F,Conciliacao!BH376,df_extratos!G:G,"DEBITO")</f>
        <v/>
      </c>
      <c r="O376" s="11">
        <f>N376-SUM(J376:M376)</f>
        <v/>
      </c>
      <c r="P376" s="25">
        <f>SUMIFS(df_ajustes_conciliaco!D:D,df_ajustes_conciliaco!C:C,Conciliacao!A376)</f>
        <v/>
      </c>
      <c r="Q376" s="22">
        <f>O376+I376-P376</f>
        <v/>
      </c>
      <c r="BE376" s="20" t="n">
        <v>46032.5</v>
      </c>
      <c r="BF376" s="20" t="n">
        <v>46032.125</v>
      </c>
      <c r="BG376" s="20" t="n">
        <v>46032.5416666088</v>
      </c>
      <c r="BH376" s="20" t="n">
        <v>46032.625</v>
      </c>
    </row>
    <row r="377">
      <c r="A377" s="5">
        <f>A376+1</f>
        <v/>
      </c>
      <c r="B377" s="3">
        <f>-SUMIFS(df_extrato_zig!G:G,df_extrato_zig!E:E,Conciliacao!A377,df_extrato_zig!D:D,"Saque")-SUMIFS(df_extrato_zig!G:G,df_extrato_zig!E:E,Conciliacao!A377,df_extrato_zig!D:D,"Antecipação")</f>
        <v/>
      </c>
      <c r="C377" s="3">
        <f>SUMIFS(df_extrato_zig!E:E,df_extrato_zig!L:L,Conciliacao!A377,df_extrato_zig!F:F,"DINHEIRO")</f>
        <v/>
      </c>
      <c r="D377" s="3">
        <f>SUMIFS(view_parc_agrup!H:H,view_parc_agrup!G:G,Conciliacao!A377)</f>
        <v/>
      </c>
      <c r="E377" s="3">
        <f>SUMIFS(df_eventos!F:F,df_eventos!H:H,Conciliacao!A377)</f>
        <v/>
      </c>
      <c r="F377" s="3">
        <f>SUMIFS(df_mutuos!M:M,df_mutuos!B:B,Conciliacao!A377)</f>
        <v/>
      </c>
      <c r="G377" s="6">
        <f>SUMIFS(df_bloqueios_judiciais!G:G,df_bloqueios_judiciais!D:D,Conciliacao!A377,df_bloqueios_judiciais!G:G,"&gt;0")</f>
        <v/>
      </c>
      <c r="H377" s="7">
        <f>SUMIFS(df_extratos!I:I,df_extratos!F:F,Conciliacao!BE377,df_extratos!G:G,"CREDITO")+SUMIFS(df_extratos!I:I,df_extratos!F:F,Conciliacao!A377,df_extratos!G:G,"CREDITO")+SUMIFS(df_extratos!I:I,df_extratos!F:F,Conciliacao!BF377,df_extratos!G:G,"CREDITO")+SUMIFS(df_extratos!I:I,df_extratos!F:F,Conciliacao!BG377,df_extratos!G:G,"CREDITO")+SUMIFS(df_extratos!I:I,df_extratos!F:F,Conciliacao!BH377,df_extratos!G:G,"CREDITO")</f>
        <v/>
      </c>
      <c r="I377" s="9">
        <f>H377-SUM(B377:G377)</f>
        <v/>
      </c>
      <c r="J377" s="4">
        <f>SUMIFS(df_blueme_sem_parcelamento!E:E,df_blueme_sem_parcelamento!H:H,Conciliacao!A377)*(-1)</f>
        <v/>
      </c>
      <c r="K377" s="4">
        <f>SUMIFS(df_blueme_com_parcelamento!J:J,df_blueme_com_parcelamento!M:M,Conciliacao!A377)*(-1)</f>
        <v/>
      </c>
      <c r="L377" s="4">
        <f>SUMIFS(df_mutuos!N:N,df_mutuos!B:B,Conciliacao!A377)*(-1)</f>
        <v/>
      </c>
      <c r="M377" s="8">
        <f>SUMIFS(df_bloqueios_judiciais!G:G,df_bloqueios_judiciais!D:D,Conciliacao!A377,df_bloqueios_judiciais!G:G,"&lt;0")</f>
        <v/>
      </c>
      <c r="N377" s="10">
        <f>SUMIFS(df_extratos!I:I,df_extratos!F:F,Conciliacao!BE377,df_extratos!G:G,"DEBITO")+SUMIFS(df_extratos!I:I,df_extratos!F:F,Conciliacao!A377,df_extratos!G:G,"DEBITO")+SUMIFS(df_extratos!I:I,df_extratos!F:F,Conciliacao!BF377,df_extratos!G:G,"DEBITO")+SUMIFS(df_extratos!I:I,df_extratos!F:F,Conciliacao!BG377,df_extratos!G:G,"DEBITO")+SUMIFS(df_extratos!I:I,df_extratos!F:F,Conciliacao!BH377,df_extratos!G:G,"DEBITO")</f>
        <v/>
      </c>
      <c r="O377" s="11">
        <f>N377-SUM(J377:M377)</f>
        <v/>
      </c>
      <c r="P377" s="25">
        <f>SUMIFS(df_ajustes_conciliaco!D:D,df_ajustes_conciliaco!C:C,Conciliacao!A377)</f>
        <v/>
      </c>
      <c r="Q377" s="22">
        <f>O377+I377-P377</f>
        <v/>
      </c>
      <c r="BE377" s="20" t="n">
        <v>46033.5</v>
      </c>
      <c r="BF377" s="20" t="n">
        <v>46033.125</v>
      </c>
      <c r="BG377" s="20" t="n">
        <v>46033.5416666088</v>
      </c>
      <c r="BH377" s="20" t="n">
        <v>46033.625</v>
      </c>
    </row>
    <row r="378">
      <c r="A378" s="5">
        <f>A377+1</f>
        <v/>
      </c>
      <c r="B378" s="3">
        <f>-SUMIFS(df_extrato_zig!G:G,df_extrato_zig!E:E,Conciliacao!A378,df_extrato_zig!D:D,"Saque")-SUMIFS(df_extrato_zig!G:G,df_extrato_zig!E:E,Conciliacao!A378,df_extrato_zig!D:D,"Antecipação")</f>
        <v/>
      </c>
      <c r="C378" s="3">
        <f>SUMIFS(df_extrato_zig!E:E,df_extrato_zig!L:L,Conciliacao!A378,df_extrato_zig!F:F,"DINHEIRO")</f>
        <v/>
      </c>
      <c r="D378" s="3">
        <f>SUMIFS(view_parc_agrup!H:H,view_parc_agrup!G:G,Conciliacao!A378)</f>
        <v/>
      </c>
      <c r="E378" s="3">
        <f>SUMIFS(df_eventos!F:F,df_eventos!H:H,Conciliacao!A378)</f>
        <v/>
      </c>
      <c r="F378" s="3">
        <f>SUMIFS(df_mutuos!M:M,df_mutuos!B:B,Conciliacao!A378)</f>
        <v/>
      </c>
      <c r="G378" s="6">
        <f>SUMIFS(df_bloqueios_judiciais!G:G,df_bloqueios_judiciais!D:D,Conciliacao!A378,df_bloqueios_judiciais!G:G,"&gt;0")</f>
        <v/>
      </c>
      <c r="H378" s="7">
        <f>SUMIFS(df_extratos!I:I,df_extratos!F:F,Conciliacao!BE378,df_extratos!G:G,"CREDITO")+SUMIFS(df_extratos!I:I,df_extratos!F:F,Conciliacao!A378,df_extratos!G:G,"CREDITO")+SUMIFS(df_extratos!I:I,df_extratos!F:F,Conciliacao!BF378,df_extratos!G:G,"CREDITO")+SUMIFS(df_extratos!I:I,df_extratos!F:F,Conciliacao!BG378,df_extratos!G:G,"CREDITO")+SUMIFS(df_extratos!I:I,df_extratos!F:F,Conciliacao!BH378,df_extratos!G:G,"CREDITO")</f>
        <v/>
      </c>
      <c r="I378" s="9">
        <f>H378-SUM(B378:G378)</f>
        <v/>
      </c>
      <c r="J378" s="4">
        <f>SUMIFS(df_blueme_sem_parcelamento!E:E,df_blueme_sem_parcelamento!H:H,Conciliacao!A378)*(-1)</f>
        <v/>
      </c>
      <c r="K378" s="4">
        <f>SUMIFS(df_blueme_com_parcelamento!J:J,df_blueme_com_parcelamento!M:M,Conciliacao!A378)*(-1)</f>
        <v/>
      </c>
      <c r="L378" s="4">
        <f>SUMIFS(df_mutuos!N:N,df_mutuos!B:B,Conciliacao!A378)*(-1)</f>
        <v/>
      </c>
      <c r="M378" s="8">
        <f>SUMIFS(df_bloqueios_judiciais!G:G,df_bloqueios_judiciais!D:D,Conciliacao!A378,df_bloqueios_judiciais!G:G,"&lt;0")</f>
        <v/>
      </c>
      <c r="N378" s="10">
        <f>SUMIFS(df_extratos!I:I,df_extratos!F:F,Conciliacao!BE378,df_extratos!G:G,"DEBITO")+SUMIFS(df_extratos!I:I,df_extratos!F:F,Conciliacao!A378,df_extratos!G:G,"DEBITO")+SUMIFS(df_extratos!I:I,df_extratos!F:F,Conciliacao!BF378,df_extratos!G:G,"DEBITO")+SUMIFS(df_extratos!I:I,df_extratos!F:F,Conciliacao!BG378,df_extratos!G:G,"DEBITO")+SUMIFS(df_extratos!I:I,df_extratos!F:F,Conciliacao!BH378,df_extratos!G:G,"DEBITO")</f>
        <v/>
      </c>
      <c r="O378" s="11">
        <f>N378-SUM(J378:M378)</f>
        <v/>
      </c>
      <c r="P378" s="25">
        <f>SUMIFS(df_ajustes_conciliaco!D:D,df_ajustes_conciliaco!C:C,Conciliacao!A378)</f>
        <v/>
      </c>
      <c r="Q378" s="22">
        <f>O378+I378-P378</f>
        <v/>
      </c>
      <c r="BE378" s="20" t="n">
        <v>46034.5</v>
      </c>
      <c r="BF378" s="20" t="n">
        <v>46034.125</v>
      </c>
      <c r="BG378" s="20" t="n">
        <v>46034.5416666088</v>
      </c>
      <c r="BH378" s="20" t="n">
        <v>46034.625</v>
      </c>
    </row>
    <row r="379">
      <c r="A379" s="5">
        <f>A378+1</f>
        <v/>
      </c>
      <c r="B379" s="3">
        <f>-SUMIFS(df_extrato_zig!G:G,df_extrato_zig!E:E,Conciliacao!A379,df_extrato_zig!D:D,"Saque")-SUMIFS(df_extrato_zig!G:G,df_extrato_zig!E:E,Conciliacao!A379,df_extrato_zig!D:D,"Antecipação")</f>
        <v/>
      </c>
      <c r="C379" s="3">
        <f>SUMIFS(df_extrato_zig!E:E,df_extrato_zig!L:L,Conciliacao!A379,df_extrato_zig!F:F,"DINHEIRO")</f>
        <v/>
      </c>
      <c r="D379" s="3">
        <f>SUMIFS(view_parc_agrup!H:H,view_parc_agrup!G:G,Conciliacao!A379)</f>
        <v/>
      </c>
      <c r="E379" s="3">
        <f>SUMIFS(df_eventos!F:F,df_eventos!H:H,Conciliacao!A379)</f>
        <v/>
      </c>
      <c r="F379" s="3">
        <f>SUMIFS(df_mutuos!M:M,df_mutuos!B:B,Conciliacao!A379)</f>
        <v/>
      </c>
      <c r="G379" s="6">
        <f>SUMIFS(df_bloqueios_judiciais!G:G,df_bloqueios_judiciais!D:D,Conciliacao!A379,df_bloqueios_judiciais!G:G,"&gt;0")</f>
        <v/>
      </c>
      <c r="H379" s="7">
        <f>SUMIFS(df_extratos!I:I,df_extratos!F:F,Conciliacao!BE379,df_extratos!G:G,"CREDITO")+SUMIFS(df_extratos!I:I,df_extratos!F:F,Conciliacao!A379,df_extratos!G:G,"CREDITO")+SUMIFS(df_extratos!I:I,df_extratos!F:F,Conciliacao!BF379,df_extratos!G:G,"CREDITO")+SUMIFS(df_extratos!I:I,df_extratos!F:F,Conciliacao!BG379,df_extratos!G:G,"CREDITO")+SUMIFS(df_extratos!I:I,df_extratos!F:F,Conciliacao!BH379,df_extratos!G:G,"CREDITO")</f>
        <v/>
      </c>
      <c r="I379" s="9">
        <f>H379-SUM(B379:G379)</f>
        <v/>
      </c>
      <c r="J379" s="4">
        <f>SUMIFS(df_blueme_sem_parcelamento!E:E,df_blueme_sem_parcelamento!H:H,Conciliacao!A379)*(-1)</f>
        <v/>
      </c>
      <c r="K379" s="4">
        <f>SUMIFS(df_blueme_com_parcelamento!J:J,df_blueme_com_parcelamento!M:M,Conciliacao!A379)*(-1)</f>
        <v/>
      </c>
      <c r="L379" s="4">
        <f>SUMIFS(df_mutuos!N:N,df_mutuos!B:B,Conciliacao!A379)*(-1)</f>
        <v/>
      </c>
      <c r="M379" s="8">
        <f>SUMIFS(df_bloqueios_judiciais!G:G,df_bloqueios_judiciais!D:D,Conciliacao!A379,df_bloqueios_judiciais!G:G,"&lt;0")</f>
        <v/>
      </c>
      <c r="N379" s="10">
        <f>SUMIFS(df_extratos!I:I,df_extratos!F:F,Conciliacao!BE379,df_extratos!G:G,"DEBITO")+SUMIFS(df_extratos!I:I,df_extratos!F:F,Conciliacao!A379,df_extratos!G:G,"DEBITO")+SUMIFS(df_extratos!I:I,df_extratos!F:F,Conciliacao!BF379,df_extratos!G:G,"DEBITO")+SUMIFS(df_extratos!I:I,df_extratos!F:F,Conciliacao!BG379,df_extratos!G:G,"DEBITO")+SUMIFS(df_extratos!I:I,df_extratos!F:F,Conciliacao!BH379,df_extratos!G:G,"DEBITO")</f>
        <v/>
      </c>
      <c r="O379" s="11">
        <f>N379-SUM(J379:M379)</f>
        <v/>
      </c>
      <c r="P379" s="25">
        <f>SUMIFS(df_ajustes_conciliaco!D:D,df_ajustes_conciliaco!C:C,Conciliacao!A379)</f>
        <v/>
      </c>
      <c r="Q379" s="22">
        <f>O379+I379-P379</f>
        <v/>
      </c>
      <c r="BE379" s="20" t="n">
        <v>46035.5</v>
      </c>
      <c r="BF379" s="20" t="n">
        <v>46035.125</v>
      </c>
      <c r="BG379" s="20" t="n">
        <v>46035.5416666088</v>
      </c>
      <c r="BH379" s="20" t="n">
        <v>46035.625</v>
      </c>
    </row>
    <row r="380">
      <c r="A380" s="5">
        <f>A379+1</f>
        <v/>
      </c>
      <c r="B380" s="3">
        <f>-SUMIFS(df_extrato_zig!G:G,df_extrato_zig!E:E,Conciliacao!A380,df_extrato_zig!D:D,"Saque")-SUMIFS(df_extrato_zig!G:G,df_extrato_zig!E:E,Conciliacao!A380,df_extrato_zig!D:D,"Antecipação")</f>
        <v/>
      </c>
      <c r="C380" s="3">
        <f>SUMIFS(df_extrato_zig!E:E,df_extrato_zig!L:L,Conciliacao!A380,df_extrato_zig!F:F,"DINHEIRO")</f>
        <v/>
      </c>
      <c r="D380" s="3">
        <f>SUMIFS(view_parc_agrup!H:H,view_parc_agrup!G:G,Conciliacao!A380)</f>
        <v/>
      </c>
      <c r="E380" s="3">
        <f>SUMIFS(df_eventos!F:F,df_eventos!H:H,Conciliacao!A380)</f>
        <v/>
      </c>
      <c r="F380" s="3">
        <f>SUMIFS(df_mutuos!M:M,df_mutuos!B:B,Conciliacao!A380)</f>
        <v/>
      </c>
      <c r="G380" s="6">
        <f>SUMIFS(df_bloqueios_judiciais!G:G,df_bloqueios_judiciais!D:D,Conciliacao!A380,df_bloqueios_judiciais!G:G,"&gt;0")</f>
        <v/>
      </c>
      <c r="H380" s="7">
        <f>SUMIFS(df_extratos!I:I,df_extratos!F:F,Conciliacao!BE380,df_extratos!G:G,"CREDITO")+SUMIFS(df_extratos!I:I,df_extratos!F:F,Conciliacao!A380,df_extratos!G:G,"CREDITO")+SUMIFS(df_extratos!I:I,df_extratos!F:F,Conciliacao!BF380,df_extratos!G:G,"CREDITO")+SUMIFS(df_extratos!I:I,df_extratos!F:F,Conciliacao!BG380,df_extratos!G:G,"CREDITO")+SUMIFS(df_extratos!I:I,df_extratos!F:F,Conciliacao!BH380,df_extratos!G:G,"CREDITO")</f>
        <v/>
      </c>
      <c r="I380" s="9">
        <f>H380-SUM(B380:G380)</f>
        <v/>
      </c>
      <c r="J380" s="4">
        <f>SUMIFS(df_blueme_sem_parcelamento!E:E,df_blueme_sem_parcelamento!H:H,Conciliacao!A380)*(-1)</f>
        <v/>
      </c>
      <c r="K380" s="4">
        <f>SUMIFS(df_blueme_com_parcelamento!J:J,df_blueme_com_parcelamento!M:M,Conciliacao!A380)*(-1)</f>
        <v/>
      </c>
      <c r="L380" s="4">
        <f>SUMIFS(df_mutuos!N:N,df_mutuos!B:B,Conciliacao!A380)*(-1)</f>
        <v/>
      </c>
      <c r="M380" s="8">
        <f>SUMIFS(df_bloqueios_judiciais!G:G,df_bloqueios_judiciais!D:D,Conciliacao!A380,df_bloqueios_judiciais!G:G,"&lt;0")</f>
        <v/>
      </c>
      <c r="N380" s="10">
        <f>SUMIFS(df_extratos!I:I,df_extratos!F:F,Conciliacao!BE380,df_extratos!G:G,"DEBITO")+SUMIFS(df_extratos!I:I,df_extratos!F:F,Conciliacao!A380,df_extratos!G:G,"DEBITO")+SUMIFS(df_extratos!I:I,df_extratos!F:F,Conciliacao!BF380,df_extratos!G:G,"DEBITO")+SUMIFS(df_extratos!I:I,df_extratos!F:F,Conciliacao!BG380,df_extratos!G:G,"DEBITO")+SUMIFS(df_extratos!I:I,df_extratos!F:F,Conciliacao!BH380,df_extratos!G:G,"DEBITO")</f>
        <v/>
      </c>
      <c r="O380" s="11">
        <f>N380-SUM(J380:M380)</f>
        <v/>
      </c>
      <c r="P380" s="25">
        <f>SUMIFS(df_ajustes_conciliaco!D:D,df_ajustes_conciliaco!C:C,Conciliacao!A380)</f>
        <v/>
      </c>
      <c r="Q380" s="22">
        <f>O380+I380-P380</f>
        <v/>
      </c>
      <c r="BE380" s="20" t="n">
        <v>46036.5</v>
      </c>
      <c r="BF380" s="20" t="n">
        <v>46036.125</v>
      </c>
      <c r="BG380" s="20" t="n">
        <v>46036.5416666088</v>
      </c>
      <c r="BH380" s="20" t="n">
        <v>46036.625</v>
      </c>
    </row>
    <row r="381">
      <c r="A381" s="5">
        <f>A380+1</f>
        <v/>
      </c>
      <c r="B381" s="3">
        <f>-SUMIFS(df_extrato_zig!G:G,df_extrato_zig!E:E,Conciliacao!A381,df_extrato_zig!D:D,"Saque")-SUMIFS(df_extrato_zig!G:G,df_extrato_zig!E:E,Conciliacao!A381,df_extrato_zig!D:D,"Antecipação")</f>
        <v/>
      </c>
      <c r="C381" s="3">
        <f>SUMIFS(df_extrato_zig!E:E,df_extrato_zig!L:L,Conciliacao!A381,df_extrato_zig!F:F,"DINHEIRO")</f>
        <v/>
      </c>
      <c r="D381" s="3">
        <f>SUMIFS(view_parc_agrup!H:H,view_parc_agrup!G:G,Conciliacao!A381)</f>
        <v/>
      </c>
      <c r="E381" s="3">
        <f>SUMIFS(df_eventos!F:F,df_eventos!H:H,Conciliacao!A381)</f>
        <v/>
      </c>
      <c r="F381" s="3">
        <f>SUMIFS(df_mutuos!M:M,df_mutuos!B:B,Conciliacao!A381)</f>
        <v/>
      </c>
      <c r="G381" s="6">
        <f>SUMIFS(df_bloqueios_judiciais!G:G,df_bloqueios_judiciais!D:D,Conciliacao!A381,df_bloqueios_judiciais!G:G,"&gt;0")</f>
        <v/>
      </c>
      <c r="H381" s="7">
        <f>SUMIFS(df_extratos!I:I,df_extratos!F:F,Conciliacao!BE381,df_extratos!G:G,"CREDITO")+SUMIFS(df_extratos!I:I,df_extratos!F:F,Conciliacao!A381,df_extratos!G:G,"CREDITO")+SUMIFS(df_extratos!I:I,df_extratos!F:F,Conciliacao!BF381,df_extratos!G:G,"CREDITO")+SUMIFS(df_extratos!I:I,df_extratos!F:F,Conciliacao!BG381,df_extratos!G:G,"CREDITO")+SUMIFS(df_extratos!I:I,df_extratos!F:F,Conciliacao!BH381,df_extratos!G:G,"CREDITO")</f>
        <v/>
      </c>
      <c r="I381" s="9">
        <f>H381-SUM(B381:G381)</f>
        <v/>
      </c>
      <c r="J381" s="4">
        <f>SUMIFS(df_blueme_sem_parcelamento!E:E,df_blueme_sem_parcelamento!H:H,Conciliacao!A381)*(-1)</f>
        <v/>
      </c>
      <c r="K381" s="4">
        <f>SUMIFS(df_blueme_com_parcelamento!J:J,df_blueme_com_parcelamento!M:M,Conciliacao!A381)*(-1)</f>
        <v/>
      </c>
      <c r="L381" s="4">
        <f>SUMIFS(df_mutuos!N:N,df_mutuos!B:B,Conciliacao!A381)*(-1)</f>
        <v/>
      </c>
      <c r="M381" s="8">
        <f>SUMIFS(df_bloqueios_judiciais!G:G,df_bloqueios_judiciais!D:D,Conciliacao!A381,df_bloqueios_judiciais!G:G,"&lt;0")</f>
        <v/>
      </c>
      <c r="N381" s="10">
        <f>SUMIFS(df_extratos!I:I,df_extratos!F:F,Conciliacao!BE381,df_extratos!G:G,"DEBITO")+SUMIFS(df_extratos!I:I,df_extratos!F:F,Conciliacao!A381,df_extratos!G:G,"DEBITO")+SUMIFS(df_extratos!I:I,df_extratos!F:F,Conciliacao!BF381,df_extratos!G:G,"DEBITO")+SUMIFS(df_extratos!I:I,df_extratos!F:F,Conciliacao!BG381,df_extratos!G:G,"DEBITO")+SUMIFS(df_extratos!I:I,df_extratos!F:F,Conciliacao!BH381,df_extratos!G:G,"DEBITO")</f>
        <v/>
      </c>
      <c r="O381" s="11">
        <f>N381-SUM(J381:M381)</f>
        <v/>
      </c>
      <c r="P381" s="25">
        <f>SUMIFS(df_ajustes_conciliaco!D:D,df_ajustes_conciliaco!C:C,Conciliacao!A381)</f>
        <v/>
      </c>
      <c r="Q381" s="22">
        <f>O381+I381-P381</f>
        <v/>
      </c>
      <c r="BE381" s="20" t="n">
        <v>46037.5</v>
      </c>
      <c r="BF381" s="20" t="n">
        <v>46037.125</v>
      </c>
      <c r="BG381" s="20" t="n">
        <v>46037.5416666088</v>
      </c>
      <c r="BH381" s="20" t="n">
        <v>46037.625</v>
      </c>
    </row>
    <row r="382">
      <c r="A382" s="5">
        <f>A381+1</f>
        <v/>
      </c>
      <c r="B382" s="3">
        <f>-SUMIFS(df_extrato_zig!G:G,df_extrato_zig!E:E,Conciliacao!A382,df_extrato_zig!D:D,"Saque")-SUMIFS(df_extrato_zig!G:G,df_extrato_zig!E:E,Conciliacao!A382,df_extrato_zig!D:D,"Antecipação")</f>
        <v/>
      </c>
      <c r="C382" s="3">
        <f>SUMIFS(df_extrato_zig!E:E,df_extrato_zig!L:L,Conciliacao!A382,df_extrato_zig!F:F,"DINHEIRO")</f>
        <v/>
      </c>
      <c r="D382" s="3">
        <f>SUMIFS(view_parc_agrup!H:H,view_parc_agrup!G:G,Conciliacao!A382)</f>
        <v/>
      </c>
      <c r="E382" s="3">
        <f>SUMIFS(df_eventos!F:F,df_eventos!H:H,Conciliacao!A382)</f>
        <v/>
      </c>
      <c r="F382" s="3">
        <f>SUMIFS(df_mutuos!M:M,df_mutuos!B:B,Conciliacao!A382)</f>
        <v/>
      </c>
      <c r="G382" s="6">
        <f>SUMIFS(df_bloqueios_judiciais!G:G,df_bloqueios_judiciais!D:D,Conciliacao!A382,df_bloqueios_judiciais!G:G,"&gt;0")</f>
        <v/>
      </c>
      <c r="H382" s="7">
        <f>SUMIFS(df_extratos!I:I,df_extratos!F:F,Conciliacao!BE382,df_extratos!G:G,"CREDITO")+SUMIFS(df_extratos!I:I,df_extratos!F:F,Conciliacao!A382,df_extratos!G:G,"CREDITO")+SUMIFS(df_extratos!I:I,df_extratos!F:F,Conciliacao!BF382,df_extratos!G:G,"CREDITO")+SUMIFS(df_extratos!I:I,df_extratos!F:F,Conciliacao!BG382,df_extratos!G:G,"CREDITO")+SUMIFS(df_extratos!I:I,df_extratos!F:F,Conciliacao!BH382,df_extratos!G:G,"CREDITO")</f>
        <v/>
      </c>
      <c r="I382" s="9">
        <f>H382-SUM(B382:G382)</f>
        <v/>
      </c>
      <c r="J382" s="4">
        <f>SUMIFS(df_blueme_sem_parcelamento!E:E,df_blueme_sem_parcelamento!H:H,Conciliacao!A382)*(-1)</f>
        <v/>
      </c>
      <c r="K382" s="4">
        <f>SUMIFS(df_blueme_com_parcelamento!J:J,df_blueme_com_parcelamento!M:M,Conciliacao!A382)*(-1)</f>
        <v/>
      </c>
      <c r="L382" s="4">
        <f>SUMIFS(df_mutuos!N:N,df_mutuos!B:B,Conciliacao!A382)*(-1)</f>
        <v/>
      </c>
      <c r="M382" s="8">
        <f>SUMIFS(df_bloqueios_judiciais!G:G,df_bloqueios_judiciais!D:D,Conciliacao!A382,df_bloqueios_judiciais!G:G,"&lt;0")</f>
        <v/>
      </c>
      <c r="N382" s="10">
        <f>SUMIFS(df_extratos!I:I,df_extratos!F:F,Conciliacao!BE382,df_extratos!G:G,"DEBITO")+SUMIFS(df_extratos!I:I,df_extratos!F:F,Conciliacao!A382,df_extratos!G:G,"DEBITO")+SUMIFS(df_extratos!I:I,df_extratos!F:F,Conciliacao!BF382,df_extratos!G:G,"DEBITO")+SUMIFS(df_extratos!I:I,df_extratos!F:F,Conciliacao!BG382,df_extratos!G:G,"DEBITO")+SUMIFS(df_extratos!I:I,df_extratos!F:F,Conciliacao!BH382,df_extratos!G:G,"DEBITO")</f>
        <v/>
      </c>
      <c r="O382" s="11">
        <f>N382-SUM(J382:M382)</f>
        <v/>
      </c>
      <c r="P382" s="25">
        <f>SUMIFS(df_ajustes_conciliaco!D:D,df_ajustes_conciliaco!C:C,Conciliacao!A382)</f>
        <v/>
      </c>
      <c r="Q382" s="22">
        <f>O382+I382-P382</f>
        <v/>
      </c>
      <c r="BE382" s="20" t="n">
        <v>46038.5</v>
      </c>
      <c r="BF382" s="20" t="n">
        <v>46038.125</v>
      </c>
      <c r="BG382" s="20" t="n">
        <v>46038.5416666088</v>
      </c>
      <c r="BH382" s="20" t="n">
        <v>46038.625</v>
      </c>
    </row>
    <row r="383">
      <c r="A383" s="5">
        <f>A382+1</f>
        <v/>
      </c>
      <c r="B383" s="3">
        <f>-SUMIFS(df_extrato_zig!G:G,df_extrato_zig!E:E,Conciliacao!A383,df_extrato_zig!D:D,"Saque")-SUMIFS(df_extrato_zig!G:G,df_extrato_zig!E:E,Conciliacao!A383,df_extrato_zig!D:D,"Antecipação")</f>
        <v/>
      </c>
      <c r="C383" s="3">
        <f>SUMIFS(df_extrato_zig!E:E,df_extrato_zig!L:L,Conciliacao!A383,df_extrato_zig!F:F,"DINHEIRO")</f>
        <v/>
      </c>
      <c r="D383" s="3">
        <f>SUMIFS(view_parc_agrup!H:H,view_parc_agrup!G:G,Conciliacao!A383)</f>
        <v/>
      </c>
      <c r="E383" s="3">
        <f>SUMIFS(df_eventos!F:F,df_eventos!H:H,Conciliacao!A383)</f>
        <v/>
      </c>
      <c r="F383" s="3">
        <f>SUMIFS(df_mutuos!M:M,df_mutuos!B:B,Conciliacao!A383)</f>
        <v/>
      </c>
      <c r="G383" s="6">
        <f>SUMIFS(df_bloqueios_judiciais!G:G,df_bloqueios_judiciais!D:D,Conciliacao!A383,df_bloqueios_judiciais!G:G,"&gt;0")</f>
        <v/>
      </c>
      <c r="H383" s="7">
        <f>SUMIFS(df_extratos!I:I,df_extratos!F:F,Conciliacao!BE383,df_extratos!G:G,"CREDITO")+SUMIFS(df_extratos!I:I,df_extratos!F:F,Conciliacao!A383,df_extratos!G:G,"CREDITO")+SUMIFS(df_extratos!I:I,df_extratos!F:F,Conciliacao!BF383,df_extratos!G:G,"CREDITO")+SUMIFS(df_extratos!I:I,df_extratos!F:F,Conciliacao!BG383,df_extratos!G:G,"CREDITO")+SUMIFS(df_extratos!I:I,df_extratos!F:F,Conciliacao!BH383,df_extratos!G:G,"CREDITO")</f>
        <v/>
      </c>
      <c r="I383" s="9">
        <f>H383-SUM(B383:G383)</f>
        <v/>
      </c>
      <c r="J383" s="4">
        <f>SUMIFS(df_blueme_sem_parcelamento!E:E,df_blueme_sem_parcelamento!H:H,Conciliacao!A383)*(-1)</f>
        <v/>
      </c>
      <c r="K383" s="4">
        <f>SUMIFS(df_blueme_com_parcelamento!J:J,df_blueme_com_parcelamento!M:M,Conciliacao!A383)*(-1)</f>
        <v/>
      </c>
      <c r="L383" s="4">
        <f>SUMIFS(df_mutuos!N:N,df_mutuos!B:B,Conciliacao!A383)*(-1)</f>
        <v/>
      </c>
      <c r="M383" s="8">
        <f>SUMIFS(df_bloqueios_judiciais!G:G,df_bloqueios_judiciais!D:D,Conciliacao!A383,df_bloqueios_judiciais!G:G,"&lt;0")</f>
        <v/>
      </c>
      <c r="N383" s="10">
        <f>SUMIFS(df_extratos!I:I,df_extratos!F:F,Conciliacao!BE383,df_extratos!G:G,"DEBITO")+SUMIFS(df_extratos!I:I,df_extratos!F:F,Conciliacao!A383,df_extratos!G:G,"DEBITO")+SUMIFS(df_extratos!I:I,df_extratos!F:F,Conciliacao!BF383,df_extratos!G:G,"DEBITO")+SUMIFS(df_extratos!I:I,df_extratos!F:F,Conciliacao!BG383,df_extratos!G:G,"DEBITO")+SUMIFS(df_extratos!I:I,df_extratos!F:F,Conciliacao!BH383,df_extratos!G:G,"DEBITO")</f>
        <v/>
      </c>
      <c r="O383" s="11">
        <f>N383-SUM(J383:M383)</f>
        <v/>
      </c>
      <c r="P383" s="25">
        <f>SUMIFS(df_ajustes_conciliaco!D:D,df_ajustes_conciliaco!C:C,Conciliacao!A383)</f>
        <v/>
      </c>
      <c r="Q383" s="22">
        <f>O383+I383-P383</f>
        <v/>
      </c>
      <c r="BE383" s="20" t="n">
        <v>46039.5</v>
      </c>
      <c r="BF383" s="20" t="n">
        <v>46039.125</v>
      </c>
      <c r="BG383" s="20" t="n">
        <v>46039.5416666088</v>
      </c>
      <c r="BH383" s="20" t="n">
        <v>46039.625</v>
      </c>
    </row>
    <row r="384">
      <c r="A384" s="5">
        <f>A383+1</f>
        <v/>
      </c>
      <c r="B384" s="3">
        <f>-SUMIFS(df_extrato_zig!G:G,df_extrato_zig!E:E,Conciliacao!A384,df_extrato_zig!D:D,"Saque")-SUMIFS(df_extrato_zig!G:G,df_extrato_zig!E:E,Conciliacao!A384,df_extrato_zig!D:D,"Antecipação")</f>
        <v/>
      </c>
      <c r="C384" s="3">
        <f>SUMIFS(df_extrato_zig!E:E,df_extrato_zig!L:L,Conciliacao!A384,df_extrato_zig!F:F,"DINHEIRO")</f>
        <v/>
      </c>
      <c r="D384" s="3">
        <f>SUMIFS(view_parc_agrup!H:H,view_parc_agrup!G:G,Conciliacao!A384)</f>
        <v/>
      </c>
      <c r="E384" s="3">
        <f>SUMIFS(df_eventos!F:F,df_eventos!H:H,Conciliacao!A384)</f>
        <v/>
      </c>
      <c r="F384" s="3">
        <f>SUMIFS(df_mutuos!M:M,df_mutuos!B:B,Conciliacao!A384)</f>
        <v/>
      </c>
      <c r="G384" s="6">
        <f>SUMIFS(df_bloqueios_judiciais!G:G,df_bloqueios_judiciais!D:D,Conciliacao!A384,df_bloqueios_judiciais!G:G,"&gt;0")</f>
        <v/>
      </c>
      <c r="H384" s="7">
        <f>SUMIFS(df_extratos!I:I,df_extratos!F:F,Conciliacao!BE384,df_extratos!G:G,"CREDITO")+SUMIFS(df_extratos!I:I,df_extratos!F:F,Conciliacao!A384,df_extratos!G:G,"CREDITO")+SUMIFS(df_extratos!I:I,df_extratos!F:F,Conciliacao!BF384,df_extratos!G:G,"CREDITO")+SUMIFS(df_extratos!I:I,df_extratos!F:F,Conciliacao!BG384,df_extratos!G:G,"CREDITO")+SUMIFS(df_extratos!I:I,df_extratos!F:F,Conciliacao!BH384,df_extratos!G:G,"CREDITO")</f>
        <v/>
      </c>
      <c r="I384" s="9">
        <f>H384-SUM(B384:G384)</f>
        <v/>
      </c>
      <c r="J384" s="4">
        <f>SUMIFS(df_blueme_sem_parcelamento!E:E,df_blueme_sem_parcelamento!H:H,Conciliacao!A384)*(-1)</f>
        <v/>
      </c>
      <c r="K384" s="4">
        <f>SUMIFS(df_blueme_com_parcelamento!J:J,df_blueme_com_parcelamento!M:M,Conciliacao!A384)*(-1)</f>
        <v/>
      </c>
      <c r="L384" s="4">
        <f>SUMIFS(df_mutuos!N:N,df_mutuos!B:B,Conciliacao!A384)*(-1)</f>
        <v/>
      </c>
      <c r="M384" s="8">
        <f>SUMIFS(df_bloqueios_judiciais!G:G,df_bloqueios_judiciais!D:D,Conciliacao!A384,df_bloqueios_judiciais!G:G,"&lt;0")</f>
        <v/>
      </c>
      <c r="N384" s="10">
        <f>SUMIFS(df_extratos!I:I,df_extratos!F:F,Conciliacao!BE384,df_extratos!G:G,"DEBITO")+SUMIFS(df_extratos!I:I,df_extratos!F:F,Conciliacao!A384,df_extratos!G:G,"DEBITO")+SUMIFS(df_extratos!I:I,df_extratos!F:F,Conciliacao!BF384,df_extratos!G:G,"DEBITO")+SUMIFS(df_extratos!I:I,df_extratos!F:F,Conciliacao!BG384,df_extratos!G:G,"DEBITO")+SUMIFS(df_extratos!I:I,df_extratos!F:F,Conciliacao!BH384,df_extratos!G:G,"DEBITO")</f>
        <v/>
      </c>
      <c r="O384" s="11">
        <f>N384-SUM(J384:M384)</f>
        <v/>
      </c>
      <c r="P384" s="25">
        <f>SUMIFS(df_ajustes_conciliaco!D:D,df_ajustes_conciliaco!C:C,Conciliacao!A384)</f>
        <v/>
      </c>
      <c r="Q384" s="22">
        <f>O384+I384-P384</f>
        <v/>
      </c>
      <c r="BE384" s="20" t="n">
        <v>46040.5</v>
      </c>
      <c r="BF384" s="20" t="n">
        <v>46040.125</v>
      </c>
      <c r="BG384" s="20" t="n">
        <v>46040.5416666088</v>
      </c>
      <c r="BH384" s="20" t="n">
        <v>46040.625</v>
      </c>
    </row>
    <row r="385">
      <c r="A385" s="5">
        <f>A384+1</f>
        <v/>
      </c>
      <c r="B385" s="3">
        <f>-SUMIFS(df_extrato_zig!G:G,df_extrato_zig!E:E,Conciliacao!A385,df_extrato_zig!D:D,"Saque")-SUMIFS(df_extrato_zig!G:G,df_extrato_zig!E:E,Conciliacao!A385,df_extrato_zig!D:D,"Antecipação")</f>
        <v/>
      </c>
      <c r="C385" s="3">
        <f>SUMIFS(df_extrato_zig!E:E,df_extrato_zig!L:L,Conciliacao!A385,df_extrato_zig!F:F,"DINHEIRO")</f>
        <v/>
      </c>
      <c r="D385" s="3">
        <f>SUMIFS(view_parc_agrup!H:H,view_parc_agrup!G:G,Conciliacao!A385)</f>
        <v/>
      </c>
      <c r="E385" s="3">
        <f>SUMIFS(df_eventos!F:F,df_eventos!H:H,Conciliacao!A385)</f>
        <v/>
      </c>
      <c r="F385" s="3">
        <f>SUMIFS(df_mutuos!M:M,df_mutuos!B:B,Conciliacao!A385)</f>
        <v/>
      </c>
      <c r="G385" s="6">
        <f>SUMIFS(df_bloqueios_judiciais!G:G,df_bloqueios_judiciais!D:D,Conciliacao!A385,df_bloqueios_judiciais!G:G,"&gt;0")</f>
        <v/>
      </c>
      <c r="H385" s="7">
        <f>SUMIFS(df_extratos!I:I,df_extratos!F:F,Conciliacao!BE385,df_extratos!G:G,"CREDITO")+SUMIFS(df_extratos!I:I,df_extratos!F:F,Conciliacao!A385,df_extratos!G:G,"CREDITO")+SUMIFS(df_extratos!I:I,df_extratos!F:F,Conciliacao!BF385,df_extratos!G:G,"CREDITO")+SUMIFS(df_extratos!I:I,df_extratos!F:F,Conciliacao!BG385,df_extratos!G:G,"CREDITO")+SUMIFS(df_extratos!I:I,df_extratos!F:F,Conciliacao!BH385,df_extratos!G:G,"CREDITO")</f>
        <v/>
      </c>
      <c r="I385" s="9">
        <f>H385-SUM(B385:G385)</f>
        <v/>
      </c>
      <c r="J385" s="4">
        <f>SUMIFS(df_blueme_sem_parcelamento!E:E,df_blueme_sem_parcelamento!H:H,Conciliacao!A385)*(-1)</f>
        <v/>
      </c>
      <c r="K385" s="4">
        <f>SUMIFS(df_blueme_com_parcelamento!J:J,df_blueme_com_parcelamento!M:M,Conciliacao!A385)*(-1)</f>
        <v/>
      </c>
      <c r="L385" s="4">
        <f>SUMIFS(df_mutuos!N:N,df_mutuos!B:B,Conciliacao!A385)*(-1)</f>
        <v/>
      </c>
      <c r="M385" s="8">
        <f>SUMIFS(df_bloqueios_judiciais!G:G,df_bloqueios_judiciais!D:D,Conciliacao!A385,df_bloqueios_judiciais!G:G,"&lt;0")</f>
        <v/>
      </c>
      <c r="N385" s="10">
        <f>SUMIFS(df_extratos!I:I,df_extratos!F:F,Conciliacao!BE385,df_extratos!G:G,"DEBITO")+SUMIFS(df_extratos!I:I,df_extratos!F:F,Conciliacao!A385,df_extratos!G:G,"DEBITO")+SUMIFS(df_extratos!I:I,df_extratos!F:F,Conciliacao!BF385,df_extratos!G:G,"DEBITO")+SUMIFS(df_extratos!I:I,df_extratos!F:F,Conciliacao!BG385,df_extratos!G:G,"DEBITO")+SUMIFS(df_extratos!I:I,df_extratos!F:F,Conciliacao!BH385,df_extratos!G:G,"DEBITO")</f>
        <v/>
      </c>
      <c r="O385" s="11">
        <f>N385-SUM(J385:M385)</f>
        <v/>
      </c>
      <c r="P385" s="25">
        <f>SUMIFS(df_ajustes_conciliaco!D:D,df_ajustes_conciliaco!C:C,Conciliacao!A385)</f>
        <v/>
      </c>
      <c r="Q385" s="22">
        <f>O385+I385-P385</f>
        <v/>
      </c>
      <c r="BE385" s="20" t="n">
        <v>46041.5</v>
      </c>
      <c r="BF385" s="20" t="n">
        <v>46041.125</v>
      </c>
      <c r="BG385" s="20" t="n">
        <v>46041.5416666088</v>
      </c>
      <c r="BH385" s="20" t="n">
        <v>46041.625</v>
      </c>
    </row>
    <row r="386">
      <c r="A386" s="5">
        <f>A385+1</f>
        <v/>
      </c>
      <c r="B386" s="3">
        <f>-SUMIFS(df_extrato_zig!G:G,df_extrato_zig!E:E,Conciliacao!A386,df_extrato_zig!D:D,"Saque")-SUMIFS(df_extrato_zig!G:G,df_extrato_zig!E:E,Conciliacao!A386,df_extrato_zig!D:D,"Antecipação")</f>
        <v/>
      </c>
      <c r="C386" s="3">
        <f>SUMIFS(df_extrato_zig!E:E,df_extrato_zig!L:L,Conciliacao!A386,df_extrato_zig!F:F,"DINHEIRO")</f>
        <v/>
      </c>
      <c r="D386" s="3">
        <f>SUMIFS(view_parc_agrup!H:H,view_parc_agrup!G:G,Conciliacao!A386)</f>
        <v/>
      </c>
      <c r="E386" s="3">
        <f>SUMIFS(df_eventos!F:F,df_eventos!H:H,Conciliacao!A386)</f>
        <v/>
      </c>
      <c r="F386" s="3">
        <f>SUMIFS(df_mutuos!M:M,df_mutuos!B:B,Conciliacao!A386)</f>
        <v/>
      </c>
      <c r="G386" s="6">
        <f>SUMIFS(df_bloqueios_judiciais!G:G,df_bloqueios_judiciais!D:D,Conciliacao!A386,df_bloqueios_judiciais!G:G,"&gt;0")</f>
        <v/>
      </c>
      <c r="H386" s="7">
        <f>SUMIFS(df_extratos!I:I,df_extratos!F:F,Conciliacao!BE386,df_extratos!G:G,"CREDITO")+SUMIFS(df_extratos!I:I,df_extratos!F:F,Conciliacao!A386,df_extratos!G:G,"CREDITO")+SUMIFS(df_extratos!I:I,df_extratos!F:F,Conciliacao!BF386,df_extratos!G:G,"CREDITO")+SUMIFS(df_extratos!I:I,df_extratos!F:F,Conciliacao!BG386,df_extratos!G:G,"CREDITO")+SUMIFS(df_extratos!I:I,df_extratos!F:F,Conciliacao!BH386,df_extratos!G:G,"CREDITO")</f>
        <v/>
      </c>
      <c r="I386" s="9">
        <f>H386-SUM(B386:G386)</f>
        <v/>
      </c>
      <c r="J386" s="4">
        <f>SUMIFS(df_blueme_sem_parcelamento!E:E,df_blueme_sem_parcelamento!H:H,Conciliacao!A386)*(-1)</f>
        <v/>
      </c>
      <c r="K386" s="4">
        <f>SUMIFS(df_blueme_com_parcelamento!J:J,df_blueme_com_parcelamento!M:M,Conciliacao!A386)*(-1)</f>
        <v/>
      </c>
      <c r="L386" s="4">
        <f>SUMIFS(df_mutuos!N:N,df_mutuos!B:B,Conciliacao!A386)*(-1)</f>
        <v/>
      </c>
      <c r="M386" s="8">
        <f>SUMIFS(df_bloqueios_judiciais!G:G,df_bloqueios_judiciais!D:D,Conciliacao!A386,df_bloqueios_judiciais!G:G,"&lt;0")</f>
        <v/>
      </c>
      <c r="N386" s="10">
        <f>SUMIFS(df_extratos!I:I,df_extratos!F:F,Conciliacao!BE386,df_extratos!G:G,"DEBITO")+SUMIFS(df_extratos!I:I,df_extratos!F:F,Conciliacao!A386,df_extratos!G:G,"DEBITO")+SUMIFS(df_extratos!I:I,df_extratos!F:F,Conciliacao!BF386,df_extratos!G:G,"DEBITO")+SUMIFS(df_extratos!I:I,df_extratos!F:F,Conciliacao!BG386,df_extratos!G:G,"DEBITO")+SUMIFS(df_extratos!I:I,df_extratos!F:F,Conciliacao!BH386,df_extratos!G:G,"DEBITO")</f>
        <v/>
      </c>
      <c r="O386" s="11">
        <f>N386-SUM(J386:M386)</f>
        <v/>
      </c>
      <c r="P386" s="25">
        <f>SUMIFS(df_ajustes_conciliaco!D:D,df_ajustes_conciliaco!C:C,Conciliacao!A386)</f>
        <v/>
      </c>
      <c r="Q386" s="22">
        <f>O386+I386-P386</f>
        <v/>
      </c>
      <c r="BE386" s="20" t="n">
        <v>46042.5</v>
      </c>
      <c r="BF386" s="20" t="n">
        <v>46042.125</v>
      </c>
      <c r="BG386" s="20" t="n">
        <v>46042.5416666088</v>
      </c>
      <c r="BH386" s="20" t="n">
        <v>46042.625</v>
      </c>
    </row>
    <row r="387">
      <c r="A387" s="5">
        <f>A386+1</f>
        <v/>
      </c>
      <c r="B387" s="3">
        <f>-SUMIFS(df_extrato_zig!G:G,df_extrato_zig!E:E,Conciliacao!A387,df_extrato_zig!D:D,"Saque")-SUMIFS(df_extrato_zig!G:G,df_extrato_zig!E:E,Conciliacao!A387,df_extrato_zig!D:D,"Antecipação")</f>
        <v/>
      </c>
      <c r="C387" s="3">
        <f>SUMIFS(df_extrato_zig!E:E,df_extrato_zig!L:L,Conciliacao!A387,df_extrato_zig!F:F,"DINHEIRO")</f>
        <v/>
      </c>
      <c r="D387" s="3">
        <f>SUMIFS(view_parc_agrup!H:H,view_parc_agrup!G:G,Conciliacao!A387)</f>
        <v/>
      </c>
      <c r="E387" s="3">
        <f>SUMIFS(df_eventos!F:F,df_eventos!H:H,Conciliacao!A387)</f>
        <v/>
      </c>
      <c r="F387" s="3">
        <f>SUMIFS(df_mutuos!M:M,df_mutuos!B:B,Conciliacao!A387)</f>
        <v/>
      </c>
      <c r="G387" s="6">
        <f>SUMIFS(df_bloqueios_judiciais!G:G,df_bloqueios_judiciais!D:D,Conciliacao!A387,df_bloqueios_judiciais!G:G,"&gt;0")</f>
        <v/>
      </c>
      <c r="H387" s="7">
        <f>SUMIFS(df_extratos!I:I,df_extratos!F:F,Conciliacao!BE387,df_extratos!G:G,"CREDITO")+SUMIFS(df_extratos!I:I,df_extratos!F:F,Conciliacao!A387,df_extratos!G:G,"CREDITO")+SUMIFS(df_extratos!I:I,df_extratos!F:F,Conciliacao!BF387,df_extratos!G:G,"CREDITO")+SUMIFS(df_extratos!I:I,df_extratos!F:F,Conciliacao!BG387,df_extratos!G:G,"CREDITO")+SUMIFS(df_extratos!I:I,df_extratos!F:F,Conciliacao!BH387,df_extratos!G:G,"CREDITO")</f>
        <v/>
      </c>
      <c r="I387" s="9">
        <f>H387-SUM(B387:G387)</f>
        <v/>
      </c>
      <c r="J387" s="4">
        <f>SUMIFS(df_blueme_sem_parcelamento!E:E,df_blueme_sem_parcelamento!H:H,Conciliacao!A387)*(-1)</f>
        <v/>
      </c>
      <c r="K387" s="4">
        <f>SUMIFS(df_blueme_com_parcelamento!J:J,df_blueme_com_parcelamento!M:M,Conciliacao!A387)*(-1)</f>
        <v/>
      </c>
      <c r="L387" s="4">
        <f>SUMIFS(df_mutuos!N:N,df_mutuos!B:B,Conciliacao!A387)*(-1)</f>
        <v/>
      </c>
      <c r="M387" s="8">
        <f>SUMIFS(df_bloqueios_judiciais!G:G,df_bloqueios_judiciais!D:D,Conciliacao!A387,df_bloqueios_judiciais!G:G,"&lt;0")</f>
        <v/>
      </c>
      <c r="N387" s="10">
        <f>SUMIFS(df_extratos!I:I,df_extratos!F:F,Conciliacao!BE387,df_extratos!G:G,"DEBITO")+SUMIFS(df_extratos!I:I,df_extratos!F:F,Conciliacao!A387,df_extratos!G:G,"DEBITO")+SUMIFS(df_extratos!I:I,df_extratos!F:F,Conciliacao!BF387,df_extratos!G:G,"DEBITO")+SUMIFS(df_extratos!I:I,df_extratos!F:F,Conciliacao!BG387,df_extratos!G:G,"DEBITO")+SUMIFS(df_extratos!I:I,df_extratos!F:F,Conciliacao!BH387,df_extratos!G:G,"DEBITO")</f>
        <v/>
      </c>
      <c r="O387" s="11">
        <f>N387-SUM(J387:M387)</f>
        <v/>
      </c>
      <c r="P387" s="25">
        <f>SUMIFS(df_ajustes_conciliaco!D:D,df_ajustes_conciliaco!C:C,Conciliacao!A387)</f>
        <v/>
      </c>
      <c r="Q387" s="22">
        <f>O387+I387-P387</f>
        <v/>
      </c>
      <c r="BE387" s="20" t="n">
        <v>46043.5</v>
      </c>
      <c r="BF387" s="20" t="n">
        <v>46043.125</v>
      </c>
      <c r="BG387" s="20" t="n">
        <v>46043.5416666088</v>
      </c>
      <c r="BH387" s="20" t="n">
        <v>46043.625</v>
      </c>
    </row>
    <row r="388">
      <c r="A388" s="5">
        <f>A387+1</f>
        <v/>
      </c>
      <c r="B388" s="3">
        <f>-SUMIFS(df_extrato_zig!G:G,df_extrato_zig!E:E,Conciliacao!A388,df_extrato_zig!D:D,"Saque")-SUMIFS(df_extrato_zig!G:G,df_extrato_zig!E:E,Conciliacao!A388,df_extrato_zig!D:D,"Antecipação")</f>
        <v/>
      </c>
      <c r="C388" s="3">
        <f>SUMIFS(df_extrato_zig!E:E,df_extrato_zig!L:L,Conciliacao!A388,df_extrato_zig!F:F,"DINHEIRO")</f>
        <v/>
      </c>
      <c r="D388" s="3">
        <f>SUMIFS(view_parc_agrup!H:H,view_parc_agrup!G:G,Conciliacao!A388)</f>
        <v/>
      </c>
      <c r="E388" s="3">
        <f>SUMIFS(df_eventos!F:F,df_eventos!H:H,Conciliacao!A388)</f>
        <v/>
      </c>
      <c r="F388" s="3">
        <f>SUMIFS(df_mutuos!M:M,df_mutuos!B:B,Conciliacao!A388)</f>
        <v/>
      </c>
      <c r="G388" s="6">
        <f>SUMIFS(df_bloqueios_judiciais!G:G,df_bloqueios_judiciais!D:D,Conciliacao!A388,df_bloqueios_judiciais!G:G,"&gt;0")</f>
        <v/>
      </c>
      <c r="H388" s="7">
        <f>SUMIFS(df_extratos!I:I,df_extratos!F:F,Conciliacao!BE388,df_extratos!G:G,"CREDITO")+SUMIFS(df_extratos!I:I,df_extratos!F:F,Conciliacao!A388,df_extratos!G:G,"CREDITO")+SUMIFS(df_extratos!I:I,df_extratos!F:F,Conciliacao!BF388,df_extratos!G:G,"CREDITO")+SUMIFS(df_extratos!I:I,df_extratos!F:F,Conciliacao!BG388,df_extratos!G:G,"CREDITO")+SUMIFS(df_extratos!I:I,df_extratos!F:F,Conciliacao!BH388,df_extratos!G:G,"CREDITO")</f>
        <v/>
      </c>
      <c r="I388" s="9">
        <f>H388-SUM(B388:G388)</f>
        <v/>
      </c>
      <c r="J388" s="4">
        <f>SUMIFS(df_blueme_sem_parcelamento!E:E,df_blueme_sem_parcelamento!H:H,Conciliacao!A388)*(-1)</f>
        <v/>
      </c>
      <c r="K388" s="4">
        <f>SUMIFS(df_blueme_com_parcelamento!J:J,df_blueme_com_parcelamento!M:M,Conciliacao!A388)*(-1)</f>
        <v/>
      </c>
      <c r="L388" s="4">
        <f>SUMIFS(df_mutuos!N:N,df_mutuos!B:B,Conciliacao!A388)*(-1)</f>
        <v/>
      </c>
      <c r="M388" s="8">
        <f>SUMIFS(df_bloqueios_judiciais!G:G,df_bloqueios_judiciais!D:D,Conciliacao!A388,df_bloqueios_judiciais!G:G,"&lt;0")</f>
        <v/>
      </c>
      <c r="N388" s="10">
        <f>SUMIFS(df_extratos!I:I,df_extratos!F:F,Conciliacao!BE388,df_extratos!G:G,"DEBITO")+SUMIFS(df_extratos!I:I,df_extratos!F:F,Conciliacao!A388,df_extratos!G:G,"DEBITO")+SUMIFS(df_extratos!I:I,df_extratos!F:F,Conciliacao!BF388,df_extratos!G:G,"DEBITO")+SUMIFS(df_extratos!I:I,df_extratos!F:F,Conciliacao!BG388,df_extratos!G:G,"DEBITO")+SUMIFS(df_extratos!I:I,df_extratos!F:F,Conciliacao!BH388,df_extratos!G:G,"DEBITO")</f>
        <v/>
      </c>
      <c r="O388" s="11">
        <f>N388-SUM(J388:M388)</f>
        <v/>
      </c>
      <c r="P388" s="25">
        <f>SUMIFS(df_ajustes_conciliaco!D:D,df_ajustes_conciliaco!C:C,Conciliacao!A388)</f>
        <v/>
      </c>
      <c r="Q388" s="22">
        <f>O388+I388-P388</f>
        <v/>
      </c>
      <c r="BE388" s="20" t="n">
        <v>46044.5</v>
      </c>
      <c r="BF388" s="20" t="n">
        <v>46044.125</v>
      </c>
      <c r="BG388" s="20" t="n">
        <v>46044.5416666088</v>
      </c>
      <c r="BH388" s="20" t="n">
        <v>46044.625</v>
      </c>
    </row>
    <row r="389">
      <c r="A389" s="5">
        <f>A388+1</f>
        <v/>
      </c>
      <c r="B389" s="3">
        <f>-SUMIFS(df_extrato_zig!G:G,df_extrato_zig!E:E,Conciliacao!A389,df_extrato_zig!D:D,"Saque")-SUMIFS(df_extrato_zig!G:G,df_extrato_zig!E:E,Conciliacao!A389,df_extrato_zig!D:D,"Antecipação")</f>
        <v/>
      </c>
      <c r="C389" s="3">
        <f>SUMIFS(df_extrato_zig!E:E,df_extrato_zig!L:L,Conciliacao!A389,df_extrato_zig!F:F,"DINHEIRO")</f>
        <v/>
      </c>
      <c r="D389" s="3">
        <f>SUMIFS(view_parc_agrup!H:H,view_parc_agrup!G:G,Conciliacao!A389)</f>
        <v/>
      </c>
      <c r="E389" s="3">
        <f>SUMIFS(df_eventos!F:F,df_eventos!H:H,Conciliacao!A389)</f>
        <v/>
      </c>
      <c r="F389" s="3">
        <f>SUMIFS(df_mutuos!M:M,df_mutuos!B:B,Conciliacao!A389)</f>
        <v/>
      </c>
      <c r="G389" s="6">
        <f>SUMIFS(df_bloqueios_judiciais!G:G,df_bloqueios_judiciais!D:D,Conciliacao!A389,df_bloqueios_judiciais!G:G,"&gt;0")</f>
        <v/>
      </c>
      <c r="H389" s="7">
        <f>SUMIFS(df_extratos!I:I,df_extratos!F:F,Conciliacao!BE389,df_extratos!G:G,"CREDITO")+SUMIFS(df_extratos!I:I,df_extratos!F:F,Conciliacao!A389,df_extratos!G:G,"CREDITO")+SUMIFS(df_extratos!I:I,df_extratos!F:F,Conciliacao!BF389,df_extratos!G:G,"CREDITO")+SUMIFS(df_extratos!I:I,df_extratos!F:F,Conciliacao!BG389,df_extratos!G:G,"CREDITO")+SUMIFS(df_extratos!I:I,df_extratos!F:F,Conciliacao!BH389,df_extratos!G:G,"CREDITO")</f>
        <v/>
      </c>
      <c r="I389" s="9">
        <f>H389-SUM(B389:G389)</f>
        <v/>
      </c>
      <c r="J389" s="4">
        <f>SUMIFS(df_blueme_sem_parcelamento!E:E,df_blueme_sem_parcelamento!H:H,Conciliacao!A389)*(-1)</f>
        <v/>
      </c>
      <c r="K389" s="4">
        <f>SUMIFS(df_blueme_com_parcelamento!J:J,df_blueme_com_parcelamento!M:M,Conciliacao!A389)*(-1)</f>
        <v/>
      </c>
      <c r="L389" s="4">
        <f>SUMIFS(df_mutuos!N:N,df_mutuos!B:B,Conciliacao!A389)*(-1)</f>
        <v/>
      </c>
      <c r="M389" s="8">
        <f>SUMIFS(df_bloqueios_judiciais!G:G,df_bloqueios_judiciais!D:D,Conciliacao!A389,df_bloqueios_judiciais!G:G,"&lt;0")</f>
        <v/>
      </c>
      <c r="N389" s="10">
        <f>SUMIFS(df_extratos!I:I,df_extratos!F:F,Conciliacao!BE389,df_extratos!G:G,"DEBITO")+SUMIFS(df_extratos!I:I,df_extratos!F:F,Conciliacao!A389,df_extratos!G:G,"DEBITO")+SUMIFS(df_extratos!I:I,df_extratos!F:F,Conciliacao!BF389,df_extratos!G:G,"DEBITO")+SUMIFS(df_extratos!I:I,df_extratos!F:F,Conciliacao!BG389,df_extratos!G:G,"DEBITO")+SUMIFS(df_extratos!I:I,df_extratos!F:F,Conciliacao!BH389,df_extratos!G:G,"DEBITO")</f>
        <v/>
      </c>
      <c r="O389" s="11">
        <f>N389-SUM(J389:M389)</f>
        <v/>
      </c>
      <c r="P389" s="25">
        <f>SUMIFS(df_ajustes_conciliaco!D:D,df_ajustes_conciliaco!C:C,Conciliacao!A389)</f>
        <v/>
      </c>
      <c r="Q389" s="22">
        <f>O389+I389-P389</f>
        <v/>
      </c>
      <c r="BE389" s="20" t="n">
        <v>46045.5</v>
      </c>
      <c r="BF389" s="20" t="n">
        <v>46045.125</v>
      </c>
      <c r="BG389" s="20" t="n">
        <v>46045.5416666088</v>
      </c>
      <c r="BH389" s="20" t="n">
        <v>46045.625</v>
      </c>
    </row>
    <row r="390">
      <c r="A390" s="5">
        <f>A389+1</f>
        <v/>
      </c>
      <c r="B390" s="3">
        <f>-SUMIFS(df_extrato_zig!G:G,df_extrato_zig!E:E,Conciliacao!A390,df_extrato_zig!D:D,"Saque")-SUMIFS(df_extrato_zig!G:G,df_extrato_zig!E:E,Conciliacao!A390,df_extrato_zig!D:D,"Antecipação")</f>
        <v/>
      </c>
      <c r="C390" s="3">
        <f>SUMIFS(df_extrato_zig!E:E,df_extrato_zig!L:L,Conciliacao!A390,df_extrato_zig!F:F,"DINHEIRO")</f>
        <v/>
      </c>
      <c r="D390" s="3">
        <f>SUMIFS(view_parc_agrup!H:H,view_parc_agrup!G:G,Conciliacao!A390)</f>
        <v/>
      </c>
      <c r="E390" s="3">
        <f>SUMIFS(df_eventos!F:F,df_eventos!H:H,Conciliacao!A390)</f>
        <v/>
      </c>
      <c r="F390" s="3">
        <f>SUMIFS(df_mutuos!M:M,df_mutuos!B:B,Conciliacao!A390)</f>
        <v/>
      </c>
      <c r="G390" s="6">
        <f>SUMIFS(df_bloqueios_judiciais!G:G,df_bloqueios_judiciais!D:D,Conciliacao!A390,df_bloqueios_judiciais!G:G,"&gt;0")</f>
        <v/>
      </c>
      <c r="H390" s="7">
        <f>SUMIFS(df_extratos!I:I,df_extratos!F:F,Conciliacao!BE390,df_extratos!G:G,"CREDITO")+SUMIFS(df_extratos!I:I,df_extratos!F:F,Conciliacao!A390,df_extratos!G:G,"CREDITO")+SUMIFS(df_extratos!I:I,df_extratos!F:F,Conciliacao!BF390,df_extratos!G:G,"CREDITO")+SUMIFS(df_extratos!I:I,df_extratos!F:F,Conciliacao!BG390,df_extratos!G:G,"CREDITO")+SUMIFS(df_extratos!I:I,df_extratos!F:F,Conciliacao!BH390,df_extratos!G:G,"CREDITO")</f>
        <v/>
      </c>
      <c r="I390" s="9">
        <f>H390-SUM(B390:G390)</f>
        <v/>
      </c>
      <c r="J390" s="4">
        <f>SUMIFS(df_blueme_sem_parcelamento!E:E,df_blueme_sem_parcelamento!H:H,Conciliacao!A390)*(-1)</f>
        <v/>
      </c>
      <c r="K390" s="4">
        <f>SUMIFS(df_blueme_com_parcelamento!J:J,df_blueme_com_parcelamento!M:M,Conciliacao!A390)*(-1)</f>
        <v/>
      </c>
      <c r="L390" s="4">
        <f>SUMIFS(df_mutuos!N:N,df_mutuos!B:B,Conciliacao!A390)*(-1)</f>
        <v/>
      </c>
      <c r="M390" s="8">
        <f>SUMIFS(df_bloqueios_judiciais!G:G,df_bloqueios_judiciais!D:D,Conciliacao!A390,df_bloqueios_judiciais!G:G,"&lt;0")</f>
        <v/>
      </c>
      <c r="N390" s="10">
        <f>SUMIFS(df_extratos!I:I,df_extratos!F:F,Conciliacao!BE390,df_extratos!G:G,"DEBITO")+SUMIFS(df_extratos!I:I,df_extratos!F:F,Conciliacao!A390,df_extratos!G:G,"DEBITO")+SUMIFS(df_extratos!I:I,df_extratos!F:F,Conciliacao!BF390,df_extratos!G:G,"DEBITO")+SUMIFS(df_extratos!I:I,df_extratos!F:F,Conciliacao!BG390,df_extratos!G:G,"DEBITO")+SUMIFS(df_extratos!I:I,df_extratos!F:F,Conciliacao!BH390,df_extratos!G:G,"DEBITO")</f>
        <v/>
      </c>
      <c r="O390" s="11">
        <f>N390-SUM(J390:M390)</f>
        <v/>
      </c>
      <c r="P390" s="25">
        <f>SUMIFS(df_ajustes_conciliaco!D:D,df_ajustes_conciliaco!C:C,Conciliacao!A390)</f>
        <v/>
      </c>
      <c r="Q390" s="22">
        <f>O390+I390-P390</f>
        <v/>
      </c>
      <c r="BE390" s="20" t="n">
        <v>46046.5</v>
      </c>
      <c r="BF390" s="20" t="n">
        <v>46046.125</v>
      </c>
      <c r="BG390" s="20" t="n">
        <v>46046.5416666088</v>
      </c>
      <c r="BH390" s="20" t="n">
        <v>46046.625</v>
      </c>
    </row>
    <row r="391">
      <c r="A391" s="5">
        <f>A390+1</f>
        <v/>
      </c>
      <c r="B391" s="3">
        <f>-SUMIFS(df_extrato_zig!G:G,df_extrato_zig!E:E,Conciliacao!A391,df_extrato_zig!D:D,"Saque")-SUMIFS(df_extrato_zig!G:G,df_extrato_zig!E:E,Conciliacao!A391,df_extrato_zig!D:D,"Antecipação")</f>
        <v/>
      </c>
      <c r="C391" s="3">
        <f>SUMIFS(df_extrato_zig!E:E,df_extrato_zig!L:L,Conciliacao!A391,df_extrato_zig!F:F,"DINHEIRO")</f>
        <v/>
      </c>
      <c r="D391" s="3">
        <f>SUMIFS(view_parc_agrup!H:H,view_parc_agrup!G:G,Conciliacao!A391)</f>
        <v/>
      </c>
      <c r="E391" s="3">
        <f>SUMIFS(df_eventos!F:F,df_eventos!H:H,Conciliacao!A391)</f>
        <v/>
      </c>
      <c r="F391" s="3">
        <f>SUMIFS(df_mutuos!M:M,df_mutuos!B:B,Conciliacao!A391)</f>
        <v/>
      </c>
      <c r="G391" s="6">
        <f>SUMIFS(df_bloqueios_judiciais!G:G,df_bloqueios_judiciais!D:D,Conciliacao!A391,df_bloqueios_judiciais!G:G,"&gt;0")</f>
        <v/>
      </c>
      <c r="H391" s="7">
        <f>SUMIFS(df_extratos!I:I,df_extratos!F:F,Conciliacao!BE391,df_extratos!G:G,"CREDITO")+SUMIFS(df_extratos!I:I,df_extratos!F:F,Conciliacao!A391,df_extratos!G:G,"CREDITO")+SUMIFS(df_extratos!I:I,df_extratos!F:F,Conciliacao!BF391,df_extratos!G:G,"CREDITO")+SUMIFS(df_extratos!I:I,df_extratos!F:F,Conciliacao!BG391,df_extratos!G:G,"CREDITO")+SUMIFS(df_extratos!I:I,df_extratos!F:F,Conciliacao!BH391,df_extratos!G:G,"CREDITO")</f>
        <v/>
      </c>
      <c r="I391" s="9">
        <f>H391-SUM(B391:G391)</f>
        <v/>
      </c>
      <c r="J391" s="4">
        <f>SUMIFS(df_blueme_sem_parcelamento!E:E,df_blueme_sem_parcelamento!H:H,Conciliacao!A391)*(-1)</f>
        <v/>
      </c>
      <c r="K391" s="4">
        <f>SUMIFS(df_blueme_com_parcelamento!J:J,df_blueme_com_parcelamento!M:M,Conciliacao!A391)*(-1)</f>
        <v/>
      </c>
      <c r="L391" s="4">
        <f>SUMIFS(df_mutuos!N:N,df_mutuos!B:B,Conciliacao!A391)*(-1)</f>
        <v/>
      </c>
      <c r="M391" s="8">
        <f>SUMIFS(df_bloqueios_judiciais!G:G,df_bloqueios_judiciais!D:D,Conciliacao!A391,df_bloqueios_judiciais!G:G,"&lt;0")</f>
        <v/>
      </c>
      <c r="N391" s="10">
        <f>SUMIFS(df_extratos!I:I,df_extratos!F:F,Conciliacao!BE391,df_extratos!G:G,"DEBITO")+SUMIFS(df_extratos!I:I,df_extratos!F:F,Conciliacao!A391,df_extratos!G:G,"DEBITO")+SUMIFS(df_extratos!I:I,df_extratos!F:F,Conciliacao!BF391,df_extratos!G:G,"DEBITO")+SUMIFS(df_extratos!I:I,df_extratos!F:F,Conciliacao!BG391,df_extratos!G:G,"DEBITO")+SUMIFS(df_extratos!I:I,df_extratos!F:F,Conciliacao!BH391,df_extratos!G:G,"DEBITO")</f>
        <v/>
      </c>
      <c r="O391" s="11">
        <f>N391-SUM(J391:M391)</f>
        <v/>
      </c>
      <c r="P391" s="25">
        <f>SUMIFS(df_ajustes_conciliaco!D:D,df_ajustes_conciliaco!C:C,Conciliacao!A391)</f>
        <v/>
      </c>
      <c r="Q391" s="22">
        <f>O391+I391-P391</f>
        <v/>
      </c>
      <c r="BE391" s="20" t="n">
        <v>46047.5</v>
      </c>
      <c r="BF391" s="20" t="n">
        <v>46047.125</v>
      </c>
      <c r="BG391" s="20" t="n">
        <v>46047.5416666088</v>
      </c>
      <c r="BH391" s="20" t="n">
        <v>46047.625</v>
      </c>
    </row>
    <row r="392">
      <c r="A392" s="5">
        <f>A391+1</f>
        <v/>
      </c>
      <c r="B392" s="3">
        <f>-SUMIFS(df_extrato_zig!G:G,df_extrato_zig!E:E,Conciliacao!A392,df_extrato_zig!D:D,"Saque")-SUMIFS(df_extrato_zig!G:G,df_extrato_zig!E:E,Conciliacao!A392,df_extrato_zig!D:D,"Antecipação")</f>
        <v/>
      </c>
      <c r="C392" s="3">
        <f>SUMIFS(df_extrato_zig!E:E,df_extrato_zig!L:L,Conciliacao!A392,df_extrato_zig!F:F,"DINHEIRO")</f>
        <v/>
      </c>
      <c r="D392" s="3">
        <f>SUMIFS(view_parc_agrup!H:H,view_parc_agrup!G:G,Conciliacao!A392)</f>
        <v/>
      </c>
      <c r="E392" s="3">
        <f>SUMIFS(df_eventos!F:F,df_eventos!H:H,Conciliacao!A392)</f>
        <v/>
      </c>
      <c r="F392" s="3">
        <f>SUMIFS(df_mutuos!M:M,df_mutuos!B:B,Conciliacao!A392)</f>
        <v/>
      </c>
      <c r="G392" s="6">
        <f>SUMIFS(df_bloqueios_judiciais!G:G,df_bloqueios_judiciais!D:D,Conciliacao!A392,df_bloqueios_judiciais!G:G,"&gt;0")</f>
        <v/>
      </c>
      <c r="H392" s="7">
        <f>SUMIFS(df_extratos!I:I,df_extratos!F:F,Conciliacao!BE392,df_extratos!G:G,"CREDITO")+SUMIFS(df_extratos!I:I,df_extratos!F:F,Conciliacao!A392,df_extratos!G:G,"CREDITO")+SUMIFS(df_extratos!I:I,df_extratos!F:F,Conciliacao!BF392,df_extratos!G:G,"CREDITO")+SUMIFS(df_extratos!I:I,df_extratos!F:F,Conciliacao!BG392,df_extratos!G:G,"CREDITO")+SUMIFS(df_extratos!I:I,df_extratos!F:F,Conciliacao!BH392,df_extratos!G:G,"CREDITO")</f>
        <v/>
      </c>
      <c r="I392" s="9">
        <f>H392-SUM(B392:G392)</f>
        <v/>
      </c>
      <c r="J392" s="4">
        <f>SUMIFS(df_blueme_sem_parcelamento!E:E,df_blueme_sem_parcelamento!H:H,Conciliacao!A392)*(-1)</f>
        <v/>
      </c>
      <c r="K392" s="4">
        <f>SUMIFS(df_blueme_com_parcelamento!J:J,df_blueme_com_parcelamento!M:M,Conciliacao!A392)*(-1)</f>
        <v/>
      </c>
      <c r="L392" s="4">
        <f>SUMIFS(df_mutuos!N:N,df_mutuos!B:B,Conciliacao!A392)*(-1)</f>
        <v/>
      </c>
      <c r="M392" s="8">
        <f>SUMIFS(df_bloqueios_judiciais!G:G,df_bloqueios_judiciais!D:D,Conciliacao!A392,df_bloqueios_judiciais!G:G,"&lt;0")</f>
        <v/>
      </c>
      <c r="N392" s="10">
        <f>SUMIFS(df_extratos!I:I,df_extratos!F:F,Conciliacao!BE392,df_extratos!G:G,"DEBITO")+SUMIFS(df_extratos!I:I,df_extratos!F:F,Conciliacao!A392,df_extratos!G:G,"DEBITO")+SUMIFS(df_extratos!I:I,df_extratos!F:F,Conciliacao!BF392,df_extratos!G:G,"DEBITO")+SUMIFS(df_extratos!I:I,df_extratos!F:F,Conciliacao!BG392,df_extratos!G:G,"DEBITO")+SUMIFS(df_extratos!I:I,df_extratos!F:F,Conciliacao!BH392,df_extratos!G:G,"DEBITO")</f>
        <v/>
      </c>
      <c r="O392" s="11">
        <f>N392-SUM(J392:M392)</f>
        <v/>
      </c>
      <c r="P392" s="25">
        <f>SUMIFS(df_ajustes_conciliaco!D:D,df_ajustes_conciliaco!C:C,Conciliacao!A392)</f>
        <v/>
      </c>
      <c r="Q392" s="22">
        <f>O392+I392-P392</f>
        <v/>
      </c>
      <c r="BE392" s="20" t="n">
        <v>46048.5</v>
      </c>
      <c r="BF392" s="20" t="n">
        <v>46048.125</v>
      </c>
      <c r="BG392" s="20" t="n">
        <v>46048.5416666088</v>
      </c>
      <c r="BH392" s="20" t="n">
        <v>46048.625</v>
      </c>
    </row>
    <row r="393">
      <c r="A393" s="5">
        <f>A392+1</f>
        <v/>
      </c>
      <c r="B393" s="3">
        <f>-SUMIFS(df_extrato_zig!G:G,df_extrato_zig!E:E,Conciliacao!A393,df_extrato_zig!D:D,"Saque")-SUMIFS(df_extrato_zig!G:G,df_extrato_zig!E:E,Conciliacao!A393,df_extrato_zig!D:D,"Antecipação")</f>
        <v/>
      </c>
      <c r="C393" s="3">
        <f>SUMIFS(df_extrato_zig!E:E,df_extrato_zig!L:L,Conciliacao!A393,df_extrato_zig!F:F,"DINHEIRO")</f>
        <v/>
      </c>
      <c r="D393" s="3">
        <f>SUMIFS(view_parc_agrup!H:H,view_parc_agrup!G:G,Conciliacao!A393)</f>
        <v/>
      </c>
      <c r="E393" s="3">
        <f>SUMIFS(df_eventos!F:F,df_eventos!H:H,Conciliacao!A393)</f>
        <v/>
      </c>
      <c r="F393" s="3">
        <f>SUMIFS(df_mutuos!M:M,df_mutuos!B:B,Conciliacao!A393)</f>
        <v/>
      </c>
      <c r="G393" s="6">
        <f>SUMIFS(df_bloqueios_judiciais!G:G,df_bloqueios_judiciais!D:D,Conciliacao!A393,df_bloqueios_judiciais!G:G,"&gt;0")</f>
        <v/>
      </c>
      <c r="H393" s="7">
        <f>SUMIFS(df_extratos!I:I,df_extratos!F:F,Conciliacao!BE393,df_extratos!G:G,"CREDITO")+SUMIFS(df_extratos!I:I,df_extratos!F:F,Conciliacao!A393,df_extratos!G:G,"CREDITO")+SUMIFS(df_extratos!I:I,df_extratos!F:F,Conciliacao!BF393,df_extratos!G:G,"CREDITO")+SUMIFS(df_extratos!I:I,df_extratos!F:F,Conciliacao!BG393,df_extratos!G:G,"CREDITO")+SUMIFS(df_extratos!I:I,df_extratos!F:F,Conciliacao!BH393,df_extratos!G:G,"CREDITO")</f>
        <v/>
      </c>
      <c r="I393" s="9">
        <f>H393-SUM(B393:G393)</f>
        <v/>
      </c>
      <c r="J393" s="4">
        <f>SUMIFS(df_blueme_sem_parcelamento!E:E,df_blueme_sem_parcelamento!H:H,Conciliacao!A393)*(-1)</f>
        <v/>
      </c>
      <c r="K393" s="4">
        <f>SUMIFS(df_blueme_com_parcelamento!J:J,df_blueme_com_parcelamento!M:M,Conciliacao!A393)*(-1)</f>
        <v/>
      </c>
      <c r="L393" s="4">
        <f>SUMIFS(df_mutuos!N:N,df_mutuos!B:B,Conciliacao!A393)*(-1)</f>
        <v/>
      </c>
      <c r="M393" s="8">
        <f>SUMIFS(df_bloqueios_judiciais!G:G,df_bloqueios_judiciais!D:D,Conciliacao!A393,df_bloqueios_judiciais!G:G,"&lt;0")</f>
        <v/>
      </c>
      <c r="N393" s="10">
        <f>SUMIFS(df_extratos!I:I,df_extratos!F:F,Conciliacao!BE393,df_extratos!G:G,"DEBITO")+SUMIFS(df_extratos!I:I,df_extratos!F:F,Conciliacao!A393,df_extratos!G:G,"DEBITO")+SUMIFS(df_extratos!I:I,df_extratos!F:F,Conciliacao!BF393,df_extratos!G:G,"DEBITO")+SUMIFS(df_extratos!I:I,df_extratos!F:F,Conciliacao!BG393,df_extratos!G:G,"DEBITO")+SUMIFS(df_extratos!I:I,df_extratos!F:F,Conciliacao!BH393,df_extratos!G:G,"DEBITO")</f>
        <v/>
      </c>
      <c r="O393" s="11">
        <f>N393-SUM(J393:M393)</f>
        <v/>
      </c>
      <c r="P393" s="25">
        <f>SUMIFS(df_ajustes_conciliaco!D:D,df_ajustes_conciliaco!C:C,Conciliacao!A393)</f>
        <v/>
      </c>
      <c r="Q393" s="22">
        <f>O393+I393-P393</f>
        <v/>
      </c>
      <c r="BE393" s="20" t="n">
        <v>46049.5</v>
      </c>
      <c r="BF393" s="20" t="n">
        <v>46049.125</v>
      </c>
      <c r="BG393" s="20" t="n">
        <v>46049.5416666088</v>
      </c>
      <c r="BH393" s="20" t="n">
        <v>46049.625</v>
      </c>
    </row>
    <row r="394">
      <c r="A394" s="5">
        <f>A393+1</f>
        <v/>
      </c>
      <c r="B394" s="3">
        <f>-SUMIFS(df_extrato_zig!G:G,df_extrato_zig!E:E,Conciliacao!A394,df_extrato_zig!D:D,"Saque")-SUMIFS(df_extrato_zig!G:G,df_extrato_zig!E:E,Conciliacao!A394,df_extrato_zig!D:D,"Antecipação")</f>
        <v/>
      </c>
      <c r="C394" s="3">
        <f>SUMIFS(df_extrato_zig!E:E,df_extrato_zig!L:L,Conciliacao!A394,df_extrato_zig!F:F,"DINHEIRO")</f>
        <v/>
      </c>
      <c r="D394" s="3">
        <f>SUMIFS(view_parc_agrup!H:H,view_parc_agrup!G:G,Conciliacao!A394)</f>
        <v/>
      </c>
      <c r="E394" s="3">
        <f>SUMIFS(df_eventos!F:F,df_eventos!H:H,Conciliacao!A394)</f>
        <v/>
      </c>
      <c r="F394" s="3">
        <f>SUMIFS(df_mutuos!M:M,df_mutuos!B:B,Conciliacao!A394)</f>
        <v/>
      </c>
      <c r="G394" s="6">
        <f>SUMIFS(df_bloqueios_judiciais!G:G,df_bloqueios_judiciais!D:D,Conciliacao!A394,df_bloqueios_judiciais!G:G,"&gt;0")</f>
        <v/>
      </c>
      <c r="H394" s="7">
        <f>SUMIFS(df_extratos!I:I,df_extratos!F:F,Conciliacao!BE394,df_extratos!G:G,"CREDITO")+SUMIFS(df_extratos!I:I,df_extratos!F:F,Conciliacao!A394,df_extratos!G:G,"CREDITO")+SUMIFS(df_extratos!I:I,df_extratos!F:F,Conciliacao!BF394,df_extratos!G:G,"CREDITO")+SUMIFS(df_extratos!I:I,df_extratos!F:F,Conciliacao!BG394,df_extratos!G:G,"CREDITO")+SUMIFS(df_extratos!I:I,df_extratos!F:F,Conciliacao!BH394,df_extratos!G:G,"CREDITO")</f>
        <v/>
      </c>
      <c r="I394" s="9">
        <f>H394-SUM(B394:G394)</f>
        <v/>
      </c>
      <c r="J394" s="4">
        <f>SUMIFS(df_blueme_sem_parcelamento!E:E,df_blueme_sem_parcelamento!H:H,Conciliacao!A394)*(-1)</f>
        <v/>
      </c>
      <c r="K394" s="4">
        <f>SUMIFS(df_blueme_com_parcelamento!J:J,df_blueme_com_parcelamento!M:M,Conciliacao!A394)*(-1)</f>
        <v/>
      </c>
      <c r="L394" s="4">
        <f>SUMIFS(df_mutuos!N:N,df_mutuos!B:B,Conciliacao!A394)*(-1)</f>
        <v/>
      </c>
      <c r="M394" s="8">
        <f>SUMIFS(df_bloqueios_judiciais!G:G,df_bloqueios_judiciais!D:D,Conciliacao!A394,df_bloqueios_judiciais!G:G,"&lt;0")</f>
        <v/>
      </c>
      <c r="N394" s="10">
        <f>SUMIFS(df_extratos!I:I,df_extratos!F:F,Conciliacao!BE394,df_extratos!G:G,"DEBITO")+SUMIFS(df_extratos!I:I,df_extratos!F:F,Conciliacao!A394,df_extratos!G:G,"DEBITO")+SUMIFS(df_extratos!I:I,df_extratos!F:F,Conciliacao!BF394,df_extratos!G:G,"DEBITO")+SUMIFS(df_extratos!I:I,df_extratos!F:F,Conciliacao!BG394,df_extratos!G:G,"DEBITO")+SUMIFS(df_extratos!I:I,df_extratos!F:F,Conciliacao!BH394,df_extratos!G:G,"DEBITO")</f>
        <v/>
      </c>
      <c r="O394" s="11">
        <f>N394-SUM(J394:M394)</f>
        <v/>
      </c>
      <c r="P394" s="25">
        <f>SUMIFS(df_ajustes_conciliaco!D:D,df_ajustes_conciliaco!C:C,Conciliacao!A394)</f>
        <v/>
      </c>
      <c r="Q394" s="22">
        <f>O394+I394-P394</f>
        <v/>
      </c>
      <c r="BE394" s="20" t="n">
        <v>46050.5</v>
      </c>
      <c r="BF394" s="20" t="n">
        <v>46050.125</v>
      </c>
      <c r="BG394" s="20" t="n">
        <v>46050.5416666088</v>
      </c>
      <c r="BH394" s="20" t="n">
        <v>46050.625</v>
      </c>
    </row>
    <row r="395">
      <c r="A395" s="5">
        <f>A394+1</f>
        <v/>
      </c>
      <c r="B395" s="3">
        <f>-SUMIFS(df_extrato_zig!G:G,df_extrato_zig!E:E,Conciliacao!A395,df_extrato_zig!D:D,"Saque")-SUMIFS(df_extrato_zig!G:G,df_extrato_zig!E:E,Conciliacao!A395,df_extrato_zig!D:D,"Antecipação")</f>
        <v/>
      </c>
      <c r="C395" s="3">
        <f>SUMIFS(df_extrato_zig!E:E,df_extrato_zig!L:L,Conciliacao!A395,df_extrato_zig!F:F,"DINHEIRO")</f>
        <v/>
      </c>
      <c r="D395" s="3">
        <f>SUMIFS(view_parc_agrup!H:H,view_parc_agrup!G:G,Conciliacao!A395)</f>
        <v/>
      </c>
      <c r="E395" s="3">
        <f>SUMIFS(df_eventos!F:F,df_eventos!H:H,Conciliacao!A395)</f>
        <v/>
      </c>
      <c r="F395" s="3">
        <f>SUMIFS(df_mutuos!M:M,df_mutuos!B:B,Conciliacao!A395)</f>
        <v/>
      </c>
      <c r="G395" s="6">
        <f>SUMIFS(df_bloqueios_judiciais!G:G,df_bloqueios_judiciais!D:D,Conciliacao!A395,df_bloqueios_judiciais!G:G,"&gt;0")</f>
        <v/>
      </c>
      <c r="H395" s="7">
        <f>SUMIFS(df_extratos!I:I,df_extratos!F:F,Conciliacao!BE395,df_extratos!G:G,"CREDITO")+SUMIFS(df_extratos!I:I,df_extratos!F:F,Conciliacao!A395,df_extratos!G:G,"CREDITO")+SUMIFS(df_extratos!I:I,df_extratos!F:F,Conciliacao!BF395,df_extratos!G:G,"CREDITO")+SUMIFS(df_extratos!I:I,df_extratos!F:F,Conciliacao!BG395,df_extratos!G:G,"CREDITO")+SUMIFS(df_extratos!I:I,df_extratos!F:F,Conciliacao!BH395,df_extratos!G:G,"CREDITO")</f>
        <v/>
      </c>
      <c r="I395" s="9">
        <f>H395-SUM(B395:G395)</f>
        <v/>
      </c>
      <c r="J395" s="4">
        <f>SUMIFS(df_blueme_sem_parcelamento!E:E,df_blueme_sem_parcelamento!H:H,Conciliacao!A395)*(-1)</f>
        <v/>
      </c>
      <c r="K395" s="4">
        <f>SUMIFS(df_blueme_com_parcelamento!J:J,df_blueme_com_parcelamento!M:M,Conciliacao!A395)*(-1)</f>
        <v/>
      </c>
      <c r="L395" s="4">
        <f>SUMIFS(df_mutuos!N:N,df_mutuos!B:B,Conciliacao!A395)*(-1)</f>
        <v/>
      </c>
      <c r="M395" s="8">
        <f>SUMIFS(df_bloqueios_judiciais!G:G,df_bloqueios_judiciais!D:D,Conciliacao!A395,df_bloqueios_judiciais!G:G,"&lt;0")</f>
        <v/>
      </c>
      <c r="N395" s="10">
        <f>SUMIFS(df_extratos!I:I,df_extratos!F:F,Conciliacao!BE395,df_extratos!G:G,"DEBITO")+SUMIFS(df_extratos!I:I,df_extratos!F:F,Conciliacao!A395,df_extratos!G:G,"DEBITO")+SUMIFS(df_extratos!I:I,df_extratos!F:F,Conciliacao!BF395,df_extratos!G:G,"DEBITO")+SUMIFS(df_extratos!I:I,df_extratos!F:F,Conciliacao!BG395,df_extratos!G:G,"DEBITO")+SUMIFS(df_extratos!I:I,df_extratos!F:F,Conciliacao!BH395,df_extratos!G:G,"DEBITO")</f>
        <v/>
      </c>
      <c r="O395" s="11">
        <f>N395-SUM(J395:M395)</f>
        <v/>
      </c>
      <c r="P395" s="25">
        <f>SUMIFS(df_ajustes_conciliaco!D:D,df_ajustes_conciliaco!C:C,Conciliacao!A395)</f>
        <v/>
      </c>
      <c r="Q395" s="22">
        <f>O395+I395-P395</f>
        <v/>
      </c>
      <c r="BE395" s="20" t="n">
        <v>46051.5</v>
      </c>
      <c r="BF395" s="20" t="n">
        <v>46051.125</v>
      </c>
      <c r="BG395" s="20" t="n">
        <v>46051.5416666088</v>
      </c>
      <c r="BH395" s="20" t="n">
        <v>46051.625</v>
      </c>
    </row>
    <row r="396">
      <c r="A396" s="5">
        <f>A395+1</f>
        <v/>
      </c>
      <c r="B396" s="3">
        <f>-SUMIFS(df_extrato_zig!G:G,df_extrato_zig!E:E,Conciliacao!A396,df_extrato_zig!D:D,"Saque")-SUMIFS(df_extrato_zig!G:G,df_extrato_zig!E:E,Conciliacao!A396,df_extrato_zig!D:D,"Antecipação")</f>
        <v/>
      </c>
      <c r="C396" s="3">
        <f>SUMIFS(df_extrato_zig!E:E,df_extrato_zig!L:L,Conciliacao!A396,df_extrato_zig!F:F,"DINHEIRO")</f>
        <v/>
      </c>
      <c r="D396" s="3">
        <f>SUMIFS(view_parc_agrup!H:H,view_parc_agrup!G:G,Conciliacao!A396)</f>
        <v/>
      </c>
      <c r="E396" s="3">
        <f>SUMIFS(df_eventos!F:F,df_eventos!H:H,Conciliacao!A396)</f>
        <v/>
      </c>
      <c r="F396" s="3">
        <f>SUMIFS(df_mutuos!M:M,df_mutuos!B:B,Conciliacao!A396)</f>
        <v/>
      </c>
      <c r="G396" s="6">
        <f>SUMIFS(df_bloqueios_judiciais!G:G,df_bloqueios_judiciais!D:D,Conciliacao!A396,df_bloqueios_judiciais!G:G,"&gt;0")</f>
        <v/>
      </c>
      <c r="H396" s="7">
        <f>SUMIFS(df_extratos!I:I,df_extratos!F:F,Conciliacao!BE396,df_extratos!G:G,"CREDITO")+SUMIFS(df_extratos!I:I,df_extratos!F:F,Conciliacao!A396,df_extratos!G:G,"CREDITO")+SUMIFS(df_extratos!I:I,df_extratos!F:F,Conciliacao!BF396,df_extratos!G:G,"CREDITO")+SUMIFS(df_extratos!I:I,df_extratos!F:F,Conciliacao!BG396,df_extratos!G:G,"CREDITO")+SUMIFS(df_extratos!I:I,df_extratos!F:F,Conciliacao!BH396,df_extratos!G:G,"CREDITO")</f>
        <v/>
      </c>
      <c r="I396" s="9">
        <f>H396-SUM(B396:G396)</f>
        <v/>
      </c>
      <c r="J396" s="4">
        <f>SUMIFS(df_blueme_sem_parcelamento!E:E,df_blueme_sem_parcelamento!H:H,Conciliacao!A396)*(-1)</f>
        <v/>
      </c>
      <c r="K396" s="4">
        <f>SUMIFS(df_blueme_com_parcelamento!J:J,df_blueme_com_parcelamento!M:M,Conciliacao!A396)*(-1)</f>
        <v/>
      </c>
      <c r="L396" s="4">
        <f>SUMIFS(df_mutuos!N:N,df_mutuos!B:B,Conciliacao!A396)*(-1)</f>
        <v/>
      </c>
      <c r="M396" s="8">
        <f>SUMIFS(df_bloqueios_judiciais!G:G,df_bloqueios_judiciais!D:D,Conciliacao!A396,df_bloqueios_judiciais!G:G,"&lt;0")</f>
        <v/>
      </c>
      <c r="N396" s="10">
        <f>SUMIFS(df_extratos!I:I,df_extratos!F:F,Conciliacao!BE396,df_extratos!G:G,"DEBITO")+SUMIFS(df_extratos!I:I,df_extratos!F:F,Conciliacao!A396,df_extratos!G:G,"DEBITO")+SUMIFS(df_extratos!I:I,df_extratos!F:F,Conciliacao!BF396,df_extratos!G:G,"DEBITO")+SUMIFS(df_extratos!I:I,df_extratos!F:F,Conciliacao!BG396,df_extratos!G:G,"DEBITO")+SUMIFS(df_extratos!I:I,df_extratos!F:F,Conciliacao!BH396,df_extratos!G:G,"DEBITO")</f>
        <v/>
      </c>
      <c r="O396" s="11">
        <f>N396-SUM(J396:M396)</f>
        <v/>
      </c>
      <c r="P396" s="25">
        <f>SUMIFS(df_ajustes_conciliaco!D:D,df_ajustes_conciliaco!C:C,Conciliacao!A396)</f>
        <v/>
      </c>
      <c r="Q396" s="22">
        <f>O396+I396-P396</f>
        <v/>
      </c>
      <c r="BE396" s="20" t="n">
        <v>46052.5</v>
      </c>
      <c r="BF396" s="20" t="n">
        <v>46052.125</v>
      </c>
      <c r="BG396" s="20" t="n">
        <v>46052.5416666088</v>
      </c>
      <c r="BH396" s="20" t="n">
        <v>46052.625</v>
      </c>
    </row>
    <row r="397">
      <c r="A397" s="5">
        <f>A396+1</f>
        <v/>
      </c>
      <c r="B397" s="3">
        <f>-SUMIFS(df_extrato_zig!G:G,df_extrato_zig!E:E,Conciliacao!A397,df_extrato_zig!D:D,"Saque")-SUMIFS(df_extrato_zig!G:G,df_extrato_zig!E:E,Conciliacao!A397,df_extrato_zig!D:D,"Antecipação")</f>
        <v/>
      </c>
      <c r="C397" s="3">
        <f>SUMIFS(df_extrato_zig!E:E,df_extrato_zig!L:L,Conciliacao!A397,df_extrato_zig!F:F,"DINHEIRO")</f>
        <v/>
      </c>
      <c r="D397" s="3">
        <f>SUMIFS(view_parc_agrup!H:H,view_parc_agrup!G:G,Conciliacao!A397)</f>
        <v/>
      </c>
      <c r="E397" s="3">
        <f>SUMIFS(df_eventos!F:F,df_eventos!H:H,Conciliacao!A397)</f>
        <v/>
      </c>
      <c r="F397" s="3">
        <f>SUMIFS(df_mutuos!M:M,df_mutuos!B:B,Conciliacao!A397)</f>
        <v/>
      </c>
      <c r="G397" s="6">
        <f>SUMIFS(df_bloqueios_judiciais!G:G,df_bloqueios_judiciais!D:D,Conciliacao!A397,df_bloqueios_judiciais!G:G,"&gt;0")</f>
        <v/>
      </c>
      <c r="H397" s="7">
        <f>SUMIFS(df_extratos!I:I,df_extratos!F:F,Conciliacao!BE397,df_extratos!G:G,"CREDITO")+SUMIFS(df_extratos!I:I,df_extratos!F:F,Conciliacao!A397,df_extratos!G:G,"CREDITO")+SUMIFS(df_extratos!I:I,df_extratos!F:F,Conciliacao!BF397,df_extratos!G:G,"CREDITO")+SUMIFS(df_extratos!I:I,df_extratos!F:F,Conciliacao!BG397,df_extratos!G:G,"CREDITO")+SUMIFS(df_extratos!I:I,df_extratos!F:F,Conciliacao!BH397,df_extratos!G:G,"CREDITO")</f>
        <v/>
      </c>
      <c r="I397" s="9">
        <f>H397-SUM(B397:G397)</f>
        <v/>
      </c>
      <c r="J397" s="4">
        <f>SUMIFS(df_blueme_sem_parcelamento!E:E,df_blueme_sem_parcelamento!H:H,Conciliacao!A397)*(-1)</f>
        <v/>
      </c>
      <c r="K397" s="4">
        <f>SUMIFS(df_blueme_com_parcelamento!J:J,df_blueme_com_parcelamento!M:M,Conciliacao!A397)*(-1)</f>
        <v/>
      </c>
      <c r="L397" s="4">
        <f>SUMIFS(df_mutuos!N:N,df_mutuos!B:B,Conciliacao!A397)*(-1)</f>
        <v/>
      </c>
      <c r="M397" s="8">
        <f>SUMIFS(df_bloqueios_judiciais!G:G,df_bloqueios_judiciais!D:D,Conciliacao!A397,df_bloqueios_judiciais!G:G,"&lt;0")</f>
        <v/>
      </c>
      <c r="N397" s="10">
        <f>SUMIFS(df_extratos!I:I,df_extratos!F:F,Conciliacao!BE397,df_extratos!G:G,"DEBITO")+SUMIFS(df_extratos!I:I,df_extratos!F:F,Conciliacao!A397,df_extratos!G:G,"DEBITO")+SUMIFS(df_extratos!I:I,df_extratos!F:F,Conciliacao!BF397,df_extratos!G:G,"DEBITO")+SUMIFS(df_extratos!I:I,df_extratos!F:F,Conciliacao!BG397,df_extratos!G:G,"DEBITO")+SUMIFS(df_extratos!I:I,df_extratos!F:F,Conciliacao!BH397,df_extratos!G:G,"DEBITO")</f>
        <v/>
      </c>
      <c r="O397" s="11">
        <f>N397-SUM(J397:M397)</f>
        <v/>
      </c>
      <c r="P397" s="25">
        <f>SUMIFS(df_ajustes_conciliaco!D:D,df_ajustes_conciliaco!C:C,Conciliacao!A397)</f>
        <v/>
      </c>
      <c r="Q397" s="22">
        <f>O397+I397-P397</f>
        <v/>
      </c>
      <c r="BE397" s="20" t="n">
        <v>46053.5</v>
      </c>
      <c r="BF397" s="20" t="n">
        <v>46053.125</v>
      </c>
      <c r="BG397" s="20" t="n">
        <v>46053.5416666088</v>
      </c>
      <c r="BH397" s="20" t="n">
        <v>46053.625</v>
      </c>
    </row>
    <row r="398">
      <c r="A398" s="5">
        <f>A397+1</f>
        <v/>
      </c>
      <c r="B398" s="3">
        <f>-SUMIFS(df_extrato_zig!G:G,df_extrato_zig!E:E,Conciliacao!A398,df_extrato_zig!D:D,"Saque")-SUMIFS(df_extrato_zig!G:G,df_extrato_zig!E:E,Conciliacao!A398,df_extrato_zig!D:D,"Antecipação")</f>
        <v/>
      </c>
      <c r="C398" s="3">
        <f>SUMIFS(df_extrato_zig!E:E,df_extrato_zig!L:L,Conciliacao!A398,df_extrato_zig!F:F,"DINHEIRO")</f>
        <v/>
      </c>
      <c r="D398" s="3">
        <f>SUMIFS(view_parc_agrup!H:H,view_parc_agrup!G:G,Conciliacao!A398)</f>
        <v/>
      </c>
      <c r="E398" s="3">
        <f>SUMIFS(df_eventos!F:F,df_eventos!H:H,Conciliacao!A398)</f>
        <v/>
      </c>
      <c r="F398" s="3">
        <f>SUMIFS(df_mutuos!M:M,df_mutuos!B:B,Conciliacao!A398)</f>
        <v/>
      </c>
      <c r="G398" s="6">
        <f>SUMIFS(df_bloqueios_judiciais!G:G,df_bloqueios_judiciais!D:D,Conciliacao!A398,df_bloqueios_judiciais!G:G,"&gt;0")</f>
        <v/>
      </c>
      <c r="H398" s="7">
        <f>SUMIFS(df_extratos!I:I,df_extratos!F:F,Conciliacao!BE398,df_extratos!G:G,"CREDITO")+SUMIFS(df_extratos!I:I,df_extratos!F:F,Conciliacao!A398,df_extratos!G:G,"CREDITO")+SUMIFS(df_extratos!I:I,df_extratos!F:F,Conciliacao!BF398,df_extratos!G:G,"CREDITO")+SUMIFS(df_extratos!I:I,df_extratos!F:F,Conciliacao!BG398,df_extratos!G:G,"CREDITO")+SUMIFS(df_extratos!I:I,df_extratos!F:F,Conciliacao!BH398,df_extratos!G:G,"CREDITO")</f>
        <v/>
      </c>
      <c r="I398" s="9">
        <f>H398-SUM(B398:G398)</f>
        <v/>
      </c>
      <c r="J398" s="4">
        <f>SUMIFS(df_blueme_sem_parcelamento!E:E,df_blueme_sem_parcelamento!H:H,Conciliacao!A398)*(-1)</f>
        <v/>
      </c>
      <c r="K398" s="4">
        <f>SUMIFS(df_blueme_com_parcelamento!J:J,df_blueme_com_parcelamento!M:M,Conciliacao!A398)*(-1)</f>
        <v/>
      </c>
      <c r="L398" s="4">
        <f>SUMIFS(df_mutuos!N:N,df_mutuos!B:B,Conciliacao!A398)*(-1)</f>
        <v/>
      </c>
      <c r="M398" s="8">
        <f>SUMIFS(df_bloqueios_judiciais!G:G,df_bloqueios_judiciais!D:D,Conciliacao!A398,df_bloqueios_judiciais!G:G,"&lt;0")</f>
        <v/>
      </c>
      <c r="N398" s="10">
        <f>SUMIFS(df_extratos!I:I,df_extratos!F:F,Conciliacao!BE398,df_extratos!G:G,"DEBITO")+SUMIFS(df_extratos!I:I,df_extratos!F:F,Conciliacao!A398,df_extratos!G:G,"DEBITO")+SUMIFS(df_extratos!I:I,df_extratos!F:F,Conciliacao!BF398,df_extratos!G:G,"DEBITO")+SUMIFS(df_extratos!I:I,df_extratos!F:F,Conciliacao!BG398,df_extratos!G:G,"DEBITO")+SUMIFS(df_extratos!I:I,df_extratos!F:F,Conciliacao!BH398,df_extratos!G:G,"DEBITO")</f>
        <v/>
      </c>
      <c r="O398" s="11">
        <f>N398-SUM(J398:M398)</f>
        <v/>
      </c>
      <c r="P398" s="25">
        <f>SUMIFS(df_ajustes_conciliaco!D:D,df_ajustes_conciliaco!C:C,Conciliacao!A398)</f>
        <v/>
      </c>
      <c r="Q398" s="22">
        <f>O398+I398-P398</f>
        <v/>
      </c>
      <c r="BE398" s="20" t="n">
        <v>46054.5</v>
      </c>
      <c r="BF398" s="20" t="n">
        <v>46054.125</v>
      </c>
      <c r="BG398" s="20" t="n">
        <v>46054.5416666088</v>
      </c>
      <c r="BH398" s="20" t="n">
        <v>46054.625</v>
      </c>
    </row>
    <row r="399">
      <c r="A399" s="5">
        <f>A398+1</f>
        <v/>
      </c>
      <c r="B399" s="3">
        <f>-SUMIFS(df_extrato_zig!G:G,df_extrato_zig!E:E,Conciliacao!A399,df_extrato_zig!D:D,"Saque")-SUMIFS(df_extrato_zig!G:G,df_extrato_zig!E:E,Conciliacao!A399,df_extrato_zig!D:D,"Antecipação")</f>
        <v/>
      </c>
      <c r="C399" s="3">
        <f>SUMIFS(df_extrato_zig!E:E,df_extrato_zig!L:L,Conciliacao!A399,df_extrato_zig!F:F,"DINHEIRO")</f>
        <v/>
      </c>
      <c r="D399" s="3">
        <f>SUMIFS(view_parc_agrup!H:H,view_parc_agrup!G:G,Conciliacao!A399)</f>
        <v/>
      </c>
      <c r="E399" s="3">
        <f>SUMIFS(df_eventos!F:F,df_eventos!H:H,Conciliacao!A399)</f>
        <v/>
      </c>
      <c r="F399" s="3">
        <f>SUMIFS(df_mutuos!M:M,df_mutuos!B:B,Conciliacao!A399)</f>
        <v/>
      </c>
      <c r="G399" s="6">
        <f>SUMIFS(df_bloqueios_judiciais!G:G,df_bloqueios_judiciais!D:D,Conciliacao!A399,df_bloqueios_judiciais!G:G,"&gt;0")</f>
        <v/>
      </c>
      <c r="H399" s="7">
        <f>SUMIFS(df_extratos!I:I,df_extratos!F:F,Conciliacao!BE399,df_extratos!G:G,"CREDITO")+SUMIFS(df_extratos!I:I,df_extratos!F:F,Conciliacao!A399,df_extratos!G:G,"CREDITO")+SUMIFS(df_extratos!I:I,df_extratos!F:F,Conciliacao!BF399,df_extratos!G:G,"CREDITO")+SUMIFS(df_extratos!I:I,df_extratos!F:F,Conciliacao!BG399,df_extratos!G:G,"CREDITO")+SUMIFS(df_extratos!I:I,df_extratos!F:F,Conciliacao!BH399,df_extratos!G:G,"CREDITO")</f>
        <v/>
      </c>
      <c r="I399" s="9">
        <f>H399-SUM(B399:G399)</f>
        <v/>
      </c>
      <c r="J399" s="4">
        <f>SUMIFS(df_blueme_sem_parcelamento!E:E,df_blueme_sem_parcelamento!H:H,Conciliacao!A399)*(-1)</f>
        <v/>
      </c>
      <c r="K399" s="4">
        <f>SUMIFS(df_blueme_com_parcelamento!J:J,df_blueme_com_parcelamento!M:M,Conciliacao!A399)*(-1)</f>
        <v/>
      </c>
      <c r="L399" s="4">
        <f>SUMIFS(df_mutuos!N:N,df_mutuos!B:B,Conciliacao!A399)*(-1)</f>
        <v/>
      </c>
      <c r="M399" s="8">
        <f>SUMIFS(df_bloqueios_judiciais!G:G,df_bloqueios_judiciais!D:D,Conciliacao!A399,df_bloqueios_judiciais!G:G,"&lt;0")</f>
        <v/>
      </c>
      <c r="N399" s="10">
        <f>SUMIFS(df_extratos!I:I,df_extratos!F:F,Conciliacao!BE399,df_extratos!G:G,"DEBITO")+SUMIFS(df_extratos!I:I,df_extratos!F:F,Conciliacao!A399,df_extratos!G:G,"DEBITO")+SUMIFS(df_extratos!I:I,df_extratos!F:F,Conciliacao!BF399,df_extratos!G:G,"DEBITO")+SUMIFS(df_extratos!I:I,df_extratos!F:F,Conciliacao!BG399,df_extratos!G:G,"DEBITO")+SUMIFS(df_extratos!I:I,df_extratos!F:F,Conciliacao!BH399,df_extratos!G:G,"DEBITO")</f>
        <v/>
      </c>
      <c r="O399" s="11">
        <f>N399-SUM(J399:M399)</f>
        <v/>
      </c>
      <c r="P399" s="25">
        <f>SUMIFS(df_ajustes_conciliaco!D:D,df_ajustes_conciliaco!C:C,Conciliacao!A399)</f>
        <v/>
      </c>
      <c r="Q399" s="22">
        <f>O399+I399-P399</f>
        <v/>
      </c>
      <c r="BE399" s="20" t="n">
        <v>46055.5</v>
      </c>
      <c r="BF399" s="20" t="n">
        <v>46055.125</v>
      </c>
      <c r="BG399" s="20" t="n">
        <v>46055.5416666088</v>
      </c>
      <c r="BH399" s="20" t="n">
        <v>46055.625</v>
      </c>
    </row>
    <row r="400">
      <c r="A400" s="5">
        <f>A399+1</f>
        <v/>
      </c>
      <c r="B400" s="3">
        <f>-SUMIFS(df_extrato_zig!G:G,df_extrato_zig!E:E,Conciliacao!A400,df_extrato_zig!D:D,"Saque")-SUMIFS(df_extrato_zig!G:G,df_extrato_zig!E:E,Conciliacao!A400,df_extrato_zig!D:D,"Antecipação")</f>
        <v/>
      </c>
      <c r="C400" s="3">
        <f>SUMIFS(df_extrato_zig!E:E,df_extrato_zig!L:L,Conciliacao!A400,df_extrato_zig!F:F,"DINHEIRO")</f>
        <v/>
      </c>
      <c r="D400" s="3">
        <f>SUMIFS(view_parc_agrup!H:H,view_parc_agrup!G:G,Conciliacao!A400)</f>
        <v/>
      </c>
      <c r="E400" s="3">
        <f>SUMIFS(df_eventos!F:F,df_eventos!H:H,Conciliacao!A400)</f>
        <v/>
      </c>
      <c r="F400" s="3">
        <f>SUMIFS(df_mutuos!M:M,df_mutuos!B:B,Conciliacao!A400)</f>
        <v/>
      </c>
      <c r="G400" s="6">
        <f>SUMIFS(df_bloqueios_judiciais!G:G,df_bloqueios_judiciais!D:D,Conciliacao!A400,df_bloqueios_judiciais!G:G,"&gt;0")</f>
        <v/>
      </c>
      <c r="H400" s="7">
        <f>SUMIFS(df_extratos!I:I,df_extratos!F:F,Conciliacao!BE400,df_extratos!G:G,"CREDITO")+SUMIFS(df_extratos!I:I,df_extratos!F:F,Conciliacao!A400,df_extratos!G:G,"CREDITO")+SUMIFS(df_extratos!I:I,df_extratos!F:F,Conciliacao!BF400,df_extratos!G:G,"CREDITO")+SUMIFS(df_extratos!I:I,df_extratos!F:F,Conciliacao!BG400,df_extratos!G:G,"CREDITO")+SUMIFS(df_extratos!I:I,df_extratos!F:F,Conciliacao!BH400,df_extratos!G:G,"CREDITO")</f>
        <v/>
      </c>
      <c r="I400" s="9">
        <f>H400-SUM(B400:G400)</f>
        <v/>
      </c>
      <c r="J400" s="4">
        <f>SUMIFS(df_blueme_sem_parcelamento!E:E,df_blueme_sem_parcelamento!H:H,Conciliacao!A400)*(-1)</f>
        <v/>
      </c>
      <c r="K400" s="4">
        <f>SUMIFS(df_blueme_com_parcelamento!J:J,df_blueme_com_parcelamento!M:M,Conciliacao!A400)*(-1)</f>
        <v/>
      </c>
      <c r="L400" s="4">
        <f>SUMIFS(df_mutuos!N:N,df_mutuos!B:B,Conciliacao!A400)*(-1)</f>
        <v/>
      </c>
      <c r="M400" s="8">
        <f>SUMIFS(df_bloqueios_judiciais!G:G,df_bloqueios_judiciais!D:D,Conciliacao!A400,df_bloqueios_judiciais!G:G,"&lt;0")</f>
        <v/>
      </c>
      <c r="N400" s="10">
        <f>SUMIFS(df_extratos!I:I,df_extratos!F:F,Conciliacao!BE400,df_extratos!G:G,"DEBITO")+SUMIFS(df_extratos!I:I,df_extratos!F:F,Conciliacao!A400,df_extratos!G:G,"DEBITO")+SUMIFS(df_extratos!I:I,df_extratos!F:F,Conciliacao!BF400,df_extratos!G:G,"DEBITO")+SUMIFS(df_extratos!I:I,df_extratos!F:F,Conciliacao!BG400,df_extratos!G:G,"DEBITO")+SUMIFS(df_extratos!I:I,df_extratos!F:F,Conciliacao!BH400,df_extratos!G:G,"DEBITO")</f>
        <v/>
      </c>
      <c r="O400" s="11">
        <f>N400-SUM(J400:M400)</f>
        <v/>
      </c>
      <c r="P400" s="25">
        <f>SUMIFS(df_ajustes_conciliaco!D:D,df_ajustes_conciliaco!C:C,Conciliacao!A400)</f>
        <v/>
      </c>
      <c r="Q400" s="22">
        <f>O400+I400-P400</f>
        <v/>
      </c>
      <c r="BE400" s="20" t="n">
        <v>46056.5</v>
      </c>
      <c r="BF400" s="20" t="n">
        <v>46056.125</v>
      </c>
      <c r="BG400" s="20" t="n">
        <v>46056.5416666088</v>
      </c>
      <c r="BH400" s="20" t="n">
        <v>46056.625</v>
      </c>
    </row>
    <row r="401">
      <c r="A401" s="5">
        <f>A400+1</f>
        <v/>
      </c>
      <c r="B401" s="3">
        <f>-SUMIFS(df_extrato_zig!G:G,df_extrato_zig!E:E,Conciliacao!A401,df_extrato_zig!D:D,"Saque")-SUMIFS(df_extrato_zig!G:G,df_extrato_zig!E:E,Conciliacao!A401,df_extrato_zig!D:D,"Antecipação")</f>
        <v/>
      </c>
      <c r="C401" s="3">
        <f>SUMIFS(df_extrato_zig!E:E,df_extrato_zig!L:L,Conciliacao!A401,df_extrato_zig!F:F,"DINHEIRO")</f>
        <v/>
      </c>
      <c r="D401" s="3">
        <f>SUMIFS(view_parc_agrup!H:H,view_parc_agrup!G:G,Conciliacao!A401)</f>
        <v/>
      </c>
      <c r="E401" s="3">
        <f>SUMIFS(df_eventos!F:F,df_eventos!H:H,Conciliacao!A401)</f>
        <v/>
      </c>
      <c r="F401" s="3">
        <f>SUMIFS(df_mutuos!M:M,df_mutuos!B:B,Conciliacao!A401)</f>
        <v/>
      </c>
      <c r="G401" s="6">
        <f>SUMIFS(df_bloqueios_judiciais!G:G,df_bloqueios_judiciais!D:D,Conciliacao!A401,df_bloqueios_judiciais!G:G,"&gt;0")</f>
        <v/>
      </c>
      <c r="H401" s="7">
        <f>SUMIFS(df_extratos!I:I,df_extratos!F:F,Conciliacao!BE401,df_extratos!G:G,"CREDITO")+SUMIFS(df_extratos!I:I,df_extratos!F:F,Conciliacao!A401,df_extratos!G:G,"CREDITO")+SUMIFS(df_extratos!I:I,df_extratos!F:F,Conciliacao!BF401,df_extratos!G:G,"CREDITO")+SUMIFS(df_extratos!I:I,df_extratos!F:F,Conciliacao!BG401,df_extratos!G:G,"CREDITO")+SUMIFS(df_extratos!I:I,df_extratos!F:F,Conciliacao!BH401,df_extratos!G:G,"CREDITO")</f>
        <v/>
      </c>
      <c r="I401" s="9">
        <f>H401-SUM(B401:G401)</f>
        <v/>
      </c>
      <c r="J401" s="4">
        <f>SUMIFS(df_blueme_sem_parcelamento!E:E,df_blueme_sem_parcelamento!H:H,Conciliacao!A401)*(-1)</f>
        <v/>
      </c>
      <c r="K401" s="4">
        <f>SUMIFS(df_blueme_com_parcelamento!J:J,df_blueme_com_parcelamento!M:M,Conciliacao!A401)*(-1)</f>
        <v/>
      </c>
      <c r="L401" s="4">
        <f>SUMIFS(df_mutuos!N:N,df_mutuos!B:B,Conciliacao!A401)*(-1)</f>
        <v/>
      </c>
      <c r="M401" s="8">
        <f>SUMIFS(df_bloqueios_judiciais!G:G,df_bloqueios_judiciais!D:D,Conciliacao!A401,df_bloqueios_judiciais!G:G,"&lt;0")</f>
        <v/>
      </c>
      <c r="N401" s="10">
        <f>SUMIFS(df_extratos!I:I,df_extratos!F:F,Conciliacao!BE401,df_extratos!G:G,"DEBITO")+SUMIFS(df_extratos!I:I,df_extratos!F:F,Conciliacao!A401,df_extratos!G:G,"DEBITO")+SUMIFS(df_extratos!I:I,df_extratos!F:F,Conciliacao!BF401,df_extratos!G:G,"DEBITO")+SUMIFS(df_extratos!I:I,df_extratos!F:F,Conciliacao!BG401,df_extratos!G:G,"DEBITO")+SUMIFS(df_extratos!I:I,df_extratos!F:F,Conciliacao!BH401,df_extratos!G:G,"DEBITO")</f>
        <v/>
      </c>
      <c r="O401" s="11">
        <f>N401-SUM(J401:M401)</f>
        <v/>
      </c>
      <c r="P401" s="25">
        <f>SUMIFS(df_ajustes_conciliaco!D:D,df_ajustes_conciliaco!C:C,Conciliacao!A401)</f>
        <v/>
      </c>
      <c r="Q401" s="22">
        <f>O401+I401-P401</f>
        <v/>
      </c>
      <c r="BE401" s="20" t="n">
        <v>46057.5</v>
      </c>
      <c r="BF401" s="20" t="n">
        <v>46057.125</v>
      </c>
      <c r="BG401" s="20" t="n">
        <v>46057.5416666088</v>
      </c>
      <c r="BH401" s="20" t="n">
        <v>46057.625</v>
      </c>
    </row>
    <row r="402">
      <c r="A402" s="5">
        <f>A401+1</f>
        <v/>
      </c>
      <c r="B402" s="3">
        <f>-SUMIFS(df_extrato_zig!G:G,df_extrato_zig!E:E,Conciliacao!A402,df_extrato_zig!D:D,"Saque")-SUMIFS(df_extrato_zig!G:G,df_extrato_zig!E:E,Conciliacao!A402,df_extrato_zig!D:D,"Antecipação")</f>
        <v/>
      </c>
      <c r="C402" s="3">
        <f>SUMIFS(df_extrato_zig!E:E,df_extrato_zig!L:L,Conciliacao!A402,df_extrato_zig!F:F,"DINHEIRO")</f>
        <v/>
      </c>
      <c r="D402" s="3">
        <f>SUMIFS(view_parc_agrup!H:H,view_parc_agrup!G:G,Conciliacao!A402)</f>
        <v/>
      </c>
      <c r="E402" s="3">
        <f>SUMIFS(df_eventos!F:F,df_eventos!H:H,Conciliacao!A402)</f>
        <v/>
      </c>
      <c r="F402" s="3">
        <f>SUMIFS(df_mutuos!M:M,df_mutuos!B:B,Conciliacao!A402)</f>
        <v/>
      </c>
      <c r="G402" s="6">
        <f>SUMIFS(df_bloqueios_judiciais!G:G,df_bloqueios_judiciais!D:D,Conciliacao!A402,df_bloqueios_judiciais!G:G,"&gt;0")</f>
        <v/>
      </c>
      <c r="H402" s="7">
        <f>SUMIFS(df_extratos!I:I,df_extratos!F:F,Conciliacao!BE402,df_extratos!G:G,"CREDITO")+SUMIFS(df_extratos!I:I,df_extratos!F:F,Conciliacao!A402,df_extratos!G:G,"CREDITO")+SUMIFS(df_extratos!I:I,df_extratos!F:F,Conciliacao!BF402,df_extratos!G:G,"CREDITO")+SUMIFS(df_extratos!I:I,df_extratos!F:F,Conciliacao!BG402,df_extratos!G:G,"CREDITO")+SUMIFS(df_extratos!I:I,df_extratos!F:F,Conciliacao!BH402,df_extratos!G:G,"CREDITO")</f>
        <v/>
      </c>
      <c r="I402" s="9">
        <f>H402-SUM(B402:G402)</f>
        <v/>
      </c>
      <c r="J402" s="4">
        <f>SUMIFS(df_blueme_sem_parcelamento!E:E,df_blueme_sem_parcelamento!H:H,Conciliacao!A402)*(-1)</f>
        <v/>
      </c>
      <c r="K402" s="4">
        <f>SUMIFS(df_blueme_com_parcelamento!J:J,df_blueme_com_parcelamento!M:M,Conciliacao!A402)*(-1)</f>
        <v/>
      </c>
      <c r="L402" s="4">
        <f>SUMIFS(df_mutuos!N:N,df_mutuos!B:B,Conciliacao!A402)*(-1)</f>
        <v/>
      </c>
      <c r="M402" s="8">
        <f>SUMIFS(df_bloqueios_judiciais!G:G,df_bloqueios_judiciais!D:D,Conciliacao!A402,df_bloqueios_judiciais!G:G,"&lt;0")</f>
        <v/>
      </c>
      <c r="N402" s="10">
        <f>SUMIFS(df_extratos!I:I,df_extratos!F:F,Conciliacao!BE402,df_extratos!G:G,"DEBITO")+SUMIFS(df_extratos!I:I,df_extratos!F:F,Conciliacao!A402,df_extratos!G:G,"DEBITO")+SUMIFS(df_extratos!I:I,df_extratos!F:F,Conciliacao!BF402,df_extratos!G:G,"DEBITO")+SUMIFS(df_extratos!I:I,df_extratos!F:F,Conciliacao!BG402,df_extratos!G:G,"DEBITO")+SUMIFS(df_extratos!I:I,df_extratos!F:F,Conciliacao!BH402,df_extratos!G:G,"DEBITO")</f>
        <v/>
      </c>
      <c r="O402" s="11">
        <f>N402-SUM(J402:M402)</f>
        <v/>
      </c>
      <c r="P402" s="25">
        <f>SUMIFS(df_ajustes_conciliaco!D:D,df_ajustes_conciliaco!C:C,Conciliacao!A402)</f>
        <v/>
      </c>
      <c r="Q402" s="22">
        <f>O402+I402-P402</f>
        <v/>
      </c>
      <c r="BE402" s="20" t="n">
        <v>46058.5</v>
      </c>
      <c r="BF402" s="20" t="n">
        <v>46058.125</v>
      </c>
      <c r="BG402" s="20" t="n">
        <v>46058.5416666088</v>
      </c>
      <c r="BH402" s="20" t="n">
        <v>46058.625</v>
      </c>
    </row>
    <row r="403">
      <c r="A403" s="5">
        <f>A402+1</f>
        <v/>
      </c>
      <c r="B403" s="3">
        <f>-SUMIFS(df_extrato_zig!G:G,df_extrato_zig!E:E,Conciliacao!A403,df_extrato_zig!D:D,"Saque")-SUMIFS(df_extrato_zig!G:G,df_extrato_zig!E:E,Conciliacao!A403,df_extrato_zig!D:D,"Antecipação")</f>
        <v/>
      </c>
      <c r="C403" s="3">
        <f>SUMIFS(df_extrato_zig!E:E,df_extrato_zig!L:L,Conciliacao!A403,df_extrato_zig!F:F,"DINHEIRO")</f>
        <v/>
      </c>
      <c r="D403" s="3">
        <f>SUMIFS(view_parc_agrup!H:H,view_parc_agrup!G:G,Conciliacao!A403)</f>
        <v/>
      </c>
      <c r="E403" s="3">
        <f>SUMIFS(df_eventos!F:F,df_eventos!H:H,Conciliacao!A403)</f>
        <v/>
      </c>
      <c r="F403" s="3">
        <f>SUMIFS(df_mutuos!M:M,df_mutuos!B:B,Conciliacao!A403)</f>
        <v/>
      </c>
      <c r="G403" s="6">
        <f>SUMIFS(df_bloqueios_judiciais!G:G,df_bloqueios_judiciais!D:D,Conciliacao!A403,df_bloqueios_judiciais!G:G,"&gt;0")</f>
        <v/>
      </c>
      <c r="H403" s="7">
        <f>SUMIFS(df_extratos!I:I,df_extratos!F:F,Conciliacao!BE403,df_extratos!G:G,"CREDITO")+SUMIFS(df_extratos!I:I,df_extratos!F:F,Conciliacao!A403,df_extratos!G:G,"CREDITO")+SUMIFS(df_extratos!I:I,df_extratos!F:F,Conciliacao!BF403,df_extratos!G:G,"CREDITO")+SUMIFS(df_extratos!I:I,df_extratos!F:F,Conciliacao!BG403,df_extratos!G:G,"CREDITO")+SUMIFS(df_extratos!I:I,df_extratos!F:F,Conciliacao!BH403,df_extratos!G:G,"CREDITO")</f>
        <v/>
      </c>
      <c r="I403" s="9">
        <f>H403-SUM(B403:G403)</f>
        <v/>
      </c>
      <c r="J403" s="4">
        <f>SUMIFS(df_blueme_sem_parcelamento!E:E,df_blueme_sem_parcelamento!H:H,Conciliacao!A403)*(-1)</f>
        <v/>
      </c>
      <c r="K403" s="4">
        <f>SUMIFS(df_blueme_com_parcelamento!J:J,df_blueme_com_parcelamento!M:M,Conciliacao!A403)*(-1)</f>
        <v/>
      </c>
      <c r="L403" s="4">
        <f>SUMIFS(df_mutuos!N:N,df_mutuos!B:B,Conciliacao!A403)*(-1)</f>
        <v/>
      </c>
      <c r="M403" s="8">
        <f>SUMIFS(df_bloqueios_judiciais!G:G,df_bloqueios_judiciais!D:D,Conciliacao!A403,df_bloqueios_judiciais!G:G,"&lt;0")</f>
        <v/>
      </c>
      <c r="N403" s="10">
        <f>SUMIFS(df_extratos!I:I,df_extratos!F:F,Conciliacao!BE403,df_extratos!G:G,"DEBITO")+SUMIFS(df_extratos!I:I,df_extratos!F:F,Conciliacao!A403,df_extratos!G:G,"DEBITO")+SUMIFS(df_extratos!I:I,df_extratos!F:F,Conciliacao!BF403,df_extratos!G:G,"DEBITO")+SUMIFS(df_extratos!I:I,df_extratos!F:F,Conciliacao!BG403,df_extratos!G:G,"DEBITO")+SUMIFS(df_extratos!I:I,df_extratos!F:F,Conciliacao!BH403,df_extratos!G:G,"DEBITO")</f>
        <v/>
      </c>
      <c r="O403" s="11">
        <f>N403-SUM(J403:M403)</f>
        <v/>
      </c>
      <c r="P403" s="25">
        <f>SUMIFS(df_ajustes_conciliaco!D:D,df_ajustes_conciliaco!C:C,Conciliacao!A403)</f>
        <v/>
      </c>
      <c r="Q403" s="22">
        <f>O403+I403-P403</f>
        <v/>
      </c>
      <c r="BE403" s="20" t="n">
        <v>46059.5</v>
      </c>
      <c r="BF403" s="20" t="n">
        <v>46059.125</v>
      </c>
      <c r="BG403" s="20" t="n">
        <v>46059.5416666088</v>
      </c>
      <c r="BH403" s="20" t="n">
        <v>46059.625</v>
      </c>
    </row>
    <row r="404">
      <c r="A404" s="5">
        <f>A403+1</f>
        <v/>
      </c>
      <c r="B404" s="3">
        <f>-SUMIFS(df_extrato_zig!G:G,df_extrato_zig!E:E,Conciliacao!A404,df_extrato_zig!D:D,"Saque")-SUMIFS(df_extrato_zig!G:G,df_extrato_zig!E:E,Conciliacao!A404,df_extrato_zig!D:D,"Antecipação")</f>
        <v/>
      </c>
      <c r="C404" s="3">
        <f>SUMIFS(df_extrato_zig!E:E,df_extrato_zig!L:L,Conciliacao!A404,df_extrato_zig!F:F,"DINHEIRO")</f>
        <v/>
      </c>
      <c r="D404" s="3">
        <f>SUMIFS(view_parc_agrup!H:H,view_parc_agrup!G:G,Conciliacao!A404)</f>
        <v/>
      </c>
      <c r="E404" s="3">
        <f>SUMIFS(df_eventos!F:F,df_eventos!H:H,Conciliacao!A404)</f>
        <v/>
      </c>
      <c r="F404" s="3">
        <f>SUMIFS(df_mutuos!M:M,df_mutuos!B:B,Conciliacao!A404)</f>
        <v/>
      </c>
      <c r="G404" s="6">
        <f>SUMIFS(df_bloqueios_judiciais!G:G,df_bloqueios_judiciais!D:D,Conciliacao!A404,df_bloqueios_judiciais!G:G,"&gt;0")</f>
        <v/>
      </c>
      <c r="H404" s="7">
        <f>SUMIFS(df_extratos!I:I,df_extratos!F:F,Conciliacao!BE404,df_extratos!G:G,"CREDITO")+SUMIFS(df_extratos!I:I,df_extratos!F:F,Conciliacao!A404,df_extratos!G:G,"CREDITO")+SUMIFS(df_extratos!I:I,df_extratos!F:F,Conciliacao!BF404,df_extratos!G:G,"CREDITO")+SUMIFS(df_extratos!I:I,df_extratos!F:F,Conciliacao!BG404,df_extratos!G:G,"CREDITO")+SUMIFS(df_extratos!I:I,df_extratos!F:F,Conciliacao!BH404,df_extratos!G:G,"CREDITO")</f>
        <v/>
      </c>
      <c r="I404" s="9">
        <f>H404-SUM(B404:G404)</f>
        <v/>
      </c>
      <c r="J404" s="4">
        <f>SUMIFS(df_blueme_sem_parcelamento!E:E,df_blueme_sem_parcelamento!H:H,Conciliacao!A404)*(-1)</f>
        <v/>
      </c>
      <c r="K404" s="4">
        <f>SUMIFS(df_blueme_com_parcelamento!J:J,df_blueme_com_parcelamento!M:M,Conciliacao!A404)*(-1)</f>
        <v/>
      </c>
      <c r="L404" s="4">
        <f>SUMIFS(df_mutuos!N:N,df_mutuos!B:B,Conciliacao!A404)*(-1)</f>
        <v/>
      </c>
      <c r="M404" s="8">
        <f>SUMIFS(df_bloqueios_judiciais!G:G,df_bloqueios_judiciais!D:D,Conciliacao!A404,df_bloqueios_judiciais!G:G,"&lt;0")</f>
        <v/>
      </c>
      <c r="N404" s="10">
        <f>SUMIFS(df_extratos!I:I,df_extratos!F:F,Conciliacao!BE404,df_extratos!G:G,"DEBITO")+SUMIFS(df_extratos!I:I,df_extratos!F:F,Conciliacao!A404,df_extratos!G:G,"DEBITO")+SUMIFS(df_extratos!I:I,df_extratos!F:F,Conciliacao!BF404,df_extratos!G:G,"DEBITO")+SUMIFS(df_extratos!I:I,df_extratos!F:F,Conciliacao!BG404,df_extratos!G:G,"DEBITO")+SUMIFS(df_extratos!I:I,df_extratos!F:F,Conciliacao!BH404,df_extratos!G:G,"DEBITO")</f>
        <v/>
      </c>
      <c r="O404" s="11">
        <f>N404-SUM(J404:M404)</f>
        <v/>
      </c>
      <c r="P404" s="25">
        <f>SUMIFS(df_ajustes_conciliaco!D:D,df_ajustes_conciliaco!C:C,Conciliacao!A404)</f>
        <v/>
      </c>
      <c r="Q404" s="22">
        <f>O404+I404-P404</f>
        <v/>
      </c>
      <c r="BE404" s="20" t="n">
        <v>46060.5</v>
      </c>
      <c r="BF404" s="20" t="n">
        <v>46060.125</v>
      </c>
      <c r="BG404" s="20" t="n">
        <v>46060.5416666088</v>
      </c>
      <c r="BH404" s="20" t="n">
        <v>46060.625</v>
      </c>
    </row>
    <row r="405">
      <c r="A405" s="5">
        <f>A404+1</f>
        <v/>
      </c>
      <c r="B405" s="3">
        <f>-SUMIFS(df_extrato_zig!G:G,df_extrato_zig!E:E,Conciliacao!A405,df_extrato_zig!D:D,"Saque")-SUMIFS(df_extrato_zig!G:G,df_extrato_zig!E:E,Conciliacao!A405,df_extrato_zig!D:D,"Antecipação")</f>
        <v/>
      </c>
      <c r="C405" s="3">
        <f>SUMIFS(df_extrato_zig!E:E,df_extrato_zig!L:L,Conciliacao!A405,df_extrato_zig!F:F,"DINHEIRO")</f>
        <v/>
      </c>
      <c r="D405" s="3">
        <f>SUMIFS(view_parc_agrup!H:H,view_parc_agrup!G:G,Conciliacao!A405)</f>
        <v/>
      </c>
      <c r="E405" s="3">
        <f>SUMIFS(df_eventos!F:F,df_eventos!H:H,Conciliacao!A405)</f>
        <v/>
      </c>
      <c r="F405" s="3">
        <f>SUMIFS(df_mutuos!M:M,df_mutuos!B:B,Conciliacao!A405)</f>
        <v/>
      </c>
      <c r="G405" s="6">
        <f>SUMIFS(df_bloqueios_judiciais!G:G,df_bloqueios_judiciais!D:D,Conciliacao!A405,df_bloqueios_judiciais!G:G,"&gt;0")</f>
        <v/>
      </c>
      <c r="H405" s="7">
        <f>SUMIFS(df_extratos!I:I,df_extratos!F:F,Conciliacao!BE405,df_extratos!G:G,"CREDITO")+SUMIFS(df_extratos!I:I,df_extratos!F:F,Conciliacao!A405,df_extratos!G:G,"CREDITO")+SUMIFS(df_extratos!I:I,df_extratos!F:F,Conciliacao!BF405,df_extratos!G:G,"CREDITO")+SUMIFS(df_extratos!I:I,df_extratos!F:F,Conciliacao!BG405,df_extratos!G:G,"CREDITO")+SUMIFS(df_extratos!I:I,df_extratos!F:F,Conciliacao!BH405,df_extratos!G:G,"CREDITO")</f>
        <v/>
      </c>
      <c r="I405" s="9">
        <f>H405-SUM(B405:G405)</f>
        <v/>
      </c>
      <c r="J405" s="4">
        <f>SUMIFS(df_blueme_sem_parcelamento!E:E,df_blueme_sem_parcelamento!H:H,Conciliacao!A405)*(-1)</f>
        <v/>
      </c>
      <c r="K405" s="4">
        <f>SUMIFS(df_blueme_com_parcelamento!J:J,df_blueme_com_parcelamento!M:M,Conciliacao!A405)*(-1)</f>
        <v/>
      </c>
      <c r="L405" s="4">
        <f>SUMIFS(df_mutuos!N:N,df_mutuos!B:B,Conciliacao!A405)*(-1)</f>
        <v/>
      </c>
      <c r="M405" s="8">
        <f>SUMIFS(df_bloqueios_judiciais!G:G,df_bloqueios_judiciais!D:D,Conciliacao!A405,df_bloqueios_judiciais!G:G,"&lt;0")</f>
        <v/>
      </c>
      <c r="N405" s="10">
        <f>SUMIFS(df_extratos!I:I,df_extratos!F:F,Conciliacao!BE405,df_extratos!G:G,"DEBITO")+SUMIFS(df_extratos!I:I,df_extratos!F:F,Conciliacao!A405,df_extratos!G:G,"DEBITO")+SUMIFS(df_extratos!I:I,df_extratos!F:F,Conciliacao!BF405,df_extratos!G:G,"DEBITO")+SUMIFS(df_extratos!I:I,df_extratos!F:F,Conciliacao!BG405,df_extratos!G:G,"DEBITO")+SUMIFS(df_extratos!I:I,df_extratos!F:F,Conciliacao!BH405,df_extratos!G:G,"DEBITO")</f>
        <v/>
      </c>
      <c r="O405" s="11">
        <f>N405-SUM(J405:M405)</f>
        <v/>
      </c>
      <c r="P405" s="25">
        <f>SUMIFS(df_ajustes_conciliaco!D:D,df_ajustes_conciliaco!C:C,Conciliacao!A405)</f>
        <v/>
      </c>
      <c r="Q405" s="22">
        <f>O405+I405-P405</f>
        <v/>
      </c>
      <c r="BE405" s="20" t="n">
        <v>46061.5</v>
      </c>
      <c r="BF405" s="20" t="n">
        <v>46061.125</v>
      </c>
      <c r="BG405" s="20" t="n">
        <v>46061.5416666088</v>
      </c>
      <c r="BH405" s="20" t="n">
        <v>46061.625</v>
      </c>
    </row>
    <row r="406">
      <c r="A406" s="5">
        <f>A405+1</f>
        <v/>
      </c>
      <c r="B406" s="3">
        <f>-SUMIFS(df_extrato_zig!G:G,df_extrato_zig!E:E,Conciliacao!A406,df_extrato_zig!D:D,"Saque")-SUMIFS(df_extrato_zig!G:G,df_extrato_zig!E:E,Conciliacao!A406,df_extrato_zig!D:D,"Antecipação")</f>
        <v/>
      </c>
      <c r="C406" s="3">
        <f>SUMIFS(df_extrato_zig!E:E,df_extrato_zig!L:L,Conciliacao!A406,df_extrato_zig!F:F,"DINHEIRO")</f>
        <v/>
      </c>
      <c r="D406" s="3">
        <f>SUMIFS(view_parc_agrup!H:H,view_parc_agrup!G:G,Conciliacao!A406)</f>
        <v/>
      </c>
      <c r="E406" s="3">
        <f>SUMIFS(df_eventos!F:F,df_eventos!H:H,Conciliacao!A406)</f>
        <v/>
      </c>
      <c r="F406" s="3">
        <f>SUMIFS(df_mutuos!M:M,df_mutuos!B:B,Conciliacao!A406)</f>
        <v/>
      </c>
      <c r="G406" s="6">
        <f>SUMIFS(df_bloqueios_judiciais!G:G,df_bloqueios_judiciais!D:D,Conciliacao!A406,df_bloqueios_judiciais!G:G,"&gt;0")</f>
        <v/>
      </c>
      <c r="H406" s="7">
        <f>SUMIFS(df_extratos!I:I,df_extratos!F:F,Conciliacao!BE406,df_extratos!G:G,"CREDITO")+SUMIFS(df_extratos!I:I,df_extratos!F:F,Conciliacao!A406,df_extratos!G:G,"CREDITO")+SUMIFS(df_extratos!I:I,df_extratos!F:F,Conciliacao!BF406,df_extratos!G:G,"CREDITO")+SUMIFS(df_extratos!I:I,df_extratos!F:F,Conciliacao!BG406,df_extratos!G:G,"CREDITO")+SUMIFS(df_extratos!I:I,df_extratos!F:F,Conciliacao!BH406,df_extratos!G:G,"CREDITO")</f>
        <v/>
      </c>
      <c r="I406" s="9">
        <f>H406-SUM(B406:G406)</f>
        <v/>
      </c>
      <c r="J406" s="4">
        <f>SUMIFS(df_blueme_sem_parcelamento!E:E,df_blueme_sem_parcelamento!H:H,Conciliacao!A406)*(-1)</f>
        <v/>
      </c>
      <c r="K406" s="4">
        <f>SUMIFS(df_blueme_com_parcelamento!J:J,df_blueme_com_parcelamento!M:M,Conciliacao!A406)*(-1)</f>
        <v/>
      </c>
      <c r="L406" s="4">
        <f>SUMIFS(df_mutuos!N:N,df_mutuos!B:B,Conciliacao!A406)*(-1)</f>
        <v/>
      </c>
      <c r="M406" s="8">
        <f>SUMIFS(df_bloqueios_judiciais!G:G,df_bloqueios_judiciais!D:D,Conciliacao!A406,df_bloqueios_judiciais!G:G,"&lt;0")</f>
        <v/>
      </c>
      <c r="N406" s="10">
        <f>SUMIFS(df_extratos!I:I,df_extratos!F:F,Conciliacao!BE406,df_extratos!G:G,"DEBITO")+SUMIFS(df_extratos!I:I,df_extratos!F:F,Conciliacao!A406,df_extratos!G:G,"DEBITO")+SUMIFS(df_extratos!I:I,df_extratos!F:F,Conciliacao!BF406,df_extratos!G:G,"DEBITO")+SUMIFS(df_extratos!I:I,df_extratos!F:F,Conciliacao!BG406,df_extratos!G:G,"DEBITO")+SUMIFS(df_extratos!I:I,df_extratos!F:F,Conciliacao!BH406,df_extratos!G:G,"DEBITO")</f>
        <v/>
      </c>
      <c r="O406" s="11">
        <f>N406-SUM(J406:M406)</f>
        <v/>
      </c>
      <c r="P406" s="25">
        <f>SUMIFS(df_ajustes_conciliaco!D:D,df_ajustes_conciliaco!C:C,Conciliacao!A406)</f>
        <v/>
      </c>
      <c r="Q406" s="22">
        <f>O406+I406-P406</f>
        <v/>
      </c>
      <c r="BE406" s="20" t="n">
        <v>46062.5</v>
      </c>
      <c r="BF406" s="20" t="n">
        <v>46062.125</v>
      </c>
      <c r="BG406" s="20" t="n">
        <v>46062.5416666088</v>
      </c>
      <c r="BH406" s="20" t="n">
        <v>46062.625</v>
      </c>
    </row>
    <row r="407">
      <c r="A407" s="5">
        <f>A406+1</f>
        <v/>
      </c>
      <c r="B407" s="3">
        <f>-SUMIFS(df_extrato_zig!G:G,df_extrato_zig!E:E,Conciliacao!A407,df_extrato_zig!D:D,"Saque")-SUMIFS(df_extrato_zig!G:G,df_extrato_zig!E:E,Conciliacao!A407,df_extrato_zig!D:D,"Antecipação")</f>
        <v/>
      </c>
      <c r="C407" s="3">
        <f>SUMIFS(df_extrato_zig!E:E,df_extrato_zig!L:L,Conciliacao!A407,df_extrato_zig!F:F,"DINHEIRO")</f>
        <v/>
      </c>
      <c r="D407" s="3">
        <f>SUMIFS(view_parc_agrup!H:H,view_parc_agrup!G:G,Conciliacao!A407)</f>
        <v/>
      </c>
      <c r="E407" s="3">
        <f>SUMIFS(df_eventos!F:F,df_eventos!H:H,Conciliacao!A407)</f>
        <v/>
      </c>
      <c r="F407" s="3">
        <f>SUMIFS(df_mutuos!M:M,df_mutuos!B:B,Conciliacao!A407)</f>
        <v/>
      </c>
      <c r="G407" s="6">
        <f>SUMIFS(df_bloqueios_judiciais!G:G,df_bloqueios_judiciais!D:D,Conciliacao!A407,df_bloqueios_judiciais!G:G,"&gt;0")</f>
        <v/>
      </c>
      <c r="H407" s="7">
        <f>SUMIFS(df_extratos!I:I,df_extratos!F:F,Conciliacao!BE407,df_extratos!G:G,"CREDITO")+SUMIFS(df_extratos!I:I,df_extratos!F:F,Conciliacao!A407,df_extratos!G:G,"CREDITO")+SUMIFS(df_extratos!I:I,df_extratos!F:F,Conciliacao!BF407,df_extratos!G:G,"CREDITO")+SUMIFS(df_extratos!I:I,df_extratos!F:F,Conciliacao!BG407,df_extratos!G:G,"CREDITO")+SUMIFS(df_extratos!I:I,df_extratos!F:F,Conciliacao!BH407,df_extratos!G:G,"CREDITO")</f>
        <v/>
      </c>
      <c r="I407" s="9">
        <f>H407-SUM(B407:G407)</f>
        <v/>
      </c>
      <c r="J407" s="4">
        <f>SUMIFS(df_blueme_sem_parcelamento!E:E,df_blueme_sem_parcelamento!H:H,Conciliacao!A407)*(-1)</f>
        <v/>
      </c>
      <c r="K407" s="4">
        <f>SUMIFS(df_blueme_com_parcelamento!J:J,df_blueme_com_parcelamento!M:M,Conciliacao!A407)*(-1)</f>
        <v/>
      </c>
      <c r="L407" s="4">
        <f>SUMIFS(df_mutuos!N:N,df_mutuos!B:B,Conciliacao!A407)*(-1)</f>
        <v/>
      </c>
      <c r="M407" s="8">
        <f>SUMIFS(df_bloqueios_judiciais!G:G,df_bloqueios_judiciais!D:D,Conciliacao!A407,df_bloqueios_judiciais!G:G,"&lt;0")</f>
        <v/>
      </c>
      <c r="N407" s="10">
        <f>SUMIFS(df_extratos!I:I,df_extratos!F:F,Conciliacao!BE407,df_extratos!G:G,"DEBITO")+SUMIFS(df_extratos!I:I,df_extratos!F:F,Conciliacao!A407,df_extratos!G:G,"DEBITO")+SUMIFS(df_extratos!I:I,df_extratos!F:F,Conciliacao!BF407,df_extratos!G:G,"DEBITO")+SUMIFS(df_extratos!I:I,df_extratos!F:F,Conciliacao!BG407,df_extratos!G:G,"DEBITO")+SUMIFS(df_extratos!I:I,df_extratos!F:F,Conciliacao!BH407,df_extratos!G:G,"DEBITO")</f>
        <v/>
      </c>
      <c r="O407" s="11">
        <f>N407-SUM(J407:M407)</f>
        <v/>
      </c>
      <c r="P407" s="25">
        <f>SUMIFS(df_ajustes_conciliaco!D:D,df_ajustes_conciliaco!C:C,Conciliacao!A407)</f>
        <v/>
      </c>
      <c r="Q407" s="22">
        <f>O407+I407-P407</f>
        <v/>
      </c>
      <c r="BE407" s="20" t="n">
        <v>46063.5</v>
      </c>
      <c r="BF407" s="20" t="n">
        <v>46063.125</v>
      </c>
      <c r="BG407" s="20" t="n">
        <v>46063.5416666088</v>
      </c>
      <c r="BH407" s="20" t="n">
        <v>46063.625</v>
      </c>
    </row>
    <row r="408">
      <c r="A408" s="5">
        <f>A407+1</f>
        <v/>
      </c>
      <c r="B408" s="3">
        <f>-SUMIFS(df_extrato_zig!G:G,df_extrato_zig!E:E,Conciliacao!A408,df_extrato_zig!D:D,"Saque")-SUMIFS(df_extrato_zig!G:G,df_extrato_zig!E:E,Conciliacao!A408,df_extrato_zig!D:D,"Antecipação")</f>
        <v/>
      </c>
      <c r="C408" s="3">
        <f>SUMIFS(df_extrato_zig!E:E,df_extrato_zig!L:L,Conciliacao!A408,df_extrato_zig!F:F,"DINHEIRO")</f>
        <v/>
      </c>
      <c r="D408" s="3">
        <f>SUMIFS(view_parc_agrup!H:H,view_parc_agrup!G:G,Conciliacao!A408)</f>
        <v/>
      </c>
      <c r="E408" s="3">
        <f>SUMIFS(df_eventos!F:F,df_eventos!H:H,Conciliacao!A408)</f>
        <v/>
      </c>
      <c r="F408" s="3">
        <f>SUMIFS(df_mutuos!M:M,df_mutuos!B:B,Conciliacao!A408)</f>
        <v/>
      </c>
      <c r="G408" s="6">
        <f>SUMIFS(df_bloqueios_judiciais!G:G,df_bloqueios_judiciais!D:D,Conciliacao!A408,df_bloqueios_judiciais!G:G,"&gt;0")</f>
        <v/>
      </c>
      <c r="H408" s="7">
        <f>SUMIFS(df_extratos!I:I,df_extratos!F:F,Conciliacao!BE408,df_extratos!G:G,"CREDITO")+SUMIFS(df_extratos!I:I,df_extratos!F:F,Conciliacao!A408,df_extratos!G:G,"CREDITO")+SUMIFS(df_extratos!I:I,df_extratos!F:F,Conciliacao!BF408,df_extratos!G:G,"CREDITO")+SUMIFS(df_extratos!I:I,df_extratos!F:F,Conciliacao!BG408,df_extratos!G:G,"CREDITO")+SUMIFS(df_extratos!I:I,df_extratos!F:F,Conciliacao!BH408,df_extratos!G:G,"CREDITO")</f>
        <v/>
      </c>
      <c r="I408" s="9">
        <f>H408-SUM(B408:G408)</f>
        <v/>
      </c>
      <c r="J408" s="4">
        <f>SUMIFS(df_blueme_sem_parcelamento!E:E,df_blueme_sem_parcelamento!H:H,Conciliacao!A408)*(-1)</f>
        <v/>
      </c>
      <c r="K408" s="4">
        <f>SUMIFS(df_blueme_com_parcelamento!J:J,df_blueme_com_parcelamento!M:M,Conciliacao!A408)*(-1)</f>
        <v/>
      </c>
      <c r="L408" s="4">
        <f>SUMIFS(df_mutuos!N:N,df_mutuos!B:B,Conciliacao!A408)*(-1)</f>
        <v/>
      </c>
      <c r="M408" s="8">
        <f>SUMIFS(df_bloqueios_judiciais!G:G,df_bloqueios_judiciais!D:D,Conciliacao!A408,df_bloqueios_judiciais!G:G,"&lt;0")</f>
        <v/>
      </c>
      <c r="N408" s="10">
        <f>SUMIFS(df_extratos!I:I,df_extratos!F:F,Conciliacao!BE408,df_extratos!G:G,"DEBITO")+SUMIFS(df_extratos!I:I,df_extratos!F:F,Conciliacao!A408,df_extratos!G:G,"DEBITO")+SUMIFS(df_extratos!I:I,df_extratos!F:F,Conciliacao!BF408,df_extratos!G:G,"DEBITO")+SUMIFS(df_extratos!I:I,df_extratos!F:F,Conciliacao!BG408,df_extratos!G:G,"DEBITO")+SUMIFS(df_extratos!I:I,df_extratos!F:F,Conciliacao!BH408,df_extratos!G:G,"DEBITO")</f>
        <v/>
      </c>
      <c r="O408" s="11">
        <f>N408-SUM(J408:M408)</f>
        <v/>
      </c>
      <c r="P408" s="25">
        <f>SUMIFS(df_ajustes_conciliaco!D:D,df_ajustes_conciliaco!C:C,Conciliacao!A408)</f>
        <v/>
      </c>
      <c r="Q408" s="22">
        <f>O408+I408-P408</f>
        <v/>
      </c>
      <c r="BE408" s="20" t="n">
        <v>46064.5</v>
      </c>
      <c r="BF408" s="20" t="n">
        <v>46064.125</v>
      </c>
      <c r="BG408" s="20" t="n">
        <v>46064.5416666088</v>
      </c>
      <c r="BH408" s="20" t="n">
        <v>46064.625</v>
      </c>
    </row>
    <row r="409">
      <c r="A409" s="5">
        <f>A408+1</f>
        <v/>
      </c>
      <c r="B409" s="3">
        <f>-SUMIFS(df_extrato_zig!G:G,df_extrato_zig!E:E,Conciliacao!A409,df_extrato_zig!D:D,"Saque")-SUMIFS(df_extrato_zig!G:G,df_extrato_zig!E:E,Conciliacao!A409,df_extrato_zig!D:D,"Antecipação")</f>
        <v/>
      </c>
      <c r="C409" s="3">
        <f>SUMIFS(df_extrato_zig!E:E,df_extrato_zig!L:L,Conciliacao!A409,df_extrato_zig!F:F,"DINHEIRO")</f>
        <v/>
      </c>
      <c r="D409" s="3">
        <f>SUMIFS(view_parc_agrup!H:H,view_parc_agrup!G:G,Conciliacao!A409)</f>
        <v/>
      </c>
      <c r="E409" s="3">
        <f>SUMIFS(df_eventos!F:F,df_eventos!H:H,Conciliacao!A409)</f>
        <v/>
      </c>
      <c r="F409" s="3">
        <f>SUMIFS(df_mutuos!M:M,df_mutuos!B:B,Conciliacao!A409)</f>
        <v/>
      </c>
      <c r="G409" s="6">
        <f>SUMIFS(df_bloqueios_judiciais!G:G,df_bloqueios_judiciais!D:D,Conciliacao!A409,df_bloqueios_judiciais!G:G,"&gt;0")</f>
        <v/>
      </c>
      <c r="H409" s="7">
        <f>SUMIFS(df_extratos!I:I,df_extratos!F:F,Conciliacao!BE409,df_extratos!G:G,"CREDITO")+SUMIFS(df_extratos!I:I,df_extratos!F:F,Conciliacao!A409,df_extratos!G:G,"CREDITO")+SUMIFS(df_extratos!I:I,df_extratos!F:F,Conciliacao!BF409,df_extratos!G:G,"CREDITO")+SUMIFS(df_extratos!I:I,df_extratos!F:F,Conciliacao!BG409,df_extratos!G:G,"CREDITO")+SUMIFS(df_extratos!I:I,df_extratos!F:F,Conciliacao!BH409,df_extratos!G:G,"CREDITO")</f>
        <v/>
      </c>
      <c r="I409" s="9">
        <f>H409-SUM(B409:G409)</f>
        <v/>
      </c>
      <c r="J409" s="4">
        <f>SUMIFS(df_blueme_sem_parcelamento!E:E,df_blueme_sem_parcelamento!H:H,Conciliacao!A409)*(-1)</f>
        <v/>
      </c>
      <c r="K409" s="4">
        <f>SUMIFS(df_blueme_com_parcelamento!J:J,df_blueme_com_parcelamento!M:M,Conciliacao!A409)*(-1)</f>
        <v/>
      </c>
      <c r="L409" s="4">
        <f>SUMIFS(df_mutuos!N:N,df_mutuos!B:B,Conciliacao!A409)*(-1)</f>
        <v/>
      </c>
      <c r="M409" s="8">
        <f>SUMIFS(df_bloqueios_judiciais!G:G,df_bloqueios_judiciais!D:D,Conciliacao!A409,df_bloqueios_judiciais!G:G,"&lt;0")</f>
        <v/>
      </c>
      <c r="N409" s="10">
        <f>SUMIFS(df_extratos!I:I,df_extratos!F:F,Conciliacao!BE409,df_extratos!G:G,"DEBITO")+SUMIFS(df_extratos!I:I,df_extratos!F:F,Conciliacao!A409,df_extratos!G:G,"DEBITO")+SUMIFS(df_extratos!I:I,df_extratos!F:F,Conciliacao!BF409,df_extratos!G:G,"DEBITO")+SUMIFS(df_extratos!I:I,df_extratos!F:F,Conciliacao!BG409,df_extratos!G:G,"DEBITO")+SUMIFS(df_extratos!I:I,df_extratos!F:F,Conciliacao!BH409,df_extratos!G:G,"DEBITO")</f>
        <v/>
      </c>
      <c r="O409" s="11">
        <f>N409-SUM(J409:M409)</f>
        <v/>
      </c>
      <c r="P409" s="25">
        <f>SUMIFS(df_ajustes_conciliaco!D:D,df_ajustes_conciliaco!C:C,Conciliacao!A409)</f>
        <v/>
      </c>
      <c r="Q409" s="22">
        <f>O409+I409-P409</f>
        <v/>
      </c>
      <c r="BE409" s="20" t="n">
        <v>46065.5</v>
      </c>
      <c r="BF409" s="20" t="n">
        <v>46065.125</v>
      </c>
      <c r="BG409" s="20" t="n">
        <v>46065.5416666088</v>
      </c>
      <c r="BH409" s="20" t="n">
        <v>46065.625</v>
      </c>
    </row>
    <row r="410">
      <c r="A410" s="5">
        <f>A409+1</f>
        <v/>
      </c>
      <c r="B410" s="3">
        <f>-SUMIFS(df_extrato_zig!G:G,df_extrato_zig!E:E,Conciliacao!A410,df_extrato_zig!D:D,"Saque")-SUMIFS(df_extrato_zig!G:G,df_extrato_zig!E:E,Conciliacao!A410,df_extrato_zig!D:D,"Antecipação")</f>
        <v/>
      </c>
      <c r="C410" s="3">
        <f>SUMIFS(df_extrato_zig!E:E,df_extrato_zig!L:L,Conciliacao!A410,df_extrato_zig!F:F,"DINHEIRO")</f>
        <v/>
      </c>
      <c r="D410" s="3">
        <f>SUMIFS(view_parc_agrup!H:H,view_parc_agrup!G:G,Conciliacao!A410)</f>
        <v/>
      </c>
      <c r="E410" s="3">
        <f>SUMIFS(df_eventos!F:F,df_eventos!H:H,Conciliacao!A410)</f>
        <v/>
      </c>
      <c r="F410" s="3">
        <f>SUMIFS(df_mutuos!M:M,df_mutuos!B:B,Conciliacao!A410)</f>
        <v/>
      </c>
      <c r="G410" s="6">
        <f>SUMIFS(df_bloqueios_judiciais!G:G,df_bloqueios_judiciais!D:D,Conciliacao!A410,df_bloqueios_judiciais!G:G,"&gt;0")</f>
        <v/>
      </c>
      <c r="H410" s="7">
        <f>SUMIFS(df_extratos!I:I,df_extratos!F:F,Conciliacao!BE410,df_extratos!G:G,"CREDITO")+SUMIFS(df_extratos!I:I,df_extratos!F:F,Conciliacao!A410,df_extratos!G:G,"CREDITO")+SUMIFS(df_extratos!I:I,df_extratos!F:F,Conciliacao!BF410,df_extratos!G:G,"CREDITO")+SUMIFS(df_extratos!I:I,df_extratos!F:F,Conciliacao!BG410,df_extratos!G:G,"CREDITO")+SUMIFS(df_extratos!I:I,df_extratos!F:F,Conciliacao!BH410,df_extratos!G:G,"CREDITO")</f>
        <v/>
      </c>
      <c r="I410" s="9">
        <f>H410-SUM(B410:G410)</f>
        <v/>
      </c>
      <c r="J410" s="4">
        <f>SUMIFS(df_blueme_sem_parcelamento!E:E,df_blueme_sem_parcelamento!H:H,Conciliacao!A410)*(-1)</f>
        <v/>
      </c>
      <c r="K410" s="4">
        <f>SUMIFS(df_blueme_com_parcelamento!J:J,df_blueme_com_parcelamento!M:M,Conciliacao!A410)*(-1)</f>
        <v/>
      </c>
      <c r="L410" s="4">
        <f>SUMIFS(df_mutuos!N:N,df_mutuos!B:B,Conciliacao!A410)*(-1)</f>
        <v/>
      </c>
      <c r="M410" s="8">
        <f>SUMIFS(df_bloqueios_judiciais!G:G,df_bloqueios_judiciais!D:D,Conciliacao!A410,df_bloqueios_judiciais!G:G,"&lt;0")</f>
        <v/>
      </c>
      <c r="N410" s="10">
        <f>SUMIFS(df_extratos!I:I,df_extratos!F:F,Conciliacao!BE410,df_extratos!G:G,"DEBITO")+SUMIFS(df_extratos!I:I,df_extratos!F:F,Conciliacao!A410,df_extratos!G:G,"DEBITO")+SUMIFS(df_extratos!I:I,df_extratos!F:F,Conciliacao!BF410,df_extratos!G:G,"DEBITO")+SUMIFS(df_extratos!I:I,df_extratos!F:F,Conciliacao!BG410,df_extratos!G:G,"DEBITO")+SUMIFS(df_extratos!I:I,df_extratos!F:F,Conciliacao!BH410,df_extratos!G:G,"DEBITO")</f>
        <v/>
      </c>
      <c r="O410" s="11">
        <f>N410-SUM(J410:M410)</f>
        <v/>
      </c>
      <c r="P410" s="25">
        <f>SUMIFS(df_ajustes_conciliaco!D:D,df_ajustes_conciliaco!C:C,Conciliacao!A410)</f>
        <v/>
      </c>
      <c r="Q410" s="22">
        <f>O410+I410-P410</f>
        <v/>
      </c>
      <c r="BE410" s="20" t="n">
        <v>46066.5</v>
      </c>
      <c r="BF410" s="20" t="n">
        <v>46066.125</v>
      </c>
      <c r="BG410" s="20" t="n">
        <v>46066.5416666088</v>
      </c>
      <c r="BH410" s="20" t="n">
        <v>46066.625</v>
      </c>
    </row>
    <row r="411">
      <c r="A411" s="5">
        <f>A410+1</f>
        <v/>
      </c>
      <c r="B411" s="3">
        <f>-SUMIFS(df_extrato_zig!G:G,df_extrato_zig!E:E,Conciliacao!A411,df_extrato_zig!D:D,"Saque")-SUMIFS(df_extrato_zig!G:G,df_extrato_zig!E:E,Conciliacao!A411,df_extrato_zig!D:D,"Antecipação")</f>
        <v/>
      </c>
      <c r="C411" s="3">
        <f>SUMIFS(df_extrato_zig!E:E,df_extrato_zig!L:L,Conciliacao!A411,df_extrato_zig!F:F,"DINHEIRO")</f>
        <v/>
      </c>
      <c r="D411" s="3">
        <f>SUMIFS(view_parc_agrup!H:H,view_parc_agrup!G:G,Conciliacao!A411)</f>
        <v/>
      </c>
      <c r="E411" s="3">
        <f>SUMIFS(df_eventos!F:F,df_eventos!H:H,Conciliacao!A411)</f>
        <v/>
      </c>
      <c r="F411" s="3">
        <f>SUMIFS(df_mutuos!M:M,df_mutuos!B:B,Conciliacao!A411)</f>
        <v/>
      </c>
      <c r="G411" s="6">
        <f>SUMIFS(df_bloqueios_judiciais!G:G,df_bloqueios_judiciais!D:D,Conciliacao!A411,df_bloqueios_judiciais!G:G,"&gt;0")</f>
        <v/>
      </c>
      <c r="H411" s="7">
        <f>SUMIFS(df_extratos!I:I,df_extratos!F:F,Conciliacao!BE411,df_extratos!G:G,"CREDITO")+SUMIFS(df_extratos!I:I,df_extratos!F:F,Conciliacao!A411,df_extratos!G:G,"CREDITO")+SUMIFS(df_extratos!I:I,df_extratos!F:F,Conciliacao!BF411,df_extratos!G:G,"CREDITO")+SUMIFS(df_extratos!I:I,df_extratos!F:F,Conciliacao!BG411,df_extratos!G:G,"CREDITO")+SUMIFS(df_extratos!I:I,df_extratos!F:F,Conciliacao!BH411,df_extratos!G:G,"CREDITO")</f>
        <v/>
      </c>
      <c r="I411" s="9">
        <f>H411-SUM(B411:G411)</f>
        <v/>
      </c>
      <c r="J411" s="4">
        <f>SUMIFS(df_blueme_sem_parcelamento!E:E,df_blueme_sem_parcelamento!H:H,Conciliacao!A411)*(-1)</f>
        <v/>
      </c>
      <c r="K411" s="4">
        <f>SUMIFS(df_blueme_com_parcelamento!J:J,df_blueme_com_parcelamento!M:M,Conciliacao!A411)*(-1)</f>
        <v/>
      </c>
      <c r="L411" s="4">
        <f>SUMIFS(df_mutuos!N:N,df_mutuos!B:B,Conciliacao!A411)*(-1)</f>
        <v/>
      </c>
      <c r="M411" s="8">
        <f>SUMIFS(df_bloqueios_judiciais!G:G,df_bloqueios_judiciais!D:D,Conciliacao!A411,df_bloqueios_judiciais!G:G,"&lt;0")</f>
        <v/>
      </c>
      <c r="N411" s="10">
        <f>SUMIFS(df_extratos!I:I,df_extratos!F:F,Conciliacao!BE411,df_extratos!G:G,"DEBITO")+SUMIFS(df_extratos!I:I,df_extratos!F:F,Conciliacao!A411,df_extratos!G:G,"DEBITO")+SUMIFS(df_extratos!I:I,df_extratos!F:F,Conciliacao!BF411,df_extratos!G:G,"DEBITO")+SUMIFS(df_extratos!I:I,df_extratos!F:F,Conciliacao!BG411,df_extratos!G:G,"DEBITO")+SUMIFS(df_extratos!I:I,df_extratos!F:F,Conciliacao!BH411,df_extratos!G:G,"DEBITO")</f>
        <v/>
      </c>
      <c r="O411" s="11">
        <f>N411-SUM(J411:M411)</f>
        <v/>
      </c>
      <c r="P411" s="25">
        <f>SUMIFS(df_ajustes_conciliaco!D:D,df_ajustes_conciliaco!C:C,Conciliacao!A411)</f>
        <v/>
      </c>
      <c r="Q411" s="22">
        <f>O411+I411-P411</f>
        <v/>
      </c>
      <c r="BE411" s="20" t="n">
        <v>46067.5</v>
      </c>
      <c r="BF411" s="20" t="n">
        <v>46067.125</v>
      </c>
      <c r="BG411" s="20" t="n">
        <v>46067.5416666088</v>
      </c>
      <c r="BH411" s="20" t="n">
        <v>46067.625</v>
      </c>
    </row>
    <row r="412">
      <c r="A412" s="5">
        <f>A411+1</f>
        <v/>
      </c>
      <c r="B412" s="3">
        <f>-SUMIFS(df_extrato_zig!G:G,df_extrato_zig!E:E,Conciliacao!A412,df_extrato_zig!D:D,"Saque")-SUMIFS(df_extrato_zig!G:G,df_extrato_zig!E:E,Conciliacao!A412,df_extrato_zig!D:D,"Antecipação")</f>
        <v/>
      </c>
      <c r="C412" s="3">
        <f>SUMIFS(df_extrato_zig!E:E,df_extrato_zig!L:L,Conciliacao!A412,df_extrato_zig!F:F,"DINHEIRO")</f>
        <v/>
      </c>
      <c r="D412" s="3">
        <f>SUMIFS(view_parc_agrup!H:H,view_parc_agrup!G:G,Conciliacao!A412)</f>
        <v/>
      </c>
      <c r="E412" s="3">
        <f>SUMIFS(df_eventos!F:F,df_eventos!H:H,Conciliacao!A412)</f>
        <v/>
      </c>
      <c r="F412" s="3">
        <f>SUMIFS(df_mutuos!M:M,df_mutuos!B:B,Conciliacao!A412)</f>
        <v/>
      </c>
      <c r="G412" s="6">
        <f>SUMIFS(df_bloqueios_judiciais!G:G,df_bloqueios_judiciais!D:D,Conciliacao!A412,df_bloqueios_judiciais!G:G,"&gt;0")</f>
        <v/>
      </c>
      <c r="H412" s="7">
        <f>SUMIFS(df_extratos!I:I,df_extratos!F:F,Conciliacao!BE412,df_extratos!G:G,"CREDITO")+SUMIFS(df_extratos!I:I,df_extratos!F:F,Conciliacao!A412,df_extratos!G:G,"CREDITO")+SUMIFS(df_extratos!I:I,df_extratos!F:F,Conciliacao!BF412,df_extratos!G:G,"CREDITO")+SUMIFS(df_extratos!I:I,df_extratos!F:F,Conciliacao!BG412,df_extratos!G:G,"CREDITO")+SUMIFS(df_extratos!I:I,df_extratos!F:F,Conciliacao!BH412,df_extratos!G:G,"CREDITO")</f>
        <v/>
      </c>
      <c r="I412" s="9">
        <f>H412-SUM(B412:G412)</f>
        <v/>
      </c>
      <c r="J412" s="4">
        <f>SUMIFS(df_blueme_sem_parcelamento!E:E,df_blueme_sem_parcelamento!H:H,Conciliacao!A412)*(-1)</f>
        <v/>
      </c>
      <c r="K412" s="4">
        <f>SUMIFS(df_blueme_com_parcelamento!J:J,df_blueme_com_parcelamento!M:M,Conciliacao!A412)*(-1)</f>
        <v/>
      </c>
      <c r="L412" s="4">
        <f>SUMIFS(df_mutuos!N:N,df_mutuos!B:B,Conciliacao!A412)*(-1)</f>
        <v/>
      </c>
      <c r="M412" s="8">
        <f>SUMIFS(df_bloqueios_judiciais!G:G,df_bloqueios_judiciais!D:D,Conciliacao!A412,df_bloqueios_judiciais!G:G,"&lt;0")</f>
        <v/>
      </c>
      <c r="N412" s="10">
        <f>SUMIFS(df_extratos!I:I,df_extratos!F:F,Conciliacao!BE412,df_extratos!G:G,"DEBITO")+SUMIFS(df_extratos!I:I,df_extratos!F:F,Conciliacao!A412,df_extratos!G:G,"DEBITO")+SUMIFS(df_extratos!I:I,df_extratos!F:F,Conciliacao!BF412,df_extratos!G:G,"DEBITO")+SUMIFS(df_extratos!I:I,df_extratos!F:F,Conciliacao!BG412,df_extratos!G:G,"DEBITO")+SUMIFS(df_extratos!I:I,df_extratos!F:F,Conciliacao!BH412,df_extratos!G:G,"DEBITO")</f>
        <v/>
      </c>
      <c r="O412" s="11">
        <f>N412-SUM(J412:M412)</f>
        <v/>
      </c>
      <c r="P412" s="25">
        <f>SUMIFS(df_ajustes_conciliaco!D:D,df_ajustes_conciliaco!C:C,Conciliacao!A412)</f>
        <v/>
      </c>
      <c r="Q412" s="22">
        <f>O412+I412-P412</f>
        <v/>
      </c>
      <c r="BE412" s="20" t="n">
        <v>46068.5</v>
      </c>
      <c r="BF412" s="20" t="n">
        <v>46068.125</v>
      </c>
      <c r="BG412" s="20" t="n">
        <v>46068.5416666088</v>
      </c>
      <c r="BH412" s="20" t="n">
        <v>46068.625</v>
      </c>
    </row>
    <row r="413">
      <c r="A413" s="5">
        <f>A412+1</f>
        <v/>
      </c>
      <c r="B413" s="3">
        <f>-SUMIFS(df_extrato_zig!G:G,df_extrato_zig!E:E,Conciliacao!A413,df_extrato_zig!D:D,"Saque")-SUMIFS(df_extrato_zig!G:G,df_extrato_zig!E:E,Conciliacao!A413,df_extrato_zig!D:D,"Antecipação")</f>
        <v/>
      </c>
      <c r="C413" s="3">
        <f>SUMIFS(df_extrato_zig!E:E,df_extrato_zig!L:L,Conciliacao!A413,df_extrato_zig!F:F,"DINHEIRO")</f>
        <v/>
      </c>
      <c r="D413" s="3">
        <f>SUMIFS(view_parc_agrup!H:H,view_parc_agrup!G:G,Conciliacao!A413)</f>
        <v/>
      </c>
      <c r="E413" s="3">
        <f>SUMIFS(df_eventos!F:F,df_eventos!H:H,Conciliacao!A413)</f>
        <v/>
      </c>
      <c r="F413" s="3">
        <f>SUMIFS(df_mutuos!M:M,df_mutuos!B:B,Conciliacao!A413)</f>
        <v/>
      </c>
      <c r="G413" s="6">
        <f>SUMIFS(df_bloqueios_judiciais!G:G,df_bloqueios_judiciais!D:D,Conciliacao!A413,df_bloqueios_judiciais!G:G,"&gt;0")</f>
        <v/>
      </c>
      <c r="H413" s="7">
        <f>SUMIFS(df_extratos!I:I,df_extratos!F:F,Conciliacao!BE413,df_extratos!G:G,"CREDITO")+SUMIFS(df_extratos!I:I,df_extratos!F:F,Conciliacao!A413,df_extratos!G:G,"CREDITO")+SUMIFS(df_extratos!I:I,df_extratos!F:F,Conciliacao!BF413,df_extratos!G:G,"CREDITO")+SUMIFS(df_extratos!I:I,df_extratos!F:F,Conciliacao!BG413,df_extratos!G:G,"CREDITO")+SUMIFS(df_extratos!I:I,df_extratos!F:F,Conciliacao!BH413,df_extratos!G:G,"CREDITO")</f>
        <v/>
      </c>
      <c r="I413" s="9">
        <f>H413-SUM(B413:G413)</f>
        <v/>
      </c>
      <c r="J413" s="4">
        <f>SUMIFS(df_blueme_sem_parcelamento!E:E,df_blueme_sem_parcelamento!H:H,Conciliacao!A413)*(-1)</f>
        <v/>
      </c>
      <c r="K413" s="4">
        <f>SUMIFS(df_blueme_com_parcelamento!J:J,df_blueme_com_parcelamento!M:M,Conciliacao!A413)*(-1)</f>
        <v/>
      </c>
      <c r="L413" s="4">
        <f>SUMIFS(df_mutuos!N:N,df_mutuos!B:B,Conciliacao!A413)*(-1)</f>
        <v/>
      </c>
      <c r="M413" s="8">
        <f>SUMIFS(df_bloqueios_judiciais!G:G,df_bloqueios_judiciais!D:D,Conciliacao!A413,df_bloqueios_judiciais!G:G,"&lt;0")</f>
        <v/>
      </c>
      <c r="N413" s="10">
        <f>SUMIFS(df_extratos!I:I,df_extratos!F:F,Conciliacao!BE413,df_extratos!G:G,"DEBITO")+SUMIFS(df_extratos!I:I,df_extratos!F:F,Conciliacao!A413,df_extratos!G:G,"DEBITO")+SUMIFS(df_extratos!I:I,df_extratos!F:F,Conciliacao!BF413,df_extratos!G:G,"DEBITO")+SUMIFS(df_extratos!I:I,df_extratos!F:F,Conciliacao!BG413,df_extratos!G:G,"DEBITO")+SUMIFS(df_extratos!I:I,df_extratos!F:F,Conciliacao!BH413,df_extratos!G:G,"DEBITO")</f>
        <v/>
      </c>
      <c r="O413" s="11">
        <f>N413-SUM(J413:M413)</f>
        <v/>
      </c>
      <c r="P413" s="25">
        <f>SUMIFS(df_ajustes_conciliaco!D:D,df_ajustes_conciliaco!C:C,Conciliacao!A413)</f>
        <v/>
      </c>
      <c r="Q413" s="22">
        <f>O413+I413-P413</f>
        <v/>
      </c>
      <c r="BE413" s="20" t="n">
        <v>46069.5</v>
      </c>
      <c r="BF413" s="20" t="n">
        <v>46069.125</v>
      </c>
      <c r="BG413" s="20" t="n">
        <v>46069.5416666088</v>
      </c>
      <c r="BH413" s="20" t="n">
        <v>46069.625</v>
      </c>
    </row>
    <row r="414">
      <c r="A414" s="5">
        <f>A413+1</f>
        <v/>
      </c>
      <c r="B414" s="3">
        <f>-SUMIFS(df_extrato_zig!G:G,df_extrato_zig!E:E,Conciliacao!A414,df_extrato_zig!D:D,"Saque")-SUMIFS(df_extrato_zig!G:G,df_extrato_zig!E:E,Conciliacao!A414,df_extrato_zig!D:D,"Antecipação")</f>
        <v/>
      </c>
      <c r="C414" s="3">
        <f>SUMIFS(df_extrato_zig!E:E,df_extrato_zig!L:L,Conciliacao!A414,df_extrato_zig!F:F,"DINHEIRO")</f>
        <v/>
      </c>
      <c r="D414" s="3">
        <f>SUMIFS(view_parc_agrup!H:H,view_parc_agrup!G:G,Conciliacao!A414)</f>
        <v/>
      </c>
      <c r="E414" s="3">
        <f>SUMIFS(df_eventos!F:F,df_eventos!H:H,Conciliacao!A414)</f>
        <v/>
      </c>
      <c r="F414" s="3">
        <f>SUMIFS(df_mutuos!M:M,df_mutuos!B:B,Conciliacao!A414)</f>
        <v/>
      </c>
      <c r="G414" s="6">
        <f>SUMIFS(df_bloqueios_judiciais!G:G,df_bloqueios_judiciais!D:D,Conciliacao!A414,df_bloqueios_judiciais!G:G,"&gt;0")</f>
        <v/>
      </c>
      <c r="H414" s="7">
        <f>SUMIFS(df_extratos!I:I,df_extratos!F:F,Conciliacao!BE414,df_extratos!G:G,"CREDITO")+SUMIFS(df_extratos!I:I,df_extratos!F:F,Conciliacao!A414,df_extratos!G:G,"CREDITO")+SUMIFS(df_extratos!I:I,df_extratos!F:F,Conciliacao!BF414,df_extratos!G:G,"CREDITO")+SUMIFS(df_extratos!I:I,df_extratos!F:F,Conciliacao!BG414,df_extratos!G:G,"CREDITO")+SUMIFS(df_extratos!I:I,df_extratos!F:F,Conciliacao!BH414,df_extratos!G:G,"CREDITO")</f>
        <v/>
      </c>
      <c r="I414" s="9">
        <f>H414-SUM(B414:G414)</f>
        <v/>
      </c>
      <c r="J414" s="4">
        <f>SUMIFS(df_blueme_sem_parcelamento!E:E,df_blueme_sem_parcelamento!H:H,Conciliacao!A414)*(-1)</f>
        <v/>
      </c>
      <c r="K414" s="4">
        <f>SUMIFS(df_blueme_com_parcelamento!J:J,df_blueme_com_parcelamento!M:M,Conciliacao!A414)*(-1)</f>
        <v/>
      </c>
      <c r="L414" s="4">
        <f>SUMIFS(df_mutuos!N:N,df_mutuos!B:B,Conciliacao!A414)*(-1)</f>
        <v/>
      </c>
      <c r="M414" s="8">
        <f>SUMIFS(df_bloqueios_judiciais!G:G,df_bloqueios_judiciais!D:D,Conciliacao!A414,df_bloqueios_judiciais!G:G,"&lt;0")</f>
        <v/>
      </c>
      <c r="N414" s="10">
        <f>SUMIFS(df_extratos!I:I,df_extratos!F:F,Conciliacao!BE414,df_extratos!G:G,"DEBITO")+SUMIFS(df_extratos!I:I,df_extratos!F:F,Conciliacao!A414,df_extratos!G:G,"DEBITO")+SUMIFS(df_extratos!I:I,df_extratos!F:F,Conciliacao!BF414,df_extratos!G:G,"DEBITO")+SUMIFS(df_extratos!I:I,df_extratos!F:F,Conciliacao!BG414,df_extratos!G:G,"DEBITO")+SUMIFS(df_extratos!I:I,df_extratos!F:F,Conciliacao!BH414,df_extratos!G:G,"DEBITO")</f>
        <v/>
      </c>
      <c r="O414" s="11">
        <f>N414-SUM(J414:M414)</f>
        <v/>
      </c>
      <c r="P414" s="25">
        <f>SUMIFS(df_ajustes_conciliaco!D:D,df_ajustes_conciliaco!C:C,Conciliacao!A414)</f>
        <v/>
      </c>
      <c r="Q414" s="22">
        <f>O414+I414-P414</f>
        <v/>
      </c>
      <c r="BE414" s="20" t="n">
        <v>46070.5</v>
      </c>
      <c r="BF414" s="20" t="n">
        <v>46070.125</v>
      </c>
      <c r="BG414" s="20" t="n">
        <v>46070.5416666088</v>
      </c>
      <c r="BH414" s="20" t="n">
        <v>46070.625</v>
      </c>
    </row>
    <row r="415">
      <c r="A415" s="5">
        <f>A414+1</f>
        <v/>
      </c>
      <c r="B415" s="3">
        <f>-SUMIFS(df_extrato_zig!G:G,df_extrato_zig!E:E,Conciliacao!A415,df_extrato_zig!D:D,"Saque")-SUMIFS(df_extrato_zig!G:G,df_extrato_zig!E:E,Conciliacao!A415,df_extrato_zig!D:D,"Antecipação")</f>
        <v/>
      </c>
      <c r="C415" s="3">
        <f>SUMIFS(df_extrato_zig!E:E,df_extrato_zig!L:L,Conciliacao!A415,df_extrato_zig!F:F,"DINHEIRO")</f>
        <v/>
      </c>
      <c r="D415" s="3">
        <f>SUMIFS(view_parc_agrup!H:H,view_parc_agrup!G:G,Conciliacao!A415)</f>
        <v/>
      </c>
      <c r="E415" s="3">
        <f>SUMIFS(df_eventos!F:F,df_eventos!H:H,Conciliacao!A415)</f>
        <v/>
      </c>
      <c r="F415" s="3">
        <f>SUMIFS(df_mutuos!M:M,df_mutuos!B:B,Conciliacao!A415)</f>
        <v/>
      </c>
      <c r="G415" s="6">
        <f>SUMIFS(df_bloqueios_judiciais!G:G,df_bloqueios_judiciais!D:D,Conciliacao!A415,df_bloqueios_judiciais!G:G,"&gt;0")</f>
        <v/>
      </c>
      <c r="H415" s="7">
        <f>SUMIFS(df_extratos!I:I,df_extratos!F:F,Conciliacao!BE415,df_extratos!G:G,"CREDITO")+SUMIFS(df_extratos!I:I,df_extratos!F:F,Conciliacao!A415,df_extratos!G:G,"CREDITO")+SUMIFS(df_extratos!I:I,df_extratos!F:F,Conciliacao!BF415,df_extratos!G:G,"CREDITO")+SUMIFS(df_extratos!I:I,df_extratos!F:F,Conciliacao!BG415,df_extratos!G:G,"CREDITO")+SUMIFS(df_extratos!I:I,df_extratos!F:F,Conciliacao!BH415,df_extratos!G:G,"CREDITO")</f>
        <v/>
      </c>
      <c r="I415" s="9">
        <f>H415-SUM(B415:G415)</f>
        <v/>
      </c>
      <c r="J415" s="4">
        <f>SUMIFS(df_blueme_sem_parcelamento!E:E,df_blueme_sem_parcelamento!H:H,Conciliacao!A415)*(-1)</f>
        <v/>
      </c>
      <c r="K415" s="4">
        <f>SUMIFS(df_blueme_com_parcelamento!J:J,df_blueme_com_parcelamento!M:M,Conciliacao!A415)*(-1)</f>
        <v/>
      </c>
      <c r="L415" s="4">
        <f>SUMIFS(df_mutuos!N:N,df_mutuos!B:B,Conciliacao!A415)*(-1)</f>
        <v/>
      </c>
      <c r="M415" s="8">
        <f>SUMIFS(df_bloqueios_judiciais!G:G,df_bloqueios_judiciais!D:D,Conciliacao!A415,df_bloqueios_judiciais!G:G,"&lt;0")</f>
        <v/>
      </c>
      <c r="N415" s="10">
        <f>SUMIFS(df_extratos!I:I,df_extratos!F:F,Conciliacao!BE415,df_extratos!G:G,"DEBITO")+SUMIFS(df_extratos!I:I,df_extratos!F:F,Conciliacao!A415,df_extratos!G:G,"DEBITO")+SUMIFS(df_extratos!I:I,df_extratos!F:F,Conciliacao!BF415,df_extratos!G:G,"DEBITO")+SUMIFS(df_extratos!I:I,df_extratos!F:F,Conciliacao!BG415,df_extratos!G:G,"DEBITO")+SUMIFS(df_extratos!I:I,df_extratos!F:F,Conciliacao!BH415,df_extratos!G:G,"DEBITO")</f>
        <v/>
      </c>
      <c r="O415" s="11">
        <f>N415-SUM(J415:M415)</f>
        <v/>
      </c>
      <c r="P415" s="25">
        <f>SUMIFS(df_ajustes_conciliaco!D:D,df_ajustes_conciliaco!C:C,Conciliacao!A415)</f>
        <v/>
      </c>
      <c r="Q415" s="22">
        <f>O415+I415-P415</f>
        <v/>
      </c>
      <c r="BE415" s="20" t="n">
        <v>46071.5</v>
      </c>
      <c r="BF415" s="20" t="n">
        <v>46071.125</v>
      </c>
      <c r="BG415" s="20" t="n">
        <v>46071.5416666088</v>
      </c>
      <c r="BH415" s="20" t="n">
        <v>46071.625</v>
      </c>
    </row>
    <row r="416">
      <c r="A416" s="5">
        <f>A415+1</f>
        <v/>
      </c>
      <c r="B416" s="3">
        <f>-SUMIFS(df_extrato_zig!G:G,df_extrato_zig!E:E,Conciliacao!A416,df_extrato_zig!D:D,"Saque")-SUMIFS(df_extrato_zig!G:G,df_extrato_zig!E:E,Conciliacao!A416,df_extrato_zig!D:D,"Antecipação")</f>
        <v/>
      </c>
      <c r="C416" s="3">
        <f>SUMIFS(df_extrato_zig!E:E,df_extrato_zig!L:L,Conciliacao!A416,df_extrato_zig!F:F,"DINHEIRO")</f>
        <v/>
      </c>
      <c r="D416" s="3">
        <f>SUMIFS(view_parc_agrup!H:H,view_parc_agrup!G:G,Conciliacao!A416)</f>
        <v/>
      </c>
      <c r="E416" s="3">
        <f>SUMIFS(df_eventos!F:F,df_eventos!H:H,Conciliacao!A416)</f>
        <v/>
      </c>
      <c r="F416" s="3">
        <f>SUMIFS(df_mutuos!M:M,df_mutuos!B:B,Conciliacao!A416)</f>
        <v/>
      </c>
      <c r="G416" s="6">
        <f>SUMIFS(df_bloqueios_judiciais!G:G,df_bloqueios_judiciais!D:D,Conciliacao!A416,df_bloqueios_judiciais!G:G,"&gt;0")</f>
        <v/>
      </c>
      <c r="H416" s="7">
        <f>SUMIFS(df_extratos!I:I,df_extratos!F:F,Conciliacao!BE416,df_extratos!G:G,"CREDITO")+SUMIFS(df_extratos!I:I,df_extratos!F:F,Conciliacao!A416,df_extratos!G:G,"CREDITO")+SUMIFS(df_extratos!I:I,df_extratos!F:F,Conciliacao!BF416,df_extratos!G:G,"CREDITO")+SUMIFS(df_extratos!I:I,df_extratos!F:F,Conciliacao!BG416,df_extratos!G:G,"CREDITO")+SUMIFS(df_extratos!I:I,df_extratos!F:F,Conciliacao!BH416,df_extratos!G:G,"CREDITO")</f>
        <v/>
      </c>
      <c r="I416" s="9">
        <f>H416-SUM(B416:G416)</f>
        <v/>
      </c>
      <c r="J416" s="4">
        <f>SUMIFS(df_blueme_sem_parcelamento!E:E,df_blueme_sem_parcelamento!H:H,Conciliacao!A416)*(-1)</f>
        <v/>
      </c>
      <c r="K416" s="4">
        <f>SUMIFS(df_blueme_com_parcelamento!J:J,df_blueme_com_parcelamento!M:M,Conciliacao!A416)*(-1)</f>
        <v/>
      </c>
      <c r="L416" s="4">
        <f>SUMIFS(df_mutuos!N:N,df_mutuos!B:B,Conciliacao!A416)*(-1)</f>
        <v/>
      </c>
      <c r="M416" s="8">
        <f>SUMIFS(df_bloqueios_judiciais!G:G,df_bloqueios_judiciais!D:D,Conciliacao!A416,df_bloqueios_judiciais!G:G,"&lt;0")</f>
        <v/>
      </c>
      <c r="N416" s="10">
        <f>SUMIFS(df_extratos!I:I,df_extratos!F:F,Conciliacao!BE416,df_extratos!G:G,"DEBITO")+SUMIFS(df_extratos!I:I,df_extratos!F:F,Conciliacao!A416,df_extratos!G:G,"DEBITO")+SUMIFS(df_extratos!I:I,df_extratos!F:F,Conciliacao!BF416,df_extratos!G:G,"DEBITO")+SUMIFS(df_extratos!I:I,df_extratos!F:F,Conciliacao!BG416,df_extratos!G:G,"DEBITO")+SUMIFS(df_extratos!I:I,df_extratos!F:F,Conciliacao!BH416,df_extratos!G:G,"DEBITO")</f>
        <v/>
      </c>
      <c r="O416" s="11">
        <f>N416-SUM(J416:M416)</f>
        <v/>
      </c>
      <c r="P416" s="25">
        <f>SUMIFS(df_ajustes_conciliaco!D:D,df_ajustes_conciliaco!C:C,Conciliacao!A416)</f>
        <v/>
      </c>
      <c r="Q416" s="22">
        <f>O416+I416-P416</f>
        <v/>
      </c>
      <c r="BE416" s="20" t="n">
        <v>46072.5</v>
      </c>
      <c r="BF416" s="20" t="n">
        <v>46072.125</v>
      </c>
      <c r="BG416" s="20" t="n">
        <v>46072.5416666088</v>
      </c>
      <c r="BH416" s="20" t="n">
        <v>46072.625</v>
      </c>
    </row>
    <row r="417">
      <c r="A417" s="5">
        <f>A416+1</f>
        <v/>
      </c>
      <c r="B417" s="3">
        <f>-SUMIFS(df_extrato_zig!G:G,df_extrato_zig!E:E,Conciliacao!A417,df_extrato_zig!D:D,"Saque")-SUMIFS(df_extrato_zig!G:G,df_extrato_zig!E:E,Conciliacao!A417,df_extrato_zig!D:D,"Antecipação")</f>
        <v/>
      </c>
      <c r="C417" s="3">
        <f>SUMIFS(df_extrato_zig!E:E,df_extrato_zig!L:L,Conciliacao!A417,df_extrato_zig!F:F,"DINHEIRO")</f>
        <v/>
      </c>
      <c r="D417" s="3">
        <f>SUMIFS(view_parc_agrup!H:H,view_parc_agrup!G:G,Conciliacao!A417)</f>
        <v/>
      </c>
      <c r="E417" s="3">
        <f>SUMIFS(df_eventos!F:F,df_eventos!H:H,Conciliacao!A417)</f>
        <v/>
      </c>
      <c r="F417" s="3">
        <f>SUMIFS(df_mutuos!M:M,df_mutuos!B:B,Conciliacao!A417)</f>
        <v/>
      </c>
      <c r="G417" s="6">
        <f>SUMIFS(df_bloqueios_judiciais!G:G,df_bloqueios_judiciais!D:D,Conciliacao!A417,df_bloqueios_judiciais!G:G,"&gt;0")</f>
        <v/>
      </c>
      <c r="H417" s="7">
        <f>SUMIFS(df_extratos!I:I,df_extratos!F:F,Conciliacao!BE417,df_extratos!G:G,"CREDITO")+SUMIFS(df_extratos!I:I,df_extratos!F:F,Conciliacao!A417,df_extratos!G:G,"CREDITO")+SUMIFS(df_extratos!I:I,df_extratos!F:F,Conciliacao!BF417,df_extratos!G:G,"CREDITO")+SUMIFS(df_extratos!I:I,df_extratos!F:F,Conciliacao!BG417,df_extratos!G:G,"CREDITO")+SUMIFS(df_extratos!I:I,df_extratos!F:F,Conciliacao!BH417,df_extratos!G:G,"CREDITO")</f>
        <v/>
      </c>
      <c r="I417" s="9">
        <f>H417-SUM(B417:G417)</f>
        <v/>
      </c>
      <c r="J417" s="4">
        <f>SUMIFS(df_blueme_sem_parcelamento!E:E,df_blueme_sem_parcelamento!H:H,Conciliacao!A417)*(-1)</f>
        <v/>
      </c>
      <c r="K417" s="4">
        <f>SUMIFS(df_blueme_com_parcelamento!J:J,df_blueme_com_parcelamento!M:M,Conciliacao!A417)*(-1)</f>
        <v/>
      </c>
      <c r="L417" s="4">
        <f>SUMIFS(df_mutuos!N:N,df_mutuos!B:B,Conciliacao!A417)*(-1)</f>
        <v/>
      </c>
      <c r="M417" s="8">
        <f>SUMIFS(df_bloqueios_judiciais!G:G,df_bloqueios_judiciais!D:D,Conciliacao!A417,df_bloqueios_judiciais!G:G,"&lt;0")</f>
        <v/>
      </c>
      <c r="N417" s="10">
        <f>SUMIFS(df_extratos!I:I,df_extratos!F:F,Conciliacao!BE417,df_extratos!G:G,"DEBITO")+SUMIFS(df_extratos!I:I,df_extratos!F:F,Conciliacao!A417,df_extratos!G:G,"DEBITO")+SUMIFS(df_extratos!I:I,df_extratos!F:F,Conciliacao!BF417,df_extratos!G:G,"DEBITO")+SUMIFS(df_extratos!I:I,df_extratos!F:F,Conciliacao!BG417,df_extratos!G:G,"DEBITO")+SUMIFS(df_extratos!I:I,df_extratos!F:F,Conciliacao!BH417,df_extratos!G:G,"DEBITO")</f>
        <v/>
      </c>
      <c r="O417" s="11">
        <f>N417-SUM(J417:M417)</f>
        <v/>
      </c>
      <c r="P417" s="25">
        <f>SUMIFS(df_ajustes_conciliaco!D:D,df_ajustes_conciliaco!C:C,Conciliacao!A417)</f>
        <v/>
      </c>
      <c r="Q417" s="22">
        <f>O417+I417-P417</f>
        <v/>
      </c>
      <c r="BE417" s="20" t="n">
        <v>46073.5</v>
      </c>
      <c r="BF417" s="20" t="n">
        <v>46073.125</v>
      </c>
      <c r="BG417" s="20" t="n">
        <v>46073.5416666088</v>
      </c>
      <c r="BH417" s="20" t="n">
        <v>46073.625</v>
      </c>
    </row>
    <row r="418">
      <c r="A418" s="5">
        <f>A417+1</f>
        <v/>
      </c>
      <c r="B418" s="3">
        <f>-SUMIFS(df_extrato_zig!G:G,df_extrato_zig!E:E,Conciliacao!A418,df_extrato_zig!D:D,"Saque")-SUMIFS(df_extrato_zig!G:G,df_extrato_zig!E:E,Conciliacao!A418,df_extrato_zig!D:D,"Antecipação")</f>
        <v/>
      </c>
      <c r="C418" s="3">
        <f>SUMIFS(df_extrato_zig!E:E,df_extrato_zig!L:L,Conciliacao!A418,df_extrato_zig!F:F,"DINHEIRO")</f>
        <v/>
      </c>
      <c r="D418" s="3">
        <f>SUMIFS(view_parc_agrup!H:H,view_parc_agrup!G:G,Conciliacao!A418)</f>
        <v/>
      </c>
      <c r="E418" s="3">
        <f>SUMIFS(df_eventos!F:F,df_eventos!H:H,Conciliacao!A418)</f>
        <v/>
      </c>
      <c r="F418" s="3">
        <f>SUMIFS(df_mutuos!M:M,df_mutuos!B:B,Conciliacao!A418)</f>
        <v/>
      </c>
      <c r="G418" s="6">
        <f>SUMIFS(df_bloqueios_judiciais!G:G,df_bloqueios_judiciais!D:D,Conciliacao!A418,df_bloqueios_judiciais!G:G,"&gt;0")</f>
        <v/>
      </c>
      <c r="H418" s="7">
        <f>SUMIFS(df_extratos!I:I,df_extratos!F:F,Conciliacao!BE418,df_extratos!G:G,"CREDITO")+SUMIFS(df_extratos!I:I,df_extratos!F:F,Conciliacao!A418,df_extratos!G:G,"CREDITO")+SUMIFS(df_extratos!I:I,df_extratos!F:F,Conciliacao!BF418,df_extratos!G:G,"CREDITO")+SUMIFS(df_extratos!I:I,df_extratos!F:F,Conciliacao!BG418,df_extratos!G:G,"CREDITO")+SUMIFS(df_extratos!I:I,df_extratos!F:F,Conciliacao!BH418,df_extratos!G:G,"CREDITO")</f>
        <v/>
      </c>
      <c r="I418" s="9">
        <f>H418-SUM(B418:G418)</f>
        <v/>
      </c>
      <c r="J418" s="4">
        <f>SUMIFS(df_blueme_sem_parcelamento!E:E,df_blueme_sem_parcelamento!H:H,Conciliacao!A418)*(-1)</f>
        <v/>
      </c>
      <c r="K418" s="4">
        <f>SUMIFS(df_blueme_com_parcelamento!J:J,df_blueme_com_parcelamento!M:M,Conciliacao!A418)*(-1)</f>
        <v/>
      </c>
      <c r="L418" s="4">
        <f>SUMIFS(df_mutuos!N:N,df_mutuos!B:B,Conciliacao!A418)*(-1)</f>
        <v/>
      </c>
      <c r="M418" s="8">
        <f>SUMIFS(df_bloqueios_judiciais!G:G,df_bloqueios_judiciais!D:D,Conciliacao!A418,df_bloqueios_judiciais!G:G,"&lt;0")</f>
        <v/>
      </c>
      <c r="N418" s="10">
        <f>SUMIFS(df_extratos!I:I,df_extratos!F:F,Conciliacao!BE418,df_extratos!G:G,"DEBITO")+SUMIFS(df_extratos!I:I,df_extratos!F:F,Conciliacao!A418,df_extratos!G:G,"DEBITO")+SUMIFS(df_extratos!I:I,df_extratos!F:F,Conciliacao!BF418,df_extratos!G:G,"DEBITO")+SUMIFS(df_extratos!I:I,df_extratos!F:F,Conciliacao!BG418,df_extratos!G:G,"DEBITO")+SUMIFS(df_extratos!I:I,df_extratos!F:F,Conciliacao!BH418,df_extratos!G:G,"DEBITO")</f>
        <v/>
      </c>
      <c r="O418" s="11">
        <f>N418-SUM(J418:M418)</f>
        <v/>
      </c>
      <c r="P418" s="25">
        <f>SUMIFS(df_ajustes_conciliaco!D:D,df_ajustes_conciliaco!C:C,Conciliacao!A418)</f>
        <v/>
      </c>
      <c r="Q418" s="22">
        <f>O418+I418-P418</f>
        <v/>
      </c>
      <c r="BE418" s="20" t="n">
        <v>46074.5</v>
      </c>
      <c r="BF418" s="20" t="n">
        <v>46074.125</v>
      </c>
      <c r="BG418" s="20" t="n">
        <v>46074.5416666088</v>
      </c>
      <c r="BH418" s="20" t="n">
        <v>46074.625</v>
      </c>
    </row>
    <row r="419">
      <c r="A419" s="5">
        <f>A418+1</f>
        <v/>
      </c>
      <c r="B419" s="3">
        <f>-SUMIFS(df_extrato_zig!G:G,df_extrato_zig!E:E,Conciliacao!A419,df_extrato_zig!D:D,"Saque")-SUMIFS(df_extrato_zig!G:G,df_extrato_zig!E:E,Conciliacao!A419,df_extrato_zig!D:D,"Antecipação")</f>
        <v/>
      </c>
      <c r="C419" s="3">
        <f>SUMIFS(df_extrato_zig!E:E,df_extrato_zig!L:L,Conciliacao!A419,df_extrato_zig!F:F,"DINHEIRO")</f>
        <v/>
      </c>
      <c r="D419" s="3">
        <f>SUMIFS(view_parc_agrup!H:H,view_parc_agrup!G:G,Conciliacao!A419)</f>
        <v/>
      </c>
      <c r="E419" s="3">
        <f>SUMIFS(df_eventos!F:F,df_eventos!H:H,Conciliacao!A419)</f>
        <v/>
      </c>
      <c r="F419" s="3">
        <f>SUMIFS(df_mutuos!M:M,df_mutuos!B:B,Conciliacao!A419)</f>
        <v/>
      </c>
      <c r="G419" s="6">
        <f>SUMIFS(df_bloqueios_judiciais!G:G,df_bloqueios_judiciais!D:D,Conciliacao!A419,df_bloqueios_judiciais!G:G,"&gt;0")</f>
        <v/>
      </c>
      <c r="H419" s="7">
        <f>SUMIFS(df_extratos!I:I,df_extratos!F:F,Conciliacao!BE419,df_extratos!G:G,"CREDITO")+SUMIFS(df_extratos!I:I,df_extratos!F:F,Conciliacao!A419,df_extratos!G:G,"CREDITO")+SUMIFS(df_extratos!I:I,df_extratos!F:F,Conciliacao!BF419,df_extratos!G:G,"CREDITO")+SUMIFS(df_extratos!I:I,df_extratos!F:F,Conciliacao!BG419,df_extratos!G:G,"CREDITO")+SUMIFS(df_extratos!I:I,df_extratos!F:F,Conciliacao!BH419,df_extratos!G:G,"CREDITO")</f>
        <v/>
      </c>
      <c r="I419" s="9">
        <f>H419-SUM(B419:G419)</f>
        <v/>
      </c>
      <c r="J419" s="4">
        <f>SUMIFS(df_blueme_sem_parcelamento!E:E,df_blueme_sem_parcelamento!H:H,Conciliacao!A419)*(-1)</f>
        <v/>
      </c>
      <c r="K419" s="4">
        <f>SUMIFS(df_blueme_com_parcelamento!J:J,df_blueme_com_parcelamento!M:M,Conciliacao!A419)*(-1)</f>
        <v/>
      </c>
      <c r="L419" s="4">
        <f>SUMIFS(df_mutuos!N:N,df_mutuos!B:B,Conciliacao!A419)*(-1)</f>
        <v/>
      </c>
      <c r="M419" s="8">
        <f>SUMIFS(df_bloqueios_judiciais!G:G,df_bloqueios_judiciais!D:D,Conciliacao!A419,df_bloqueios_judiciais!G:G,"&lt;0")</f>
        <v/>
      </c>
      <c r="N419" s="10">
        <f>SUMIFS(df_extratos!I:I,df_extratos!F:F,Conciliacao!BE419,df_extratos!G:G,"DEBITO")+SUMIFS(df_extratos!I:I,df_extratos!F:F,Conciliacao!A419,df_extratos!G:G,"DEBITO")+SUMIFS(df_extratos!I:I,df_extratos!F:F,Conciliacao!BF419,df_extratos!G:G,"DEBITO")+SUMIFS(df_extratos!I:I,df_extratos!F:F,Conciliacao!BG419,df_extratos!G:G,"DEBITO")+SUMIFS(df_extratos!I:I,df_extratos!F:F,Conciliacao!BH419,df_extratos!G:G,"DEBITO")</f>
        <v/>
      </c>
      <c r="O419" s="11">
        <f>N419-SUM(J419:M419)</f>
        <v/>
      </c>
      <c r="P419" s="25">
        <f>SUMIFS(df_ajustes_conciliaco!D:D,df_ajustes_conciliaco!C:C,Conciliacao!A419)</f>
        <v/>
      </c>
      <c r="Q419" s="22">
        <f>O419+I419-P419</f>
        <v/>
      </c>
      <c r="BE419" s="20" t="n">
        <v>46075.5</v>
      </c>
      <c r="BF419" s="20" t="n">
        <v>46075.125</v>
      </c>
      <c r="BG419" s="20" t="n">
        <v>46075.5416666088</v>
      </c>
      <c r="BH419" s="20" t="n">
        <v>46075.625</v>
      </c>
    </row>
    <row r="420">
      <c r="A420" s="5">
        <f>A419+1</f>
        <v/>
      </c>
      <c r="B420" s="3">
        <f>-SUMIFS(df_extrato_zig!G:G,df_extrato_zig!E:E,Conciliacao!A420,df_extrato_zig!D:D,"Saque")-SUMIFS(df_extrato_zig!G:G,df_extrato_zig!E:E,Conciliacao!A420,df_extrato_zig!D:D,"Antecipação")</f>
        <v/>
      </c>
      <c r="C420" s="3">
        <f>SUMIFS(df_extrato_zig!E:E,df_extrato_zig!L:L,Conciliacao!A420,df_extrato_zig!F:F,"DINHEIRO")</f>
        <v/>
      </c>
      <c r="D420" s="3">
        <f>SUMIFS(view_parc_agrup!H:H,view_parc_agrup!G:G,Conciliacao!A420)</f>
        <v/>
      </c>
      <c r="E420" s="3">
        <f>SUMIFS(df_eventos!F:F,df_eventos!H:H,Conciliacao!A420)</f>
        <v/>
      </c>
      <c r="F420" s="3">
        <f>SUMIFS(df_mutuos!M:M,df_mutuos!B:B,Conciliacao!A420)</f>
        <v/>
      </c>
      <c r="G420" s="6">
        <f>SUMIFS(df_bloqueios_judiciais!G:G,df_bloqueios_judiciais!D:D,Conciliacao!A420,df_bloqueios_judiciais!G:G,"&gt;0")</f>
        <v/>
      </c>
      <c r="H420" s="7">
        <f>SUMIFS(df_extratos!I:I,df_extratos!F:F,Conciliacao!BE420,df_extratos!G:G,"CREDITO")+SUMIFS(df_extratos!I:I,df_extratos!F:F,Conciliacao!A420,df_extratos!G:G,"CREDITO")+SUMIFS(df_extratos!I:I,df_extratos!F:F,Conciliacao!BF420,df_extratos!G:G,"CREDITO")+SUMIFS(df_extratos!I:I,df_extratos!F:F,Conciliacao!BG420,df_extratos!G:G,"CREDITO")+SUMIFS(df_extratos!I:I,df_extratos!F:F,Conciliacao!BH420,df_extratos!G:G,"CREDITO")</f>
        <v/>
      </c>
      <c r="I420" s="9">
        <f>H420-SUM(B420:G420)</f>
        <v/>
      </c>
      <c r="J420" s="4">
        <f>SUMIFS(df_blueme_sem_parcelamento!E:E,df_blueme_sem_parcelamento!H:H,Conciliacao!A420)*(-1)</f>
        <v/>
      </c>
      <c r="K420" s="4">
        <f>SUMIFS(df_blueme_com_parcelamento!J:J,df_blueme_com_parcelamento!M:M,Conciliacao!A420)*(-1)</f>
        <v/>
      </c>
      <c r="L420" s="4">
        <f>SUMIFS(df_mutuos!N:N,df_mutuos!B:B,Conciliacao!A420)*(-1)</f>
        <v/>
      </c>
      <c r="M420" s="8">
        <f>SUMIFS(df_bloqueios_judiciais!G:G,df_bloqueios_judiciais!D:D,Conciliacao!A420,df_bloqueios_judiciais!G:G,"&lt;0")</f>
        <v/>
      </c>
      <c r="N420" s="10">
        <f>SUMIFS(df_extratos!I:I,df_extratos!F:F,Conciliacao!BE420,df_extratos!G:G,"DEBITO")+SUMIFS(df_extratos!I:I,df_extratos!F:F,Conciliacao!A420,df_extratos!G:G,"DEBITO")+SUMIFS(df_extratos!I:I,df_extratos!F:F,Conciliacao!BF420,df_extratos!G:G,"DEBITO")+SUMIFS(df_extratos!I:I,df_extratos!F:F,Conciliacao!BG420,df_extratos!G:G,"DEBITO")+SUMIFS(df_extratos!I:I,df_extratos!F:F,Conciliacao!BH420,df_extratos!G:G,"DEBITO")</f>
        <v/>
      </c>
      <c r="O420" s="11">
        <f>N420-SUM(J420:M420)</f>
        <v/>
      </c>
      <c r="P420" s="25">
        <f>SUMIFS(df_ajustes_conciliaco!D:D,df_ajustes_conciliaco!C:C,Conciliacao!A420)</f>
        <v/>
      </c>
      <c r="Q420" s="22">
        <f>O420+I420-P420</f>
        <v/>
      </c>
      <c r="BE420" s="20" t="n">
        <v>46076.5</v>
      </c>
      <c r="BF420" s="20" t="n">
        <v>46076.125</v>
      </c>
      <c r="BG420" s="20" t="n">
        <v>46076.5416666088</v>
      </c>
      <c r="BH420" s="20" t="n">
        <v>46076.625</v>
      </c>
    </row>
    <row r="421">
      <c r="A421" s="5">
        <f>A420+1</f>
        <v/>
      </c>
      <c r="B421" s="3">
        <f>-SUMIFS(df_extrato_zig!G:G,df_extrato_zig!E:E,Conciliacao!A421,df_extrato_zig!D:D,"Saque")-SUMIFS(df_extrato_zig!G:G,df_extrato_zig!E:E,Conciliacao!A421,df_extrato_zig!D:D,"Antecipação")</f>
        <v/>
      </c>
      <c r="C421" s="3">
        <f>SUMIFS(df_extrato_zig!E:E,df_extrato_zig!L:L,Conciliacao!A421,df_extrato_zig!F:F,"DINHEIRO")</f>
        <v/>
      </c>
      <c r="D421" s="3">
        <f>SUMIFS(view_parc_agrup!H:H,view_parc_agrup!G:G,Conciliacao!A421)</f>
        <v/>
      </c>
      <c r="E421" s="3">
        <f>SUMIFS(df_eventos!F:F,df_eventos!H:H,Conciliacao!A421)</f>
        <v/>
      </c>
      <c r="F421" s="3">
        <f>SUMIFS(df_mutuos!M:M,df_mutuos!B:B,Conciliacao!A421)</f>
        <v/>
      </c>
      <c r="G421" s="6">
        <f>SUMIFS(df_bloqueios_judiciais!G:G,df_bloqueios_judiciais!D:D,Conciliacao!A421,df_bloqueios_judiciais!G:G,"&gt;0")</f>
        <v/>
      </c>
      <c r="H421" s="7">
        <f>SUMIFS(df_extratos!I:I,df_extratos!F:F,Conciliacao!BE421,df_extratos!G:G,"CREDITO")+SUMIFS(df_extratos!I:I,df_extratos!F:F,Conciliacao!A421,df_extratos!G:G,"CREDITO")+SUMIFS(df_extratos!I:I,df_extratos!F:F,Conciliacao!BF421,df_extratos!G:G,"CREDITO")+SUMIFS(df_extratos!I:I,df_extratos!F:F,Conciliacao!BG421,df_extratos!G:G,"CREDITO")+SUMIFS(df_extratos!I:I,df_extratos!F:F,Conciliacao!BH421,df_extratos!G:G,"CREDITO")</f>
        <v/>
      </c>
      <c r="I421" s="9">
        <f>H421-SUM(B421:G421)</f>
        <v/>
      </c>
      <c r="J421" s="4">
        <f>SUMIFS(df_blueme_sem_parcelamento!E:E,df_blueme_sem_parcelamento!H:H,Conciliacao!A421)*(-1)</f>
        <v/>
      </c>
      <c r="K421" s="4">
        <f>SUMIFS(df_blueme_com_parcelamento!J:J,df_blueme_com_parcelamento!M:M,Conciliacao!A421)*(-1)</f>
        <v/>
      </c>
      <c r="L421" s="4">
        <f>SUMIFS(df_mutuos!N:N,df_mutuos!B:B,Conciliacao!A421)*(-1)</f>
        <v/>
      </c>
      <c r="M421" s="8">
        <f>SUMIFS(df_bloqueios_judiciais!G:G,df_bloqueios_judiciais!D:D,Conciliacao!A421,df_bloqueios_judiciais!G:G,"&lt;0")</f>
        <v/>
      </c>
      <c r="N421" s="10">
        <f>SUMIFS(df_extratos!I:I,df_extratos!F:F,Conciliacao!BE421,df_extratos!G:G,"DEBITO")+SUMIFS(df_extratos!I:I,df_extratos!F:F,Conciliacao!A421,df_extratos!G:G,"DEBITO")+SUMIFS(df_extratos!I:I,df_extratos!F:F,Conciliacao!BF421,df_extratos!G:G,"DEBITO")+SUMIFS(df_extratos!I:I,df_extratos!F:F,Conciliacao!BG421,df_extratos!G:G,"DEBITO")+SUMIFS(df_extratos!I:I,df_extratos!F:F,Conciliacao!BH421,df_extratos!G:G,"DEBITO")</f>
        <v/>
      </c>
      <c r="O421" s="11">
        <f>N421-SUM(J421:M421)</f>
        <v/>
      </c>
      <c r="P421" s="25">
        <f>SUMIFS(df_ajustes_conciliaco!D:D,df_ajustes_conciliaco!C:C,Conciliacao!A421)</f>
        <v/>
      </c>
      <c r="Q421" s="22">
        <f>O421+I421-P421</f>
        <v/>
      </c>
      <c r="BE421" s="20" t="n">
        <v>46077.5</v>
      </c>
      <c r="BF421" s="20" t="n">
        <v>46077.125</v>
      </c>
      <c r="BG421" s="20" t="n">
        <v>46077.5416666088</v>
      </c>
      <c r="BH421" s="20" t="n">
        <v>46077.625</v>
      </c>
    </row>
    <row r="422">
      <c r="A422" s="5">
        <f>A421+1</f>
        <v/>
      </c>
      <c r="B422" s="3">
        <f>-SUMIFS(df_extrato_zig!G:G,df_extrato_zig!E:E,Conciliacao!A422,df_extrato_zig!D:D,"Saque")-SUMIFS(df_extrato_zig!G:G,df_extrato_zig!E:E,Conciliacao!A422,df_extrato_zig!D:D,"Antecipação")</f>
        <v/>
      </c>
      <c r="C422" s="3">
        <f>SUMIFS(df_extrato_zig!E:E,df_extrato_zig!L:L,Conciliacao!A422,df_extrato_zig!F:F,"DINHEIRO")</f>
        <v/>
      </c>
      <c r="D422" s="3">
        <f>SUMIFS(view_parc_agrup!H:H,view_parc_agrup!G:G,Conciliacao!A422)</f>
        <v/>
      </c>
      <c r="E422" s="3">
        <f>SUMIFS(df_eventos!F:F,df_eventos!H:H,Conciliacao!A422)</f>
        <v/>
      </c>
      <c r="F422" s="3">
        <f>SUMIFS(df_mutuos!M:M,df_mutuos!B:B,Conciliacao!A422)</f>
        <v/>
      </c>
      <c r="G422" s="6">
        <f>SUMIFS(df_bloqueios_judiciais!G:G,df_bloqueios_judiciais!D:D,Conciliacao!A422,df_bloqueios_judiciais!G:G,"&gt;0")</f>
        <v/>
      </c>
      <c r="H422" s="7">
        <f>SUMIFS(df_extratos!I:I,df_extratos!F:F,Conciliacao!BE422,df_extratos!G:G,"CREDITO")+SUMIFS(df_extratos!I:I,df_extratos!F:F,Conciliacao!A422,df_extratos!G:G,"CREDITO")+SUMIFS(df_extratos!I:I,df_extratos!F:F,Conciliacao!BF422,df_extratos!G:G,"CREDITO")+SUMIFS(df_extratos!I:I,df_extratos!F:F,Conciliacao!BG422,df_extratos!G:G,"CREDITO")+SUMIFS(df_extratos!I:I,df_extratos!F:F,Conciliacao!BH422,df_extratos!G:G,"CREDITO")</f>
        <v/>
      </c>
      <c r="I422" s="9">
        <f>H422-SUM(B422:G422)</f>
        <v/>
      </c>
      <c r="J422" s="4">
        <f>SUMIFS(df_blueme_sem_parcelamento!E:E,df_blueme_sem_parcelamento!H:H,Conciliacao!A422)*(-1)</f>
        <v/>
      </c>
      <c r="K422" s="4">
        <f>SUMIFS(df_blueme_com_parcelamento!J:J,df_blueme_com_parcelamento!M:M,Conciliacao!A422)*(-1)</f>
        <v/>
      </c>
      <c r="L422" s="4">
        <f>SUMIFS(df_mutuos!N:N,df_mutuos!B:B,Conciliacao!A422)*(-1)</f>
        <v/>
      </c>
      <c r="M422" s="8">
        <f>SUMIFS(df_bloqueios_judiciais!G:G,df_bloqueios_judiciais!D:D,Conciliacao!A422,df_bloqueios_judiciais!G:G,"&lt;0")</f>
        <v/>
      </c>
      <c r="N422" s="10">
        <f>SUMIFS(df_extratos!I:I,df_extratos!F:F,Conciliacao!BE422,df_extratos!G:G,"DEBITO")+SUMIFS(df_extratos!I:I,df_extratos!F:F,Conciliacao!A422,df_extratos!G:G,"DEBITO")+SUMIFS(df_extratos!I:I,df_extratos!F:F,Conciliacao!BF422,df_extratos!G:G,"DEBITO")+SUMIFS(df_extratos!I:I,df_extratos!F:F,Conciliacao!BG422,df_extratos!G:G,"DEBITO")+SUMIFS(df_extratos!I:I,df_extratos!F:F,Conciliacao!BH422,df_extratos!G:G,"DEBITO")</f>
        <v/>
      </c>
      <c r="O422" s="11">
        <f>N422-SUM(J422:M422)</f>
        <v/>
      </c>
      <c r="P422" s="25">
        <f>SUMIFS(df_ajustes_conciliaco!D:D,df_ajustes_conciliaco!C:C,Conciliacao!A422)</f>
        <v/>
      </c>
      <c r="Q422" s="22">
        <f>O422+I422-P422</f>
        <v/>
      </c>
      <c r="BE422" s="20" t="n">
        <v>46078.5</v>
      </c>
      <c r="BF422" s="20" t="n">
        <v>46078.125</v>
      </c>
      <c r="BG422" s="20" t="n">
        <v>46078.5416666088</v>
      </c>
      <c r="BH422" s="20" t="n">
        <v>46078.625</v>
      </c>
    </row>
    <row r="423">
      <c r="A423" s="5">
        <f>A422+1</f>
        <v/>
      </c>
      <c r="B423" s="3">
        <f>-SUMIFS(df_extrato_zig!G:G,df_extrato_zig!E:E,Conciliacao!A423,df_extrato_zig!D:D,"Saque")-SUMIFS(df_extrato_zig!G:G,df_extrato_zig!E:E,Conciliacao!A423,df_extrato_zig!D:D,"Antecipação")</f>
        <v/>
      </c>
      <c r="C423" s="3">
        <f>SUMIFS(df_extrato_zig!E:E,df_extrato_zig!L:L,Conciliacao!A423,df_extrato_zig!F:F,"DINHEIRO")</f>
        <v/>
      </c>
      <c r="D423" s="3">
        <f>SUMIFS(view_parc_agrup!H:H,view_parc_agrup!G:G,Conciliacao!A423)</f>
        <v/>
      </c>
      <c r="E423" s="3">
        <f>SUMIFS(df_eventos!F:F,df_eventos!H:H,Conciliacao!A423)</f>
        <v/>
      </c>
      <c r="F423" s="3">
        <f>SUMIFS(df_mutuos!M:M,df_mutuos!B:B,Conciliacao!A423)</f>
        <v/>
      </c>
      <c r="G423" s="6">
        <f>SUMIFS(df_bloqueios_judiciais!G:G,df_bloqueios_judiciais!D:D,Conciliacao!A423,df_bloqueios_judiciais!G:G,"&gt;0")</f>
        <v/>
      </c>
      <c r="H423" s="7">
        <f>SUMIFS(df_extratos!I:I,df_extratos!F:F,Conciliacao!BE423,df_extratos!G:G,"CREDITO")+SUMIFS(df_extratos!I:I,df_extratos!F:F,Conciliacao!A423,df_extratos!G:G,"CREDITO")+SUMIFS(df_extratos!I:I,df_extratos!F:F,Conciliacao!BF423,df_extratos!G:G,"CREDITO")+SUMIFS(df_extratos!I:I,df_extratos!F:F,Conciliacao!BG423,df_extratos!G:G,"CREDITO")+SUMIFS(df_extratos!I:I,df_extratos!F:F,Conciliacao!BH423,df_extratos!G:G,"CREDITO")</f>
        <v/>
      </c>
      <c r="I423" s="9">
        <f>H423-SUM(B423:G423)</f>
        <v/>
      </c>
      <c r="J423" s="4">
        <f>SUMIFS(df_blueme_sem_parcelamento!E:E,df_blueme_sem_parcelamento!H:H,Conciliacao!A423)*(-1)</f>
        <v/>
      </c>
      <c r="K423" s="4">
        <f>SUMIFS(df_blueme_com_parcelamento!J:J,df_blueme_com_parcelamento!M:M,Conciliacao!A423)*(-1)</f>
        <v/>
      </c>
      <c r="L423" s="4">
        <f>SUMIFS(df_mutuos!N:N,df_mutuos!B:B,Conciliacao!A423)*(-1)</f>
        <v/>
      </c>
      <c r="M423" s="8">
        <f>SUMIFS(df_bloqueios_judiciais!G:G,df_bloqueios_judiciais!D:D,Conciliacao!A423,df_bloqueios_judiciais!G:G,"&lt;0")</f>
        <v/>
      </c>
      <c r="N423" s="10">
        <f>SUMIFS(df_extratos!I:I,df_extratos!F:F,Conciliacao!BE423,df_extratos!G:G,"DEBITO")+SUMIFS(df_extratos!I:I,df_extratos!F:F,Conciliacao!A423,df_extratos!G:G,"DEBITO")+SUMIFS(df_extratos!I:I,df_extratos!F:F,Conciliacao!BF423,df_extratos!G:G,"DEBITO")+SUMIFS(df_extratos!I:I,df_extratos!F:F,Conciliacao!BG423,df_extratos!G:G,"DEBITO")+SUMIFS(df_extratos!I:I,df_extratos!F:F,Conciliacao!BH423,df_extratos!G:G,"DEBITO")</f>
        <v/>
      </c>
      <c r="O423" s="11">
        <f>N423-SUM(J423:M423)</f>
        <v/>
      </c>
      <c r="P423" s="25">
        <f>SUMIFS(df_ajustes_conciliaco!D:D,df_ajustes_conciliaco!C:C,Conciliacao!A423)</f>
        <v/>
      </c>
      <c r="Q423" s="22">
        <f>O423+I423-P423</f>
        <v/>
      </c>
      <c r="BE423" s="20" t="n">
        <v>46079.5</v>
      </c>
      <c r="BF423" s="20" t="n">
        <v>46079.125</v>
      </c>
      <c r="BG423" s="20" t="n">
        <v>46079.5416666088</v>
      </c>
      <c r="BH423" s="20" t="n">
        <v>46079.625</v>
      </c>
    </row>
    <row r="424">
      <c r="A424" s="5">
        <f>A423+1</f>
        <v/>
      </c>
      <c r="B424" s="3">
        <f>-SUMIFS(df_extrato_zig!G:G,df_extrato_zig!E:E,Conciliacao!A424,df_extrato_zig!D:D,"Saque")-SUMIFS(df_extrato_zig!G:G,df_extrato_zig!E:E,Conciliacao!A424,df_extrato_zig!D:D,"Antecipação")</f>
        <v/>
      </c>
      <c r="C424" s="3">
        <f>SUMIFS(df_extrato_zig!E:E,df_extrato_zig!L:L,Conciliacao!A424,df_extrato_zig!F:F,"DINHEIRO")</f>
        <v/>
      </c>
      <c r="D424" s="3">
        <f>SUMIFS(view_parc_agrup!H:H,view_parc_agrup!G:G,Conciliacao!A424)</f>
        <v/>
      </c>
      <c r="E424" s="3">
        <f>SUMIFS(df_eventos!F:F,df_eventos!H:H,Conciliacao!A424)</f>
        <v/>
      </c>
      <c r="F424" s="3">
        <f>SUMIFS(df_mutuos!M:M,df_mutuos!B:B,Conciliacao!A424)</f>
        <v/>
      </c>
      <c r="G424" s="6">
        <f>SUMIFS(df_bloqueios_judiciais!G:G,df_bloqueios_judiciais!D:D,Conciliacao!A424,df_bloqueios_judiciais!G:G,"&gt;0")</f>
        <v/>
      </c>
      <c r="H424" s="7">
        <f>SUMIFS(df_extratos!I:I,df_extratos!F:F,Conciliacao!BE424,df_extratos!G:G,"CREDITO")+SUMIFS(df_extratos!I:I,df_extratos!F:F,Conciliacao!A424,df_extratos!G:G,"CREDITO")+SUMIFS(df_extratos!I:I,df_extratos!F:F,Conciliacao!BF424,df_extratos!G:G,"CREDITO")+SUMIFS(df_extratos!I:I,df_extratos!F:F,Conciliacao!BG424,df_extratos!G:G,"CREDITO")+SUMIFS(df_extratos!I:I,df_extratos!F:F,Conciliacao!BH424,df_extratos!G:G,"CREDITO")</f>
        <v/>
      </c>
      <c r="I424" s="9">
        <f>H424-SUM(B424:G424)</f>
        <v/>
      </c>
      <c r="J424" s="4">
        <f>SUMIFS(df_blueme_sem_parcelamento!E:E,df_blueme_sem_parcelamento!H:H,Conciliacao!A424)*(-1)</f>
        <v/>
      </c>
      <c r="K424" s="4">
        <f>SUMIFS(df_blueme_com_parcelamento!J:J,df_blueme_com_parcelamento!M:M,Conciliacao!A424)*(-1)</f>
        <v/>
      </c>
      <c r="L424" s="4">
        <f>SUMIFS(df_mutuos!N:N,df_mutuos!B:B,Conciliacao!A424)*(-1)</f>
        <v/>
      </c>
      <c r="M424" s="8">
        <f>SUMIFS(df_bloqueios_judiciais!G:G,df_bloqueios_judiciais!D:D,Conciliacao!A424,df_bloqueios_judiciais!G:G,"&lt;0")</f>
        <v/>
      </c>
      <c r="N424" s="10">
        <f>SUMIFS(df_extratos!I:I,df_extratos!F:F,Conciliacao!BE424,df_extratos!G:G,"DEBITO")+SUMIFS(df_extratos!I:I,df_extratos!F:F,Conciliacao!A424,df_extratos!G:G,"DEBITO")+SUMIFS(df_extratos!I:I,df_extratos!F:F,Conciliacao!BF424,df_extratos!G:G,"DEBITO")+SUMIFS(df_extratos!I:I,df_extratos!F:F,Conciliacao!BG424,df_extratos!G:G,"DEBITO")+SUMIFS(df_extratos!I:I,df_extratos!F:F,Conciliacao!BH424,df_extratos!G:G,"DEBITO")</f>
        <v/>
      </c>
      <c r="O424" s="11">
        <f>N424-SUM(J424:M424)</f>
        <v/>
      </c>
      <c r="P424" s="25">
        <f>SUMIFS(df_ajustes_conciliaco!D:D,df_ajustes_conciliaco!C:C,Conciliacao!A424)</f>
        <v/>
      </c>
      <c r="Q424" s="22">
        <f>O424+I424-P424</f>
        <v/>
      </c>
      <c r="BE424" s="20" t="n">
        <v>46080.5</v>
      </c>
      <c r="BF424" s="20" t="n">
        <v>46080.125</v>
      </c>
      <c r="BG424" s="20" t="n">
        <v>46080.5416666088</v>
      </c>
      <c r="BH424" s="20" t="n">
        <v>46080.625</v>
      </c>
    </row>
    <row r="425">
      <c r="A425" s="5">
        <f>A424+1</f>
        <v/>
      </c>
      <c r="B425" s="3">
        <f>-SUMIFS(df_extrato_zig!G:G,df_extrato_zig!E:E,Conciliacao!A425,df_extrato_zig!D:D,"Saque")-SUMIFS(df_extrato_zig!G:G,df_extrato_zig!E:E,Conciliacao!A425,df_extrato_zig!D:D,"Antecipação")</f>
        <v/>
      </c>
      <c r="C425" s="3">
        <f>SUMIFS(df_extrato_zig!E:E,df_extrato_zig!L:L,Conciliacao!A425,df_extrato_zig!F:F,"DINHEIRO")</f>
        <v/>
      </c>
      <c r="D425" s="3">
        <f>SUMIFS(view_parc_agrup!H:H,view_parc_agrup!G:G,Conciliacao!A425)</f>
        <v/>
      </c>
      <c r="E425" s="3">
        <f>SUMIFS(df_eventos!F:F,df_eventos!H:H,Conciliacao!A425)</f>
        <v/>
      </c>
      <c r="F425" s="3">
        <f>SUMIFS(df_mutuos!M:M,df_mutuos!B:B,Conciliacao!A425)</f>
        <v/>
      </c>
      <c r="G425" s="6">
        <f>SUMIFS(df_bloqueios_judiciais!G:G,df_bloqueios_judiciais!D:D,Conciliacao!A425,df_bloqueios_judiciais!G:G,"&gt;0")</f>
        <v/>
      </c>
      <c r="H425" s="7">
        <f>SUMIFS(df_extratos!I:I,df_extratos!F:F,Conciliacao!BE425,df_extratos!G:G,"CREDITO")+SUMIFS(df_extratos!I:I,df_extratos!F:F,Conciliacao!A425,df_extratos!G:G,"CREDITO")+SUMIFS(df_extratos!I:I,df_extratos!F:F,Conciliacao!BF425,df_extratos!G:G,"CREDITO")+SUMIFS(df_extratos!I:I,df_extratos!F:F,Conciliacao!BG425,df_extratos!G:G,"CREDITO")+SUMIFS(df_extratos!I:I,df_extratos!F:F,Conciliacao!BH425,df_extratos!G:G,"CREDITO")</f>
        <v/>
      </c>
      <c r="I425" s="9">
        <f>H425-SUM(B425:G425)</f>
        <v/>
      </c>
      <c r="J425" s="4">
        <f>SUMIFS(df_blueme_sem_parcelamento!E:E,df_blueme_sem_parcelamento!H:H,Conciliacao!A425)*(-1)</f>
        <v/>
      </c>
      <c r="K425" s="4">
        <f>SUMIFS(df_blueme_com_parcelamento!J:J,df_blueme_com_parcelamento!M:M,Conciliacao!A425)*(-1)</f>
        <v/>
      </c>
      <c r="L425" s="4">
        <f>SUMIFS(df_mutuos!N:N,df_mutuos!B:B,Conciliacao!A425)*(-1)</f>
        <v/>
      </c>
      <c r="M425" s="8">
        <f>SUMIFS(df_bloqueios_judiciais!G:G,df_bloqueios_judiciais!D:D,Conciliacao!A425,df_bloqueios_judiciais!G:G,"&lt;0")</f>
        <v/>
      </c>
      <c r="N425" s="10">
        <f>SUMIFS(df_extratos!I:I,df_extratos!F:F,Conciliacao!BE425,df_extratos!G:G,"DEBITO")+SUMIFS(df_extratos!I:I,df_extratos!F:F,Conciliacao!A425,df_extratos!G:G,"DEBITO")+SUMIFS(df_extratos!I:I,df_extratos!F:F,Conciliacao!BF425,df_extratos!G:G,"DEBITO")+SUMIFS(df_extratos!I:I,df_extratos!F:F,Conciliacao!BG425,df_extratos!G:G,"DEBITO")+SUMIFS(df_extratos!I:I,df_extratos!F:F,Conciliacao!BH425,df_extratos!G:G,"DEBITO")</f>
        <v/>
      </c>
      <c r="O425" s="11">
        <f>N425-SUM(J425:M425)</f>
        <v/>
      </c>
      <c r="P425" s="25">
        <f>SUMIFS(df_ajustes_conciliaco!D:D,df_ajustes_conciliaco!C:C,Conciliacao!A425)</f>
        <v/>
      </c>
      <c r="Q425" s="22">
        <f>O425+I425-P425</f>
        <v/>
      </c>
      <c r="BE425" s="20" t="n">
        <v>46081.5</v>
      </c>
      <c r="BF425" s="20" t="n">
        <v>46081.125</v>
      </c>
      <c r="BG425" s="20" t="n">
        <v>46081.5416666088</v>
      </c>
      <c r="BH425" s="20" t="n">
        <v>46081.625</v>
      </c>
    </row>
    <row r="426">
      <c r="A426" s="5">
        <f>A425+1</f>
        <v/>
      </c>
      <c r="B426" s="3">
        <f>-SUMIFS(df_extrato_zig!G:G,df_extrato_zig!E:E,Conciliacao!A426,df_extrato_zig!D:D,"Saque")-SUMIFS(df_extrato_zig!G:G,df_extrato_zig!E:E,Conciliacao!A426,df_extrato_zig!D:D,"Antecipação")</f>
        <v/>
      </c>
      <c r="C426" s="3">
        <f>SUMIFS(df_extrato_zig!E:E,df_extrato_zig!L:L,Conciliacao!A426,df_extrato_zig!F:F,"DINHEIRO")</f>
        <v/>
      </c>
      <c r="D426" s="3">
        <f>SUMIFS(view_parc_agrup!H:H,view_parc_agrup!G:G,Conciliacao!A426)</f>
        <v/>
      </c>
      <c r="E426" s="3">
        <f>SUMIFS(df_eventos!F:F,df_eventos!H:H,Conciliacao!A426)</f>
        <v/>
      </c>
      <c r="F426" s="3">
        <f>SUMIFS(df_mutuos!M:M,df_mutuos!B:B,Conciliacao!A426)</f>
        <v/>
      </c>
      <c r="G426" s="6">
        <f>SUMIFS(df_bloqueios_judiciais!G:G,df_bloqueios_judiciais!D:D,Conciliacao!A426,df_bloqueios_judiciais!G:G,"&gt;0")</f>
        <v/>
      </c>
      <c r="H426" s="7">
        <f>SUMIFS(df_extratos!I:I,df_extratos!F:F,Conciliacao!BE426,df_extratos!G:G,"CREDITO")+SUMIFS(df_extratos!I:I,df_extratos!F:F,Conciliacao!A426,df_extratos!G:G,"CREDITO")+SUMIFS(df_extratos!I:I,df_extratos!F:F,Conciliacao!BF426,df_extratos!G:G,"CREDITO")+SUMIFS(df_extratos!I:I,df_extratos!F:F,Conciliacao!BG426,df_extratos!G:G,"CREDITO")+SUMIFS(df_extratos!I:I,df_extratos!F:F,Conciliacao!BH426,df_extratos!G:G,"CREDITO")</f>
        <v/>
      </c>
      <c r="I426" s="9">
        <f>H426-SUM(B426:G426)</f>
        <v/>
      </c>
      <c r="J426" s="4">
        <f>SUMIFS(df_blueme_sem_parcelamento!E:E,df_blueme_sem_parcelamento!H:H,Conciliacao!A426)*(-1)</f>
        <v/>
      </c>
      <c r="K426" s="4">
        <f>SUMIFS(df_blueme_com_parcelamento!J:J,df_blueme_com_parcelamento!M:M,Conciliacao!A426)*(-1)</f>
        <v/>
      </c>
      <c r="L426" s="4">
        <f>SUMIFS(df_mutuos!N:N,df_mutuos!B:B,Conciliacao!A426)*(-1)</f>
        <v/>
      </c>
      <c r="M426" s="8">
        <f>SUMIFS(df_bloqueios_judiciais!G:G,df_bloqueios_judiciais!D:D,Conciliacao!A426,df_bloqueios_judiciais!G:G,"&lt;0")</f>
        <v/>
      </c>
      <c r="N426" s="10">
        <f>SUMIFS(df_extratos!I:I,df_extratos!F:F,Conciliacao!BE426,df_extratos!G:G,"DEBITO")+SUMIFS(df_extratos!I:I,df_extratos!F:F,Conciliacao!A426,df_extratos!G:G,"DEBITO")+SUMIFS(df_extratos!I:I,df_extratos!F:F,Conciliacao!BF426,df_extratos!G:G,"DEBITO")+SUMIFS(df_extratos!I:I,df_extratos!F:F,Conciliacao!BG426,df_extratos!G:G,"DEBITO")+SUMIFS(df_extratos!I:I,df_extratos!F:F,Conciliacao!BH426,df_extratos!G:G,"DEBITO")</f>
        <v/>
      </c>
      <c r="O426" s="11">
        <f>N426-SUM(J426:M426)</f>
        <v/>
      </c>
      <c r="P426" s="25">
        <f>SUMIFS(df_ajustes_conciliaco!D:D,df_ajustes_conciliaco!C:C,Conciliacao!A426)</f>
        <v/>
      </c>
      <c r="Q426" s="22">
        <f>O426+I426-P426</f>
        <v/>
      </c>
      <c r="BE426" s="20" t="n">
        <v>46082.5</v>
      </c>
      <c r="BF426" s="20" t="n">
        <v>46082.125</v>
      </c>
      <c r="BG426" s="20" t="n">
        <v>46082.5416666088</v>
      </c>
      <c r="BH426" s="20" t="n">
        <v>46082.625</v>
      </c>
    </row>
    <row r="427">
      <c r="A427" s="5">
        <f>A426+1</f>
        <v/>
      </c>
      <c r="B427" s="3">
        <f>-SUMIFS(df_extrato_zig!G:G,df_extrato_zig!E:E,Conciliacao!A427,df_extrato_zig!D:D,"Saque")-SUMIFS(df_extrato_zig!G:G,df_extrato_zig!E:E,Conciliacao!A427,df_extrato_zig!D:D,"Antecipação")</f>
        <v/>
      </c>
      <c r="C427" s="3">
        <f>SUMIFS(df_extrato_zig!E:E,df_extrato_zig!L:L,Conciliacao!A427,df_extrato_zig!F:F,"DINHEIRO")</f>
        <v/>
      </c>
      <c r="D427" s="3">
        <f>SUMIFS(view_parc_agrup!H:H,view_parc_agrup!G:G,Conciliacao!A427)</f>
        <v/>
      </c>
      <c r="E427" s="3">
        <f>SUMIFS(df_eventos!F:F,df_eventos!H:H,Conciliacao!A427)</f>
        <v/>
      </c>
      <c r="F427" s="3">
        <f>SUMIFS(df_mutuos!M:M,df_mutuos!B:B,Conciliacao!A427)</f>
        <v/>
      </c>
      <c r="G427" s="6">
        <f>SUMIFS(df_bloqueios_judiciais!G:G,df_bloqueios_judiciais!D:D,Conciliacao!A427,df_bloqueios_judiciais!G:G,"&gt;0")</f>
        <v/>
      </c>
      <c r="H427" s="7">
        <f>SUMIFS(df_extratos!I:I,df_extratos!F:F,Conciliacao!BE427,df_extratos!G:G,"CREDITO")+SUMIFS(df_extratos!I:I,df_extratos!F:F,Conciliacao!A427,df_extratos!G:G,"CREDITO")+SUMIFS(df_extratos!I:I,df_extratos!F:F,Conciliacao!BF427,df_extratos!G:G,"CREDITO")+SUMIFS(df_extratos!I:I,df_extratos!F:F,Conciliacao!BG427,df_extratos!G:G,"CREDITO")+SUMIFS(df_extratos!I:I,df_extratos!F:F,Conciliacao!BH427,df_extratos!G:G,"CREDITO")</f>
        <v/>
      </c>
      <c r="I427" s="9">
        <f>H427-SUM(B427:G427)</f>
        <v/>
      </c>
      <c r="J427" s="4">
        <f>SUMIFS(df_blueme_sem_parcelamento!E:E,df_blueme_sem_parcelamento!H:H,Conciliacao!A427)*(-1)</f>
        <v/>
      </c>
      <c r="K427" s="4">
        <f>SUMIFS(df_blueme_com_parcelamento!J:J,df_blueme_com_parcelamento!M:M,Conciliacao!A427)*(-1)</f>
        <v/>
      </c>
      <c r="L427" s="4">
        <f>SUMIFS(df_mutuos!N:N,df_mutuos!B:B,Conciliacao!A427)*(-1)</f>
        <v/>
      </c>
      <c r="M427" s="8">
        <f>SUMIFS(df_bloqueios_judiciais!G:G,df_bloqueios_judiciais!D:D,Conciliacao!A427,df_bloqueios_judiciais!G:G,"&lt;0")</f>
        <v/>
      </c>
      <c r="N427" s="10">
        <f>SUMIFS(df_extratos!I:I,df_extratos!F:F,Conciliacao!BE427,df_extratos!G:G,"DEBITO")+SUMIFS(df_extratos!I:I,df_extratos!F:F,Conciliacao!A427,df_extratos!G:G,"DEBITO")+SUMIFS(df_extratos!I:I,df_extratos!F:F,Conciliacao!BF427,df_extratos!G:G,"DEBITO")+SUMIFS(df_extratos!I:I,df_extratos!F:F,Conciliacao!BG427,df_extratos!G:G,"DEBITO")+SUMIFS(df_extratos!I:I,df_extratos!F:F,Conciliacao!BH427,df_extratos!G:G,"DEBITO")</f>
        <v/>
      </c>
      <c r="O427" s="11">
        <f>N427-SUM(J427:M427)</f>
        <v/>
      </c>
      <c r="P427" s="25">
        <f>SUMIFS(df_ajustes_conciliaco!D:D,df_ajustes_conciliaco!C:C,Conciliacao!A427)</f>
        <v/>
      </c>
      <c r="Q427" s="22">
        <f>O427+I427-P427</f>
        <v/>
      </c>
      <c r="BE427" s="20" t="n">
        <v>46083.5</v>
      </c>
      <c r="BF427" s="20" t="n">
        <v>46083.125</v>
      </c>
      <c r="BG427" s="20" t="n">
        <v>46083.5416666088</v>
      </c>
      <c r="BH427" s="20" t="n">
        <v>46083.625</v>
      </c>
    </row>
    <row r="428">
      <c r="A428" s="5">
        <f>A427+1</f>
        <v/>
      </c>
      <c r="B428" s="3">
        <f>-SUMIFS(df_extrato_zig!G:G,df_extrato_zig!E:E,Conciliacao!A428,df_extrato_zig!D:D,"Saque")-SUMIFS(df_extrato_zig!G:G,df_extrato_zig!E:E,Conciliacao!A428,df_extrato_zig!D:D,"Antecipação")</f>
        <v/>
      </c>
      <c r="C428" s="3">
        <f>SUMIFS(df_extrato_zig!E:E,df_extrato_zig!L:L,Conciliacao!A428,df_extrato_zig!F:F,"DINHEIRO")</f>
        <v/>
      </c>
      <c r="D428" s="3">
        <f>SUMIFS(view_parc_agrup!H:H,view_parc_agrup!G:G,Conciliacao!A428)</f>
        <v/>
      </c>
      <c r="E428" s="3">
        <f>SUMIFS(df_eventos!F:F,df_eventos!H:H,Conciliacao!A428)</f>
        <v/>
      </c>
      <c r="F428" s="3">
        <f>SUMIFS(df_mutuos!M:M,df_mutuos!B:B,Conciliacao!A428)</f>
        <v/>
      </c>
      <c r="G428" s="6">
        <f>SUMIFS(df_bloqueios_judiciais!G:G,df_bloqueios_judiciais!D:D,Conciliacao!A428,df_bloqueios_judiciais!G:G,"&gt;0")</f>
        <v/>
      </c>
      <c r="H428" s="7">
        <f>SUMIFS(df_extratos!I:I,df_extratos!F:F,Conciliacao!BE428,df_extratos!G:G,"CREDITO")+SUMIFS(df_extratos!I:I,df_extratos!F:F,Conciliacao!A428,df_extratos!G:G,"CREDITO")+SUMIFS(df_extratos!I:I,df_extratos!F:F,Conciliacao!BF428,df_extratos!G:G,"CREDITO")+SUMIFS(df_extratos!I:I,df_extratos!F:F,Conciliacao!BG428,df_extratos!G:G,"CREDITO")+SUMIFS(df_extratos!I:I,df_extratos!F:F,Conciliacao!BH428,df_extratos!G:G,"CREDITO")</f>
        <v/>
      </c>
      <c r="I428" s="9">
        <f>H428-SUM(B428:G428)</f>
        <v/>
      </c>
      <c r="J428" s="4">
        <f>SUMIFS(df_blueme_sem_parcelamento!E:E,df_blueme_sem_parcelamento!H:H,Conciliacao!A428)*(-1)</f>
        <v/>
      </c>
      <c r="K428" s="4">
        <f>SUMIFS(df_blueme_com_parcelamento!J:J,df_blueme_com_parcelamento!M:M,Conciliacao!A428)*(-1)</f>
        <v/>
      </c>
      <c r="L428" s="4">
        <f>SUMIFS(df_mutuos!N:N,df_mutuos!B:B,Conciliacao!A428)*(-1)</f>
        <v/>
      </c>
      <c r="M428" s="8">
        <f>SUMIFS(df_bloqueios_judiciais!G:G,df_bloqueios_judiciais!D:D,Conciliacao!A428,df_bloqueios_judiciais!G:G,"&lt;0")</f>
        <v/>
      </c>
      <c r="N428" s="10">
        <f>SUMIFS(df_extratos!I:I,df_extratos!F:F,Conciliacao!BE428,df_extratos!G:G,"DEBITO")+SUMIFS(df_extratos!I:I,df_extratos!F:F,Conciliacao!A428,df_extratos!G:G,"DEBITO")+SUMIFS(df_extratos!I:I,df_extratos!F:F,Conciliacao!BF428,df_extratos!G:G,"DEBITO")+SUMIFS(df_extratos!I:I,df_extratos!F:F,Conciliacao!BG428,df_extratos!G:G,"DEBITO")+SUMIFS(df_extratos!I:I,df_extratos!F:F,Conciliacao!BH428,df_extratos!G:G,"DEBITO")</f>
        <v/>
      </c>
      <c r="O428" s="11">
        <f>N428-SUM(J428:M428)</f>
        <v/>
      </c>
      <c r="P428" s="25">
        <f>SUMIFS(df_ajustes_conciliaco!D:D,df_ajustes_conciliaco!C:C,Conciliacao!A428)</f>
        <v/>
      </c>
      <c r="Q428" s="22">
        <f>O428+I428-P428</f>
        <v/>
      </c>
      <c r="BE428" s="20" t="n">
        <v>46084.5</v>
      </c>
      <c r="BF428" s="20" t="n">
        <v>46084.125</v>
      </c>
      <c r="BG428" s="20" t="n">
        <v>46084.5416666088</v>
      </c>
      <c r="BH428" s="20" t="n">
        <v>46084.625</v>
      </c>
    </row>
    <row r="429">
      <c r="A429" s="5">
        <f>A428+1</f>
        <v/>
      </c>
      <c r="B429" s="3">
        <f>-SUMIFS(df_extrato_zig!G:G,df_extrato_zig!E:E,Conciliacao!A429,df_extrato_zig!D:D,"Saque")-SUMIFS(df_extrato_zig!G:G,df_extrato_zig!E:E,Conciliacao!A429,df_extrato_zig!D:D,"Antecipação")</f>
        <v/>
      </c>
      <c r="C429" s="3">
        <f>SUMIFS(df_extrato_zig!E:E,df_extrato_zig!L:L,Conciliacao!A429,df_extrato_zig!F:F,"DINHEIRO")</f>
        <v/>
      </c>
      <c r="D429" s="3">
        <f>SUMIFS(view_parc_agrup!H:H,view_parc_agrup!G:G,Conciliacao!A429)</f>
        <v/>
      </c>
      <c r="E429" s="3">
        <f>SUMIFS(df_eventos!F:F,df_eventos!H:H,Conciliacao!A429)</f>
        <v/>
      </c>
      <c r="F429" s="3">
        <f>SUMIFS(df_mutuos!M:M,df_mutuos!B:B,Conciliacao!A429)</f>
        <v/>
      </c>
      <c r="G429" s="6">
        <f>SUMIFS(df_bloqueios_judiciais!G:G,df_bloqueios_judiciais!D:D,Conciliacao!A429,df_bloqueios_judiciais!G:G,"&gt;0")</f>
        <v/>
      </c>
      <c r="H429" s="7">
        <f>SUMIFS(df_extratos!I:I,df_extratos!F:F,Conciliacao!BE429,df_extratos!G:G,"CREDITO")+SUMIFS(df_extratos!I:I,df_extratos!F:F,Conciliacao!A429,df_extratos!G:G,"CREDITO")+SUMIFS(df_extratos!I:I,df_extratos!F:F,Conciliacao!BF429,df_extratos!G:G,"CREDITO")+SUMIFS(df_extratos!I:I,df_extratos!F:F,Conciliacao!BG429,df_extratos!G:G,"CREDITO")+SUMIFS(df_extratos!I:I,df_extratos!F:F,Conciliacao!BH429,df_extratos!G:G,"CREDITO")</f>
        <v/>
      </c>
      <c r="I429" s="9">
        <f>H429-SUM(B429:G429)</f>
        <v/>
      </c>
      <c r="J429" s="4">
        <f>SUMIFS(df_blueme_sem_parcelamento!E:E,df_blueme_sem_parcelamento!H:H,Conciliacao!A429)*(-1)</f>
        <v/>
      </c>
      <c r="K429" s="4">
        <f>SUMIFS(df_blueme_com_parcelamento!J:J,df_blueme_com_parcelamento!M:M,Conciliacao!A429)*(-1)</f>
        <v/>
      </c>
      <c r="L429" s="4">
        <f>SUMIFS(df_mutuos!N:N,df_mutuos!B:B,Conciliacao!A429)*(-1)</f>
        <v/>
      </c>
      <c r="M429" s="8">
        <f>SUMIFS(df_bloqueios_judiciais!G:G,df_bloqueios_judiciais!D:D,Conciliacao!A429,df_bloqueios_judiciais!G:G,"&lt;0")</f>
        <v/>
      </c>
      <c r="N429" s="10">
        <f>SUMIFS(df_extratos!I:I,df_extratos!F:F,Conciliacao!BE429,df_extratos!G:G,"DEBITO")+SUMIFS(df_extratos!I:I,df_extratos!F:F,Conciliacao!A429,df_extratos!G:G,"DEBITO")+SUMIFS(df_extratos!I:I,df_extratos!F:F,Conciliacao!BF429,df_extratos!G:G,"DEBITO")+SUMIFS(df_extratos!I:I,df_extratos!F:F,Conciliacao!BG429,df_extratos!G:G,"DEBITO")+SUMIFS(df_extratos!I:I,df_extratos!F:F,Conciliacao!BH429,df_extratos!G:G,"DEBITO")</f>
        <v/>
      </c>
      <c r="O429" s="11">
        <f>N429-SUM(J429:M429)</f>
        <v/>
      </c>
      <c r="P429" s="25">
        <f>SUMIFS(df_ajustes_conciliaco!D:D,df_ajustes_conciliaco!C:C,Conciliacao!A429)</f>
        <v/>
      </c>
      <c r="Q429" s="22">
        <f>O429+I429-P429</f>
        <v/>
      </c>
      <c r="BE429" s="20" t="n">
        <v>46085.5</v>
      </c>
      <c r="BF429" s="20" t="n">
        <v>46085.125</v>
      </c>
      <c r="BG429" s="20" t="n">
        <v>46085.5416666088</v>
      </c>
      <c r="BH429" s="20" t="n">
        <v>46085.625</v>
      </c>
    </row>
    <row r="430">
      <c r="A430" s="5">
        <f>A429+1</f>
        <v/>
      </c>
      <c r="B430" s="3">
        <f>-SUMIFS(df_extrato_zig!G:G,df_extrato_zig!E:E,Conciliacao!A430,df_extrato_zig!D:D,"Saque")-SUMIFS(df_extrato_zig!G:G,df_extrato_zig!E:E,Conciliacao!A430,df_extrato_zig!D:D,"Antecipação")</f>
        <v/>
      </c>
      <c r="C430" s="3">
        <f>SUMIFS(df_extrato_zig!E:E,df_extrato_zig!L:L,Conciliacao!A430,df_extrato_zig!F:F,"DINHEIRO")</f>
        <v/>
      </c>
      <c r="D430" s="3">
        <f>SUMIFS(view_parc_agrup!H:H,view_parc_agrup!G:G,Conciliacao!A430)</f>
        <v/>
      </c>
      <c r="E430" s="3">
        <f>SUMIFS(df_eventos!F:F,df_eventos!H:H,Conciliacao!A430)</f>
        <v/>
      </c>
      <c r="F430" s="3">
        <f>SUMIFS(df_mutuos!M:M,df_mutuos!B:B,Conciliacao!A430)</f>
        <v/>
      </c>
      <c r="G430" s="6">
        <f>SUMIFS(df_bloqueios_judiciais!G:G,df_bloqueios_judiciais!D:D,Conciliacao!A430,df_bloqueios_judiciais!G:G,"&gt;0")</f>
        <v/>
      </c>
      <c r="H430" s="7">
        <f>SUMIFS(df_extratos!I:I,df_extratos!F:F,Conciliacao!BE430,df_extratos!G:G,"CREDITO")+SUMIFS(df_extratos!I:I,df_extratos!F:F,Conciliacao!A430,df_extratos!G:G,"CREDITO")+SUMIFS(df_extratos!I:I,df_extratos!F:F,Conciliacao!BF430,df_extratos!G:G,"CREDITO")+SUMIFS(df_extratos!I:I,df_extratos!F:F,Conciliacao!BG430,df_extratos!G:G,"CREDITO")+SUMIFS(df_extratos!I:I,df_extratos!F:F,Conciliacao!BH430,df_extratos!G:G,"CREDITO")</f>
        <v/>
      </c>
      <c r="I430" s="9">
        <f>H430-SUM(B430:G430)</f>
        <v/>
      </c>
      <c r="J430" s="4">
        <f>SUMIFS(df_blueme_sem_parcelamento!E:E,df_blueme_sem_parcelamento!H:H,Conciliacao!A430)*(-1)</f>
        <v/>
      </c>
      <c r="K430" s="4">
        <f>SUMIFS(df_blueme_com_parcelamento!J:J,df_blueme_com_parcelamento!M:M,Conciliacao!A430)*(-1)</f>
        <v/>
      </c>
      <c r="L430" s="4">
        <f>SUMIFS(df_mutuos!N:N,df_mutuos!B:B,Conciliacao!A430)*(-1)</f>
        <v/>
      </c>
      <c r="M430" s="8">
        <f>SUMIFS(df_bloqueios_judiciais!G:G,df_bloqueios_judiciais!D:D,Conciliacao!A430,df_bloqueios_judiciais!G:G,"&lt;0")</f>
        <v/>
      </c>
      <c r="N430" s="10">
        <f>SUMIFS(df_extratos!I:I,df_extratos!F:F,Conciliacao!BE430,df_extratos!G:G,"DEBITO")+SUMIFS(df_extratos!I:I,df_extratos!F:F,Conciliacao!A430,df_extratos!G:G,"DEBITO")+SUMIFS(df_extratos!I:I,df_extratos!F:F,Conciliacao!BF430,df_extratos!G:G,"DEBITO")+SUMIFS(df_extratos!I:I,df_extratos!F:F,Conciliacao!BG430,df_extratos!G:G,"DEBITO")+SUMIFS(df_extratos!I:I,df_extratos!F:F,Conciliacao!BH430,df_extratos!G:G,"DEBITO")</f>
        <v/>
      </c>
      <c r="O430" s="11">
        <f>N430-SUM(J430:M430)</f>
        <v/>
      </c>
      <c r="P430" s="25">
        <f>SUMIFS(df_ajustes_conciliaco!D:D,df_ajustes_conciliaco!C:C,Conciliacao!A430)</f>
        <v/>
      </c>
      <c r="Q430" s="22">
        <f>O430+I430-P430</f>
        <v/>
      </c>
      <c r="BE430" s="20" t="n">
        <v>46086.5</v>
      </c>
      <c r="BF430" s="20" t="n">
        <v>46086.125</v>
      </c>
      <c r="BG430" s="20" t="n">
        <v>46086.5416666088</v>
      </c>
      <c r="BH430" s="20" t="n">
        <v>46086.625</v>
      </c>
    </row>
    <row r="431">
      <c r="A431" s="5">
        <f>A430+1</f>
        <v/>
      </c>
      <c r="B431" s="3">
        <f>-SUMIFS(df_extrato_zig!G:G,df_extrato_zig!E:E,Conciliacao!A431,df_extrato_zig!D:D,"Saque")-SUMIFS(df_extrato_zig!G:G,df_extrato_zig!E:E,Conciliacao!A431,df_extrato_zig!D:D,"Antecipação")</f>
        <v/>
      </c>
      <c r="C431" s="3">
        <f>SUMIFS(df_extrato_zig!E:E,df_extrato_zig!L:L,Conciliacao!A431,df_extrato_zig!F:F,"DINHEIRO")</f>
        <v/>
      </c>
      <c r="D431" s="3">
        <f>SUMIFS(view_parc_agrup!H:H,view_parc_agrup!G:G,Conciliacao!A431)</f>
        <v/>
      </c>
      <c r="E431" s="3">
        <f>SUMIFS(df_eventos!F:F,df_eventos!H:H,Conciliacao!A431)</f>
        <v/>
      </c>
      <c r="F431" s="3">
        <f>SUMIFS(df_mutuos!M:M,df_mutuos!B:B,Conciliacao!A431)</f>
        <v/>
      </c>
      <c r="G431" s="6">
        <f>SUMIFS(df_bloqueios_judiciais!G:G,df_bloqueios_judiciais!D:D,Conciliacao!A431,df_bloqueios_judiciais!G:G,"&gt;0")</f>
        <v/>
      </c>
      <c r="H431" s="7">
        <f>SUMIFS(df_extratos!I:I,df_extratos!F:F,Conciliacao!BE431,df_extratos!G:G,"CREDITO")+SUMIFS(df_extratos!I:I,df_extratos!F:F,Conciliacao!A431,df_extratos!G:G,"CREDITO")+SUMIFS(df_extratos!I:I,df_extratos!F:F,Conciliacao!BF431,df_extratos!G:G,"CREDITO")+SUMIFS(df_extratos!I:I,df_extratos!F:F,Conciliacao!BG431,df_extratos!G:G,"CREDITO")+SUMIFS(df_extratos!I:I,df_extratos!F:F,Conciliacao!BH431,df_extratos!G:G,"CREDITO")</f>
        <v/>
      </c>
      <c r="I431" s="9">
        <f>H431-SUM(B431:G431)</f>
        <v/>
      </c>
      <c r="J431" s="4">
        <f>SUMIFS(df_blueme_sem_parcelamento!E:E,df_blueme_sem_parcelamento!H:H,Conciliacao!A431)*(-1)</f>
        <v/>
      </c>
      <c r="K431" s="4">
        <f>SUMIFS(df_blueme_com_parcelamento!J:J,df_blueme_com_parcelamento!M:M,Conciliacao!A431)*(-1)</f>
        <v/>
      </c>
      <c r="L431" s="4">
        <f>SUMIFS(df_mutuos!N:N,df_mutuos!B:B,Conciliacao!A431)*(-1)</f>
        <v/>
      </c>
      <c r="M431" s="8">
        <f>SUMIFS(df_bloqueios_judiciais!G:G,df_bloqueios_judiciais!D:D,Conciliacao!A431,df_bloqueios_judiciais!G:G,"&lt;0")</f>
        <v/>
      </c>
      <c r="N431" s="10">
        <f>SUMIFS(df_extratos!I:I,df_extratos!F:F,Conciliacao!BE431,df_extratos!G:G,"DEBITO")+SUMIFS(df_extratos!I:I,df_extratos!F:F,Conciliacao!A431,df_extratos!G:G,"DEBITO")+SUMIFS(df_extratos!I:I,df_extratos!F:F,Conciliacao!BF431,df_extratos!G:G,"DEBITO")+SUMIFS(df_extratos!I:I,df_extratos!F:F,Conciliacao!BG431,df_extratos!G:G,"DEBITO")+SUMIFS(df_extratos!I:I,df_extratos!F:F,Conciliacao!BH431,df_extratos!G:G,"DEBITO")</f>
        <v/>
      </c>
      <c r="O431" s="11">
        <f>N431-SUM(J431:M431)</f>
        <v/>
      </c>
      <c r="P431" s="25">
        <f>SUMIFS(df_ajustes_conciliaco!D:D,df_ajustes_conciliaco!C:C,Conciliacao!A431)</f>
        <v/>
      </c>
      <c r="Q431" s="22">
        <f>O431+I431-P431</f>
        <v/>
      </c>
      <c r="BE431" s="20" t="n">
        <v>46087.5</v>
      </c>
      <c r="BF431" s="20" t="n">
        <v>46087.125</v>
      </c>
      <c r="BG431" s="20" t="n">
        <v>46087.5416666088</v>
      </c>
      <c r="BH431" s="20" t="n">
        <v>46087.625</v>
      </c>
    </row>
    <row r="432">
      <c r="A432" s="5">
        <f>A431+1</f>
        <v/>
      </c>
      <c r="B432" s="3">
        <f>-SUMIFS(df_extrato_zig!G:G,df_extrato_zig!E:E,Conciliacao!A432,df_extrato_zig!D:D,"Saque")-SUMIFS(df_extrato_zig!G:G,df_extrato_zig!E:E,Conciliacao!A432,df_extrato_zig!D:D,"Antecipação")</f>
        <v/>
      </c>
      <c r="C432" s="3">
        <f>SUMIFS(df_extrato_zig!E:E,df_extrato_zig!L:L,Conciliacao!A432,df_extrato_zig!F:F,"DINHEIRO")</f>
        <v/>
      </c>
      <c r="D432" s="3">
        <f>SUMIFS(view_parc_agrup!H:H,view_parc_agrup!G:G,Conciliacao!A432)</f>
        <v/>
      </c>
      <c r="E432" s="3">
        <f>SUMIFS(df_eventos!F:F,df_eventos!H:H,Conciliacao!A432)</f>
        <v/>
      </c>
      <c r="F432" s="3">
        <f>SUMIFS(df_mutuos!M:M,df_mutuos!B:B,Conciliacao!A432)</f>
        <v/>
      </c>
      <c r="G432" s="6">
        <f>SUMIFS(df_bloqueios_judiciais!G:G,df_bloqueios_judiciais!D:D,Conciliacao!A432,df_bloqueios_judiciais!G:G,"&gt;0")</f>
        <v/>
      </c>
      <c r="H432" s="7">
        <f>SUMIFS(df_extratos!I:I,df_extratos!F:F,Conciliacao!BE432,df_extratos!G:G,"CREDITO")+SUMIFS(df_extratos!I:I,df_extratos!F:F,Conciliacao!A432,df_extratos!G:G,"CREDITO")+SUMIFS(df_extratos!I:I,df_extratos!F:F,Conciliacao!BF432,df_extratos!G:G,"CREDITO")+SUMIFS(df_extratos!I:I,df_extratos!F:F,Conciliacao!BG432,df_extratos!G:G,"CREDITO")+SUMIFS(df_extratos!I:I,df_extratos!F:F,Conciliacao!BH432,df_extratos!G:G,"CREDITO")</f>
        <v/>
      </c>
      <c r="I432" s="9">
        <f>H432-SUM(B432:G432)</f>
        <v/>
      </c>
      <c r="J432" s="4">
        <f>SUMIFS(df_blueme_sem_parcelamento!E:E,df_blueme_sem_parcelamento!H:H,Conciliacao!A432)*(-1)</f>
        <v/>
      </c>
      <c r="K432" s="4">
        <f>SUMIFS(df_blueme_com_parcelamento!J:J,df_blueme_com_parcelamento!M:M,Conciliacao!A432)*(-1)</f>
        <v/>
      </c>
      <c r="L432" s="4">
        <f>SUMIFS(df_mutuos!N:N,df_mutuos!B:B,Conciliacao!A432)*(-1)</f>
        <v/>
      </c>
      <c r="M432" s="8">
        <f>SUMIFS(df_bloqueios_judiciais!G:G,df_bloqueios_judiciais!D:D,Conciliacao!A432,df_bloqueios_judiciais!G:G,"&lt;0")</f>
        <v/>
      </c>
      <c r="N432" s="10">
        <f>SUMIFS(df_extratos!I:I,df_extratos!F:F,Conciliacao!BE432,df_extratos!G:G,"DEBITO")+SUMIFS(df_extratos!I:I,df_extratos!F:F,Conciliacao!A432,df_extratos!G:G,"DEBITO")+SUMIFS(df_extratos!I:I,df_extratos!F:F,Conciliacao!BF432,df_extratos!G:G,"DEBITO")+SUMIFS(df_extratos!I:I,df_extratos!F:F,Conciliacao!BG432,df_extratos!G:G,"DEBITO")+SUMIFS(df_extratos!I:I,df_extratos!F:F,Conciliacao!BH432,df_extratos!G:G,"DEBITO")</f>
        <v/>
      </c>
      <c r="O432" s="11">
        <f>N432-SUM(J432:M432)</f>
        <v/>
      </c>
      <c r="P432" s="25">
        <f>SUMIFS(df_ajustes_conciliaco!D:D,df_ajustes_conciliaco!C:C,Conciliacao!A432)</f>
        <v/>
      </c>
      <c r="Q432" s="22">
        <f>O432+I432-P432</f>
        <v/>
      </c>
      <c r="BE432" s="20" t="n">
        <v>46088.5</v>
      </c>
      <c r="BF432" s="20" t="n">
        <v>46088.125</v>
      </c>
      <c r="BG432" s="20" t="n">
        <v>46088.5416666088</v>
      </c>
      <c r="BH432" s="20" t="n">
        <v>46088.625</v>
      </c>
    </row>
    <row r="433">
      <c r="A433" s="5">
        <f>A432+1</f>
        <v/>
      </c>
      <c r="B433" s="3">
        <f>-SUMIFS(df_extrato_zig!G:G,df_extrato_zig!E:E,Conciliacao!A433,df_extrato_zig!D:D,"Saque")-SUMIFS(df_extrato_zig!G:G,df_extrato_zig!E:E,Conciliacao!A433,df_extrato_zig!D:D,"Antecipação")</f>
        <v/>
      </c>
      <c r="C433" s="3">
        <f>SUMIFS(df_extrato_zig!E:E,df_extrato_zig!L:L,Conciliacao!A433,df_extrato_zig!F:F,"DINHEIRO")</f>
        <v/>
      </c>
      <c r="D433" s="3">
        <f>SUMIFS(view_parc_agrup!H:H,view_parc_agrup!G:G,Conciliacao!A433)</f>
        <v/>
      </c>
      <c r="E433" s="3">
        <f>SUMIFS(df_eventos!F:F,df_eventos!H:H,Conciliacao!A433)</f>
        <v/>
      </c>
      <c r="F433" s="3">
        <f>SUMIFS(df_mutuos!M:M,df_mutuos!B:B,Conciliacao!A433)</f>
        <v/>
      </c>
      <c r="G433" s="6">
        <f>SUMIFS(df_bloqueios_judiciais!G:G,df_bloqueios_judiciais!D:D,Conciliacao!A433,df_bloqueios_judiciais!G:G,"&gt;0")</f>
        <v/>
      </c>
      <c r="H433" s="7">
        <f>SUMIFS(df_extratos!I:I,df_extratos!F:F,Conciliacao!BE433,df_extratos!G:G,"CREDITO")+SUMIFS(df_extratos!I:I,df_extratos!F:F,Conciliacao!A433,df_extratos!G:G,"CREDITO")+SUMIFS(df_extratos!I:I,df_extratos!F:F,Conciliacao!BF433,df_extratos!G:G,"CREDITO")+SUMIFS(df_extratos!I:I,df_extratos!F:F,Conciliacao!BG433,df_extratos!G:G,"CREDITO")+SUMIFS(df_extratos!I:I,df_extratos!F:F,Conciliacao!BH433,df_extratos!G:G,"CREDITO")</f>
        <v/>
      </c>
      <c r="I433" s="9">
        <f>H433-SUM(B433:G433)</f>
        <v/>
      </c>
      <c r="J433" s="4">
        <f>SUMIFS(df_blueme_sem_parcelamento!E:E,df_blueme_sem_parcelamento!H:H,Conciliacao!A433)*(-1)</f>
        <v/>
      </c>
      <c r="K433" s="4">
        <f>SUMIFS(df_blueme_com_parcelamento!J:J,df_blueme_com_parcelamento!M:M,Conciliacao!A433)*(-1)</f>
        <v/>
      </c>
      <c r="L433" s="4">
        <f>SUMIFS(df_mutuos!N:N,df_mutuos!B:B,Conciliacao!A433)*(-1)</f>
        <v/>
      </c>
      <c r="M433" s="8">
        <f>SUMIFS(df_bloqueios_judiciais!G:G,df_bloqueios_judiciais!D:D,Conciliacao!A433,df_bloqueios_judiciais!G:G,"&lt;0")</f>
        <v/>
      </c>
      <c r="N433" s="10">
        <f>SUMIFS(df_extratos!I:I,df_extratos!F:F,Conciliacao!BE433,df_extratos!G:G,"DEBITO")+SUMIFS(df_extratos!I:I,df_extratos!F:F,Conciliacao!A433,df_extratos!G:G,"DEBITO")+SUMIFS(df_extratos!I:I,df_extratos!F:F,Conciliacao!BF433,df_extratos!G:G,"DEBITO")+SUMIFS(df_extratos!I:I,df_extratos!F:F,Conciliacao!BG433,df_extratos!G:G,"DEBITO")+SUMIFS(df_extratos!I:I,df_extratos!F:F,Conciliacao!BH433,df_extratos!G:G,"DEBITO")</f>
        <v/>
      </c>
      <c r="O433" s="11">
        <f>N433-SUM(J433:M433)</f>
        <v/>
      </c>
      <c r="P433" s="25">
        <f>SUMIFS(df_ajustes_conciliaco!D:D,df_ajustes_conciliaco!C:C,Conciliacao!A433)</f>
        <v/>
      </c>
      <c r="Q433" s="22">
        <f>O433+I433-P433</f>
        <v/>
      </c>
      <c r="BE433" s="20" t="n">
        <v>46089.5</v>
      </c>
      <c r="BF433" s="20" t="n">
        <v>46089.125</v>
      </c>
      <c r="BG433" s="20" t="n">
        <v>46089.5416666088</v>
      </c>
      <c r="BH433" s="20" t="n">
        <v>46089.625</v>
      </c>
    </row>
    <row r="434">
      <c r="A434" s="5">
        <f>A433+1</f>
        <v/>
      </c>
      <c r="B434" s="3">
        <f>-SUMIFS(df_extrato_zig!G:G,df_extrato_zig!E:E,Conciliacao!A434,df_extrato_zig!D:D,"Saque")-SUMIFS(df_extrato_zig!G:G,df_extrato_zig!E:E,Conciliacao!A434,df_extrato_zig!D:D,"Antecipação")</f>
        <v/>
      </c>
      <c r="C434" s="3">
        <f>SUMIFS(df_extrato_zig!E:E,df_extrato_zig!L:L,Conciliacao!A434,df_extrato_zig!F:F,"DINHEIRO")</f>
        <v/>
      </c>
      <c r="D434" s="3">
        <f>SUMIFS(view_parc_agrup!H:H,view_parc_agrup!G:G,Conciliacao!A434)</f>
        <v/>
      </c>
      <c r="E434" s="3">
        <f>SUMIFS(df_eventos!F:F,df_eventos!H:H,Conciliacao!A434)</f>
        <v/>
      </c>
      <c r="F434" s="3">
        <f>SUMIFS(df_mutuos!M:M,df_mutuos!B:B,Conciliacao!A434)</f>
        <v/>
      </c>
      <c r="G434" s="6">
        <f>SUMIFS(df_bloqueios_judiciais!G:G,df_bloqueios_judiciais!D:D,Conciliacao!A434,df_bloqueios_judiciais!G:G,"&gt;0")</f>
        <v/>
      </c>
      <c r="H434" s="7">
        <f>SUMIFS(df_extratos!I:I,df_extratos!F:F,Conciliacao!BE434,df_extratos!G:G,"CREDITO")+SUMIFS(df_extratos!I:I,df_extratos!F:F,Conciliacao!A434,df_extratos!G:G,"CREDITO")+SUMIFS(df_extratos!I:I,df_extratos!F:F,Conciliacao!BF434,df_extratos!G:G,"CREDITO")+SUMIFS(df_extratos!I:I,df_extratos!F:F,Conciliacao!BG434,df_extratos!G:G,"CREDITO")+SUMIFS(df_extratos!I:I,df_extratos!F:F,Conciliacao!BH434,df_extratos!G:G,"CREDITO")</f>
        <v/>
      </c>
      <c r="I434" s="9">
        <f>H434-SUM(B434:G434)</f>
        <v/>
      </c>
      <c r="J434" s="4">
        <f>SUMIFS(df_blueme_sem_parcelamento!E:E,df_blueme_sem_parcelamento!H:H,Conciliacao!A434)*(-1)</f>
        <v/>
      </c>
      <c r="K434" s="4">
        <f>SUMIFS(df_blueme_com_parcelamento!J:J,df_blueme_com_parcelamento!M:M,Conciliacao!A434)*(-1)</f>
        <v/>
      </c>
      <c r="L434" s="4">
        <f>SUMIFS(df_mutuos!N:N,df_mutuos!B:B,Conciliacao!A434)*(-1)</f>
        <v/>
      </c>
      <c r="M434" s="8">
        <f>SUMIFS(df_bloqueios_judiciais!G:G,df_bloqueios_judiciais!D:D,Conciliacao!A434,df_bloqueios_judiciais!G:G,"&lt;0")</f>
        <v/>
      </c>
      <c r="N434" s="10">
        <f>SUMIFS(df_extratos!I:I,df_extratos!F:F,Conciliacao!BE434,df_extratos!G:G,"DEBITO")+SUMIFS(df_extratos!I:I,df_extratos!F:F,Conciliacao!A434,df_extratos!G:G,"DEBITO")+SUMIFS(df_extratos!I:I,df_extratos!F:F,Conciliacao!BF434,df_extratos!G:G,"DEBITO")+SUMIFS(df_extratos!I:I,df_extratos!F:F,Conciliacao!BG434,df_extratos!G:G,"DEBITO")+SUMIFS(df_extratos!I:I,df_extratos!F:F,Conciliacao!BH434,df_extratos!G:G,"DEBITO")</f>
        <v/>
      </c>
      <c r="O434" s="11">
        <f>N434-SUM(J434:M434)</f>
        <v/>
      </c>
      <c r="P434" s="25">
        <f>SUMIFS(df_ajustes_conciliaco!D:D,df_ajustes_conciliaco!C:C,Conciliacao!A434)</f>
        <v/>
      </c>
      <c r="Q434" s="22">
        <f>O434+I434-P434</f>
        <v/>
      </c>
      <c r="BE434" s="20" t="n">
        <v>46090.5</v>
      </c>
      <c r="BF434" s="20" t="n">
        <v>46090.125</v>
      </c>
      <c r="BG434" s="20" t="n">
        <v>46090.5416666088</v>
      </c>
      <c r="BH434" s="20" t="n">
        <v>46090.625</v>
      </c>
    </row>
    <row r="435">
      <c r="A435" s="5">
        <f>A434+1</f>
        <v/>
      </c>
      <c r="B435" s="3">
        <f>-SUMIFS(df_extrato_zig!G:G,df_extrato_zig!E:E,Conciliacao!A435,df_extrato_zig!D:D,"Saque")-SUMIFS(df_extrato_zig!G:G,df_extrato_zig!E:E,Conciliacao!A435,df_extrato_zig!D:D,"Antecipação")</f>
        <v/>
      </c>
      <c r="C435" s="3">
        <f>SUMIFS(df_extrato_zig!E:E,df_extrato_zig!L:L,Conciliacao!A435,df_extrato_zig!F:F,"DINHEIRO")</f>
        <v/>
      </c>
      <c r="D435" s="3">
        <f>SUMIFS(view_parc_agrup!H:H,view_parc_agrup!G:G,Conciliacao!A435)</f>
        <v/>
      </c>
      <c r="E435" s="3">
        <f>SUMIFS(df_eventos!F:F,df_eventos!H:H,Conciliacao!A435)</f>
        <v/>
      </c>
      <c r="F435" s="3">
        <f>SUMIFS(df_mutuos!M:M,df_mutuos!B:B,Conciliacao!A435)</f>
        <v/>
      </c>
      <c r="G435" s="6">
        <f>SUMIFS(df_bloqueios_judiciais!G:G,df_bloqueios_judiciais!D:D,Conciliacao!A435,df_bloqueios_judiciais!G:G,"&gt;0")</f>
        <v/>
      </c>
      <c r="H435" s="7">
        <f>SUMIFS(df_extratos!I:I,df_extratos!F:F,Conciliacao!BE435,df_extratos!G:G,"CREDITO")+SUMIFS(df_extratos!I:I,df_extratos!F:F,Conciliacao!A435,df_extratos!G:G,"CREDITO")+SUMIFS(df_extratos!I:I,df_extratos!F:F,Conciliacao!BF435,df_extratos!G:G,"CREDITO")+SUMIFS(df_extratos!I:I,df_extratos!F:F,Conciliacao!BG435,df_extratos!G:G,"CREDITO")+SUMIFS(df_extratos!I:I,df_extratos!F:F,Conciliacao!BH435,df_extratos!G:G,"CREDITO")</f>
        <v/>
      </c>
      <c r="I435" s="9">
        <f>H435-SUM(B435:G435)</f>
        <v/>
      </c>
      <c r="J435" s="4">
        <f>SUMIFS(df_blueme_sem_parcelamento!E:E,df_blueme_sem_parcelamento!H:H,Conciliacao!A435)*(-1)</f>
        <v/>
      </c>
      <c r="K435" s="4">
        <f>SUMIFS(df_blueme_com_parcelamento!J:J,df_blueme_com_parcelamento!M:M,Conciliacao!A435)*(-1)</f>
        <v/>
      </c>
      <c r="L435" s="4">
        <f>SUMIFS(df_mutuos!N:N,df_mutuos!B:B,Conciliacao!A435)*(-1)</f>
        <v/>
      </c>
      <c r="M435" s="8">
        <f>SUMIFS(df_bloqueios_judiciais!G:G,df_bloqueios_judiciais!D:D,Conciliacao!A435,df_bloqueios_judiciais!G:G,"&lt;0")</f>
        <v/>
      </c>
      <c r="N435" s="10">
        <f>SUMIFS(df_extratos!I:I,df_extratos!F:F,Conciliacao!BE435,df_extratos!G:G,"DEBITO")+SUMIFS(df_extratos!I:I,df_extratos!F:F,Conciliacao!A435,df_extratos!G:G,"DEBITO")+SUMIFS(df_extratos!I:I,df_extratos!F:F,Conciliacao!BF435,df_extratos!G:G,"DEBITO")+SUMIFS(df_extratos!I:I,df_extratos!F:F,Conciliacao!BG435,df_extratos!G:G,"DEBITO")+SUMIFS(df_extratos!I:I,df_extratos!F:F,Conciliacao!BH435,df_extratos!G:G,"DEBITO")</f>
        <v/>
      </c>
      <c r="O435" s="11">
        <f>N435-SUM(J435:M435)</f>
        <v/>
      </c>
      <c r="P435" s="25">
        <f>SUMIFS(df_ajustes_conciliaco!D:D,df_ajustes_conciliaco!C:C,Conciliacao!A435)</f>
        <v/>
      </c>
      <c r="Q435" s="22">
        <f>O435+I435-P435</f>
        <v/>
      </c>
      <c r="BE435" s="20" t="n">
        <v>46091.5</v>
      </c>
      <c r="BF435" s="20" t="n">
        <v>46091.125</v>
      </c>
      <c r="BG435" s="20" t="n">
        <v>46091.5416666088</v>
      </c>
      <c r="BH435" s="20" t="n">
        <v>46091.625</v>
      </c>
    </row>
    <row r="436">
      <c r="A436" s="5">
        <f>A435+1</f>
        <v/>
      </c>
      <c r="B436" s="3">
        <f>-SUMIFS(df_extrato_zig!G:G,df_extrato_zig!E:E,Conciliacao!A436,df_extrato_zig!D:D,"Saque")-SUMIFS(df_extrato_zig!G:G,df_extrato_zig!E:E,Conciliacao!A436,df_extrato_zig!D:D,"Antecipação")</f>
        <v/>
      </c>
      <c r="C436" s="3">
        <f>SUMIFS(df_extrato_zig!E:E,df_extrato_zig!L:L,Conciliacao!A436,df_extrato_zig!F:F,"DINHEIRO")</f>
        <v/>
      </c>
      <c r="D436" s="3">
        <f>SUMIFS(view_parc_agrup!H:H,view_parc_agrup!G:G,Conciliacao!A436)</f>
        <v/>
      </c>
      <c r="E436" s="3">
        <f>SUMIFS(df_eventos!F:F,df_eventos!H:H,Conciliacao!A436)</f>
        <v/>
      </c>
      <c r="F436" s="3">
        <f>SUMIFS(df_mutuos!M:M,df_mutuos!B:B,Conciliacao!A436)</f>
        <v/>
      </c>
      <c r="G436" s="6">
        <f>SUMIFS(df_bloqueios_judiciais!G:G,df_bloqueios_judiciais!D:D,Conciliacao!A436,df_bloqueios_judiciais!G:G,"&gt;0")</f>
        <v/>
      </c>
      <c r="H436" s="7">
        <f>SUMIFS(df_extratos!I:I,df_extratos!F:F,Conciliacao!BE436,df_extratos!G:G,"CREDITO")+SUMIFS(df_extratos!I:I,df_extratos!F:F,Conciliacao!A436,df_extratos!G:G,"CREDITO")+SUMIFS(df_extratos!I:I,df_extratos!F:F,Conciliacao!BF436,df_extratos!G:G,"CREDITO")+SUMIFS(df_extratos!I:I,df_extratos!F:F,Conciliacao!BG436,df_extratos!G:G,"CREDITO")+SUMIFS(df_extratos!I:I,df_extratos!F:F,Conciliacao!BH436,df_extratos!G:G,"CREDITO")</f>
        <v/>
      </c>
      <c r="I436" s="9">
        <f>H436-SUM(B436:G436)</f>
        <v/>
      </c>
      <c r="J436" s="4">
        <f>SUMIFS(df_blueme_sem_parcelamento!E:E,df_blueme_sem_parcelamento!H:H,Conciliacao!A436)*(-1)</f>
        <v/>
      </c>
      <c r="K436" s="4">
        <f>SUMIFS(df_blueme_com_parcelamento!J:J,df_blueme_com_parcelamento!M:M,Conciliacao!A436)*(-1)</f>
        <v/>
      </c>
      <c r="L436" s="4">
        <f>SUMIFS(df_mutuos!N:N,df_mutuos!B:B,Conciliacao!A436)*(-1)</f>
        <v/>
      </c>
      <c r="M436" s="8">
        <f>SUMIFS(df_bloqueios_judiciais!G:G,df_bloqueios_judiciais!D:D,Conciliacao!A436,df_bloqueios_judiciais!G:G,"&lt;0")</f>
        <v/>
      </c>
      <c r="N436" s="10">
        <f>SUMIFS(df_extratos!I:I,df_extratos!F:F,Conciliacao!BE436,df_extratos!G:G,"DEBITO")+SUMIFS(df_extratos!I:I,df_extratos!F:F,Conciliacao!A436,df_extratos!G:G,"DEBITO")+SUMIFS(df_extratos!I:I,df_extratos!F:F,Conciliacao!BF436,df_extratos!G:G,"DEBITO")+SUMIFS(df_extratos!I:I,df_extratos!F:F,Conciliacao!BG436,df_extratos!G:G,"DEBITO")+SUMIFS(df_extratos!I:I,df_extratos!F:F,Conciliacao!BH436,df_extratos!G:G,"DEBITO")</f>
        <v/>
      </c>
      <c r="O436" s="11">
        <f>N436-SUM(J436:M436)</f>
        <v/>
      </c>
      <c r="P436" s="25">
        <f>SUMIFS(df_ajustes_conciliaco!D:D,df_ajustes_conciliaco!C:C,Conciliacao!A436)</f>
        <v/>
      </c>
      <c r="Q436" s="22">
        <f>O436+I436-P436</f>
        <v/>
      </c>
      <c r="BE436" s="20" t="n">
        <v>46092.5</v>
      </c>
      <c r="BF436" s="20" t="n">
        <v>46092.125</v>
      </c>
      <c r="BG436" s="20" t="n">
        <v>46092.5416666088</v>
      </c>
      <c r="BH436" s="20" t="n">
        <v>46092.625</v>
      </c>
    </row>
    <row r="437">
      <c r="A437" s="5">
        <f>A436+1</f>
        <v/>
      </c>
      <c r="B437" s="3">
        <f>-SUMIFS(df_extrato_zig!G:G,df_extrato_zig!E:E,Conciliacao!A437,df_extrato_zig!D:D,"Saque")-SUMIFS(df_extrato_zig!G:G,df_extrato_zig!E:E,Conciliacao!A437,df_extrato_zig!D:D,"Antecipação")</f>
        <v/>
      </c>
      <c r="C437" s="3">
        <f>SUMIFS(df_extrato_zig!E:E,df_extrato_zig!L:L,Conciliacao!A437,df_extrato_zig!F:F,"DINHEIRO")</f>
        <v/>
      </c>
      <c r="D437" s="3">
        <f>SUMIFS(view_parc_agrup!H:H,view_parc_agrup!G:G,Conciliacao!A437)</f>
        <v/>
      </c>
      <c r="E437" s="3">
        <f>SUMIFS(df_eventos!F:F,df_eventos!H:H,Conciliacao!A437)</f>
        <v/>
      </c>
      <c r="F437" s="3">
        <f>SUMIFS(df_mutuos!M:M,df_mutuos!B:B,Conciliacao!A437)</f>
        <v/>
      </c>
      <c r="G437" s="6">
        <f>SUMIFS(df_bloqueios_judiciais!G:G,df_bloqueios_judiciais!D:D,Conciliacao!A437,df_bloqueios_judiciais!G:G,"&gt;0")</f>
        <v/>
      </c>
      <c r="H437" s="7">
        <f>SUMIFS(df_extratos!I:I,df_extratos!F:F,Conciliacao!BE437,df_extratos!G:G,"CREDITO")+SUMIFS(df_extratos!I:I,df_extratos!F:F,Conciliacao!A437,df_extratos!G:G,"CREDITO")+SUMIFS(df_extratos!I:I,df_extratos!F:F,Conciliacao!BF437,df_extratos!G:G,"CREDITO")+SUMIFS(df_extratos!I:I,df_extratos!F:F,Conciliacao!BG437,df_extratos!G:G,"CREDITO")+SUMIFS(df_extratos!I:I,df_extratos!F:F,Conciliacao!BH437,df_extratos!G:G,"CREDITO")</f>
        <v/>
      </c>
      <c r="I437" s="9">
        <f>H437-SUM(B437:G437)</f>
        <v/>
      </c>
      <c r="J437" s="4">
        <f>SUMIFS(df_blueme_sem_parcelamento!E:E,df_blueme_sem_parcelamento!H:H,Conciliacao!A437)*(-1)</f>
        <v/>
      </c>
      <c r="K437" s="4">
        <f>SUMIFS(df_blueme_com_parcelamento!J:J,df_blueme_com_parcelamento!M:M,Conciliacao!A437)*(-1)</f>
        <v/>
      </c>
      <c r="L437" s="4">
        <f>SUMIFS(df_mutuos!N:N,df_mutuos!B:B,Conciliacao!A437)*(-1)</f>
        <v/>
      </c>
      <c r="M437" s="8">
        <f>SUMIFS(df_bloqueios_judiciais!G:G,df_bloqueios_judiciais!D:D,Conciliacao!A437,df_bloqueios_judiciais!G:G,"&lt;0")</f>
        <v/>
      </c>
      <c r="N437" s="10">
        <f>SUMIFS(df_extratos!I:I,df_extratos!F:F,Conciliacao!BE437,df_extratos!G:G,"DEBITO")+SUMIFS(df_extratos!I:I,df_extratos!F:F,Conciliacao!A437,df_extratos!G:G,"DEBITO")+SUMIFS(df_extratos!I:I,df_extratos!F:F,Conciliacao!BF437,df_extratos!G:G,"DEBITO")+SUMIFS(df_extratos!I:I,df_extratos!F:F,Conciliacao!BG437,df_extratos!G:G,"DEBITO")+SUMIFS(df_extratos!I:I,df_extratos!F:F,Conciliacao!BH437,df_extratos!G:G,"DEBITO")</f>
        <v/>
      </c>
      <c r="O437" s="11">
        <f>N437-SUM(J437:M437)</f>
        <v/>
      </c>
      <c r="P437" s="25">
        <f>SUMIFS(df_ajustes_conciliaco!D:D,df_ajustes_conciliaco!C:C,Conciliacao!A437)</f>
        <v/>
      </c>
      <c r="Q437" s="22">
        <f>O437+I437-P437</f>
        <v/>
      </c>
      <c r="BE437" s="20" t="n">
        <v>46093.5</v>
      </c>
      <c r="BF437" s="20" t="n">
        <v>46093.125</v>
      </c>
      <c r="BG437" s="20" t="n">
        <v>46093.5416666088</v>
      </c>
      <c r="BH437" s="20" t="n">
        <v>46093.625</v>
      </c>
    </row>
    <row r="438">
      <c r="A438" s="5">
        <f>A437+1</f>
        <v/>
      </c>
      <c r="B438" s="3">
        <f>-SUMIFS(df_extrato_zig!G:G,df_extrato_zig!E:E,Conciliacao!A438,df_extrato_zig!D:D,"Saque")-SUMIFS(df_extrato_zig!G:G,df_extrato_zig!E:E,Conciliacao!A438,df_extrato_zig!D:D,"Antecipação")</f>
        <v/>
      </c>
      <c r="C438" s="3">
        <f>SUMIFS(df_extrato_zig!E:E,df_extrato_zig!L:L,Conciliacao!A438,df_extrato_zig!F:F,"DINHEIRO")</f>
        <v/>
      </c>
      <c r="D438" s="3">
        <f>SUMIFS(view_parc_agrup!H:H,view_parc_agrup!G:G,Conciliacao!A438)</f>
        <v/>
      </c>
      <c r="E438" s="3">
        <f>SUMIFS(df_eventos!F:F,df_eventos!H:H,Conciliacao!A438)</f>
        <v/>
      </c>
      <c r="F438" s="3">
        <f>SUMIFS(df_mutuos!M:M,df_mutuos!B:B,Conciliacao!A438)</f>
        <v/>
      </c>
      <c r="G438" s="6">
        <f>SUMIFS(df_bloqueios_judiciais!G:G,df_bloqueios_judiciais!D:D,Conciliacao!A438,df_bloqueios_judiciais!G:G,"&gt;0")</f>
        <v/>
      </c>
      <c r="H438" s="7">
        <f>SUMIFS(df_extratos!I:I,df_extratos!F:F,Conciliacao!BE438,df_extratos!G:G,"CREDITO")+SUMIFS(df_extratos!I:I,df_extratos!F:F,Conciliacao!A438,df_extratos!G:G,"CREDITO")+SUMIFS(df_extratos!I:I,df_extratos!F:F,Conciliacao!BF438,df_extratos!G:G,"CREDITO")+SUMIFS(df_extratos!I:I,df_extratos!F:F,Conciliacao!BG438,df_extratos!G:G,"CREDITO")+SUMIFS(df_extratos!I:I,df_extratos!F:F,Conciliacao!BH438,df_extratos!G:G,"CREDITO")</f>
        <v/>
      </c>
      <c r="I438" s="9">
        <f>H438-SUM(B438:G438)</f>
        <v/>
      </c>
      <c r="J438" s="4">
        <f>SUMIFS(df_blueme_sem_parcelamento!E:E,df_blueme_sem_parcelamento!H:H,Conciliacao!A438)*(-1)</f>
        <v/>
      </c>
      <c r="K438" s="4">
        <f>SUMIFS(df_blueme_com_parcelamento!J:J,df_blueme_com_parcelamento!M:M,Conciliacao!A438)*(-1)</f>
        <v/>
      </c>
      <c r="L438" s="4">
        <f>SUMIFS(df_mutuos!N:N,df_mutuos!B:B,Conciliacao!A438)*(-1)</f>
        <v/>
      </c>
      <c r="M438" s="8">
        <f>SUMIFS(df_bloqueios_judiciais!G:G,df_bloqueios_judiciais!D:D,Conciliacao!A438,df_bloqueios_judiciais!G:G,"&lt;0")</f>
        <v/>
      </c>
      <c r="N438" s="10">
        <f>SUMIFS(df_extratos!I:I,df_extratos!F:F,Conciliacao!BE438,df_extratos!G:G,"DEBITO")+SUMIFS(df_extratos!I:I,df_extratos!F:F,Conciliacao!A438,df_extratos!G:G,"DEBITO")+SUMIFS(df_extratos!I:I,df_extratos!F:F,Conciliacao!BF438,df_extratos!G:G,"DEBITO")+SUMIFS(df_extratos!I:I,df_extratos!F:F,Conciliacao!BG438,df_extratos!G:G,"DEBITO")+SUMIFS(df_extratos!I:I,df_extratos!F:F,Conciliacao!BH438,df_extratos!G:G,"DEBITO")</f>
        <v/>
      </c>
      <c r="O438" s="11">
        <f>N438-SUM(J438:M438)</f>
        <v/>
      </c>
      <c r="P438" s="25">
        <f>SUMIFS(df_ajustes_conciliaco!D:D,df_ajustes_conciliaco!C:C,Conciliacao!A438)</f>
        <v/>
      </c>
      <c r="Q438" s="22">
        <f>O438+I438-P438</f>
        <v/>
      </c>
      <c r="BE438" s="20" t="n">
        <v>46094.5</v>
      </c>
      <c r="BF438" s="20" t="n">
        <v>46094.125</v>
      </c>
      <c r="BG438" s="20" t="n">
        <v>46094.5416666088</v>
      </c>
      <c r="BH438" s="20" t="n">
        <v>46094.625</v>
      </c>
    </row>
    <row r="439">
      <c r="A439" s="5">
        <f>A438+1</f>
        <v/>
      </c>
      <c r="B439" s="3">
        <f>-SUMIFS(df_extrato_zig!G:G,df_extrato_zig!E:E,Conciliacao!A439,df_extrato_zig!D:D,"Saque")-SUMIFS(df_extrato_zig!G:G,df_extrato_zig!E:E,Conciliacao!A439,df_extrato_zig!D:D,"Antecipação")</f>
        <v/>
      </c>
      <c r="C439" s="3">
        <f>SUMIFS(df_extrato_zig!E:E,df_extrato_zig!L:L,Conciliacao!A439,df_extrato_zig!F:F,"DINHEIRO")</f>
        <v/>
      </c>
      <c r="D439" s="3">
        <f>SUMIFS(view_parc_agrup!H:H,view_parc_agrup!G:G,Conciliacao!A439)</f>
        <v/>
      </c>
      <c r="E439" s="3">
        <f>SUMIFS(df_eventos!F:F,df_eventos!H:H,Conciliacao!A439)</f>
        <v/>
      </c>
      <c r="F439" s="3">
        <f>SUMIFS(df_mutuos!M:M,df_mutuos!B:B,Conciliacao!A439)</f>
        <v/>
      </c>
      <c r="G439" s="6">
        <f>SUMIFS(df_bloqueios_judiciais!G:G,df_bloqueios_judiciais!D:D,Conciliacao!A439,df_bloqueios_judiciais!G:G,"&gt;0")</f>
        <v/>
      </c>
      <c r="H439" s="7">
        <f>SUMIFS(df_extratos!I:I,df_extratos!F:F,Conciliacao!BE439,df_extratos!G:G,"CREDITO")+SUMIFS(df_extratos!I:I,df_extratos!F:F,Conciliacao!A439,df_extratos!G:G,"CREDITO")+SUMIFS(df_extratos!I:I,df_extratos!F:F,Conciliacao!BF439,df_extratos!G:G,"CREDITO")+SUMIFS(df_extratos!I:I,df_extratos!F:F,Conciliacao!BG439,df_extratos!G:G,"CREDITO")+SUMIFS(df_extratos!I:I,df_extratos!F:F,Conciliacao!BH439,df_extratos!G:G,"CREDITO")</f>
        <v/>
      </c>
      <c r="I439" s="9">
        <f>H439-SUM(B439:G439)</f>
        <v/>
      </c>
      <c r="J439" s="4">
        <f>SUMIFS(df_blueme_sem_parcelamento!E:E,df_blueme_sem_parcelamento!H:H,Conciliacao!A439)*(-1)</f>
        <v/>
      </c>
      <c r="K439" s="4">
        <f>SUMIFS(df_blueme_com_parcelamento!J:J,df_blueme_com_parcelamento!M:M,Conciliacao!A439)*(-1)</f>
        <v/>
      </c>
      <c r="L439" s="4">
        <f>SUMIFS(df_mutuos!N:N,df_mutuos!B:B,Conciliacao!A439)*(-1)</f>
        <v/>
      </c>
      <c r="M439" s="8">
        <f>SUMIFS(df_bloqueios_judiciais!G:G,df_bloqueios_judiciais!D:D,Conciliacao!A439,df_bloqueios_judiciais!G:G,"&lt;0")</f>
        <v/>
      </c>
      <c r="N439" s="10">
        <f>SUMIFS(df_extratos!I:I,df_extratos!F:F,Conciliacao!BE439,df_extratos!G:G,"DEBITO")+SUMIFS(df_extratos!I:I,df_extratos!F:F,Conciliacao!A439,df_extratos!G:G,"DEBITO")+SUMIFS(df_extratos!I:I,df_extratos!F:F,Conciliacao!BF439,df_extratos!G:G,"DEBITO")+SUMIFS(df_extratos!I:I,df_extratos!F:F,Conciliacao!BG439,df_extratos!G:G,"DEBITO")+SUMIFS(df_extratos!I:I,df_extratos!F:F,Conciliacao!BH439,df_extratos!G:G,"DEBITO")</f>
        <v/>
      </c>
      <c r="O439" s="11">
        <f>N439-SUM(J439:M439)</f>
        <v/>
      </c>
      <c r="P439" s="25">
        <f>SUMIFS(df_ajustes_conciliaco!D:D,df_ajustes_conciliaco!C:C,Conciliacao!A439)</f>
        <v/>
      </c>
      <c r="Q439" s="22">
        <f>O439+I439-P439</f>
        <v/>
      </c>
      <c r="BE439" s="20" t="n">
        <v>46095.5</v>
      </c>
      <c r="BF439" s="20" t="n">
        <v>46095.125</v>
      </c>
      <c r="BG439" s="20" t="n">
        <v>46095.5416666088</v>
      </c>
      <c r="BH439" s="20" t="n">
        <v>46095.625</v>
      </c>
    </row>
    <row r="440">
      <c r="A440" s="5">
        <f>A439+1</f>
        <v/>
      </c>
      <c r="B440" s="3">
        <f>-SUMIFS(df_extrato_zig!G:G,df_extrato_zig!E:E,Conciliacao!A440,df_extrato_zig!D:D,"Saque")-SUMIFS(df_extrato_zig!G:G,df_extrato_zig!E:E,Conciliacao!A440,df_extrato_zig!D:D,"Antecipação")</f>
        <v/>
      </c>
      <c r="C440" s="3">
        <f>SUMIFS(df_extrato_zig!E:E,df_extrato_zig!L:L,Conciliacao!A440,df_extrato_zig!F:F,"DINHEIRO")</f>
        <v/>
      </c>
      <c r="D440" s="3">
        <f>SUMIFS(view_parc_agrup!H:H,view_parc_agrup!G:G,Conciliacao!A440)</f>
        <v/>
      </c>
      <c r="E440" s="3">
        <f>SUMIFS(df_eventos!F:F,df_eventos!H:H,Conciliacao!A440)</f>
        <v/>
      </c>
      <c r="F440" s="3">
        <f>SUMIFS(df_mutuos!M:M,df_mutuos!B:B,Conciliacao!A440)</f>
        <v/>
      </c>
      <c r="G440" s="6">
        <f>SUMIFS(df_bloqueios_judiciais!G:G,df_bloqueios_judiciais!D:D,Conciliacao!A440,df_bloqueios_judiciais!G:G,"&gt;0")</f>
        <v/>
      </c>
      <c r="H440" s="7">
        <f>SUMIFS(df_extratos!I:I,df_extratos!F:F,Conciliacao!BE440,df_extratos!G:G,"CREDITO")+SUMIFS(df_extratos!I:I,df_extratos!F:F,Conciliacao!A440,df_extratos!G:G,"CREDITO")+SUMIFS(df_extratos!I:I,df_extratos!F:F,Conciliacao!BF440,df_extratos!G:G,"CREDITO")+SUMIFS(df_extratos!I:I,df_extratos!F:F,Conciliacao!BG440,df_extratos!G:G,"CREDITO")+SUMIFS(df_extratos!I:I,df_extratos!F:F,Conciliacao!BH440,df_extratos!G:G,"CREDITO")</f>
        <v/>
      </c>
      <c r="I440" s="9">
        <f>H440-SUM(B440:G440)</f>
        <v/>
      </c>
      <c r="J440" s="4">
        <f>SUMIFS(df_blueme_sem_parcelamento!E:E,df_blueme_sem_parcelamento!H:H,Conciliacao!A440)*(-1)</f>
        <v/>
      </c>
      <c r="K440" s="4">
        <f>SUMIFS(df_blueme_com_parcelamento!J:J,df_blueme_com_parcelamento!M:M,Conciliacao!A440)*(-1)</f>
        <v/>
      </c>
      <c r="L440" s="4">
        <f>SUMIFS(df_mutuos!N:N,df_mutuos!B:B,Conciliacao!A440)*(-1)</f>
        <v/>
      </c>
      <c r="M440" s="8">
        <f>SUMIFS(df_bloqueios_judiciais!G:G,df_bloqueios_judiciais!D:D,Conciliacao!A440,df_bloqueios_judiciais!G:G,"&lt;0")</f>
        <v/>
      </c>
      <c r="N440" s="10">
        <f>SUMIFS(df_extratos!I:I,df_extratos!F:F,Conciliacao!BE440,df_extratos!G:G,"DEBITO")+SUMIFS(df_extratos!I:I,df_extratos!F:F,Conciliacao!A440,df_extratos!G:G,"DEBITO")+SUMIFS(df_extratos!I:I,df_extratos!F:F,Conciliacao!BF440,df_extratos!G:G,"DEBITO")+SUMIFS(df_extratos!I:I,df_extratos!F:F,Conciliacao!BG440,df_extratos!G:G,"DEBITO")+SUMIFS(df_extratos!I:I,df_extratos!F:F,Conciliacao!BH440,df_extratos!G:G,"DEBITO")</f>
        <v/>
      </c>
      <c r="O440" s="11">
        <f>N440-SUM(J440:M440)</f>
        <v/>
      </c>
      <c r="P440" s="25">
        <f>SUMIFS(df_ajustes_conciliaco!D:D,df_ajustes_conciliaco!C:C,Conciliacao!A440)</f>
        <v/>
      </c>
      <c r="Q440" s="22">
        <f>O440+I440-P440</f>
        <v/>
      </c>
      <c r="BE440" s="20" t="n">
        <v>46096.5</v>
      </c>
      <c r="BF440" s="20" t="n">
        <v>46096.125</v>
      </c>
      <c r="BG440" s="20" t="n">
        <v>46096.5416666088</v>
      </c>
      <c r="BH440" s="20" t="n">
        <v>46096.625</v>
      </c>
    </row>
    <row r="441">
      <c r="A441" s="5">
        <f>A440+1</f>
        <v/>
      </c>
      <c r="B441" s="3">
        <f>-SUMIFS(df_extrato_zig!G:G,df_extrato_zig!E:E,Conciliacao!A441,df_extrato_zig!D:D,"Saque")-SUMIFS(df_extrato_zig!G:G,df_extrato_zig!E:E,Conciliacao!A441,df_extrato_zig!D:D,"Antecipação")</f>
        <v/>
      </c>
      <c r="C441" s="3">
        <f>SUMIFS(df_extrato_zig!E:E,df_extrato_zig!L:L,Conciliacao!A441,df_extrato_zig!F:F,"DINHEIRO")</f>
        <v/>
      </c>
      <c r="D441" s="3">
        <f>SUMIFS(view_parc_agrup!H:H,view_parc_agrup!G:G,Conciliacao!A441)</f>
        <v/>
      </c>
      <c r="E441" s="3">
        <f>SUMIFS(df_eventos!F:F,df_eventos!H:H,Conciliacao!A441)</f>
        <v/>
      </c>
      <c r="F441" s="3">
        <f>SUMIFS(df_mutuos!M:M,df_mutuos!B:B,Conciliacao!A441)</f>
        <v/>
      </c>
      <c r="G441" s="6">
        <f>SUMIFS(df_bloqueios_judiciais!G:G,df_bloqueios_judiciais!D:D,Conciliacao!A441,df_bloqueios_judiciais!G:G,"&gt;0")</f>
        <v/>
      </c>
      <c r="H441" s="7">
        <f>SUMIFS(df_extratos!I:I,df_extratos!F:F,Conciliacao!BE441,df_extratos!G:G,"CREDITO")+SUMIFS(df_extratos!I:I,df_extratos!F:F,Conciliacao!A441,df_extratos!G:G,"CREDITO")+SUMIFS(df_extratos!I:I,df_extratos!F:F,Conciliacao!BF441,df_extratos!G:G,"CREDITO")+SUMIFS(df_extratos!I:I,df_extratos!F:F,Conciliacao!BG441,df_extratos!G:G,"CREDITO")+SUMIFS(df_extratos!I:I,df_extratos!F:F,Conciliacao!BH441,df_extratos!G:G,"CREDITO")</f>
        <v/>
      </c>
      <c r="I441" s="9">
        <f>H441-SUM(B441:G441)</f>
        <v/>
      </c>
      <c r="J441" s="4">
        <f>SUMIFS(df_blueme_sem_parcelamento!E:E,df_blueme_sem_parcelamento!H:H,Conciliacao!A441)*(-1)</f>
        <v/>
      </c>
      <c r="K441" s="4">
        <f>SUMIFS(df_blueme_com_parcelamento!J:J,df_blueme_com_parcelamento!M:M,Conciliacao!A441)*(-1)</f>
        <v/>
      </c>
      <c r="L441" s="4">
        <f>SUMIFS(df_mutuos!N:N,df_mutuos!B:B,Conciliacao!A441)*(-1)</f>
        <v/>
      </c>
      <c r="M441" s="8">
        <f>SUMIFS(df_bloqueios_judiciais!G:G,df_bloqueios_judiciais!D:D,Conciliacao!A441,df_bloqueios_judiciais!G:G,"&lt;0")</f>
        <v/>
      </c>
      <c r="N441" s="10">
        <f>SUMIFS(df_extratos!I:I,df_extratos!F:F,Conciliacao!BE441,df_extratos!G:G,"DEBITO")+SUMIFS(df_extratos!I:I,df_extratos!F:F,Conciliacao!A441,df_extratos!G:G,"DEBITO")+SUMIFS(df_extratos!I:I,df_extratos!F:F,Conciliacao!BF441,df_extratos!G:G,"DEBITO")+SUMIFS(df_extratos!I:I,df_extratos!F:F,Conciliacao!BG441,df_extratos!G:G,"DEBITO")+SUMIFS(df_extratos!I:I,df_extratos!F:F,Conciliacao!BH441,df_extratos!G:G,"DEBITO")</f>
        <v/>
      </c>
      <c r="O441" s="11">
        <f>N441-SUM(J441:M441)</f>
        <v/>
      </c>
      <c r="P441" s="25">
        <f>SUMIFS(df_ajustes_conciliaco!D:D,df_ajustes_conciliaco!C:C,Conciliacao!A441)</f>
        <v/>
      </c>
      <c r="Q441" s="22">
        <f>O441+I441-P441</f>
        <v/>
      </c>
      <c r="BE441" s="20" t="n">
        <v>46097.5</v>
      </c>
      <c r="BF441" s="20" t="n">
        <v>46097.125</v>
      </c>
      <c r="BG441" s="20" t="n">
        <v>46097.5416666088</v>
      </c>
      <c r="BH441" s="20" t="n">
        <v>46097.625</v>
      </c>
    </row>
    <row r="442">
      <c r="A442" s="5">
        <f>A441+1</f>
        <v/>
      </c>
      <c r="B442" s="3">
        <f>-SUMIFS(df_extrato_zig!G:G,df_extrato_zig!E:E,Conciliacao!A442,df_extrato_zig!D:D,"Saque")-SUMIFS(df_extrato_zig!G:G,df_extrato_zig!E:E,Conciliacao!A442,df_extrato_zig!D:D,"Antecipação")</f>
        <v/>
      </c>
      <c r="C442" s="3">
        <f>SUMIFS(df_extrato_zig!E:E,df_extrato_zig!L:L,Conciliacao!A442,df_extrato_zig!F:F,"DINHEIRO")</f>
        <v/>
      </c>
      <c r="D442" s="3">
        <f>SUMIFS(view_parc_agrup!H:H,view_parc_agrup!G:G,Conciliacao!A442)</f>
        <v/>
      </c>
      <c r="E442" s="3">
        <f>SUMIFS(df_eventos!F:F,df_eventos!H:H,Conciliacao!A442)</f>
        <v/>
      </c>
      <c r="F442" s="3">
        <f>SUMIFS(df_mutuos!M:M,df_mutuos!B:B,Conciliacao!A442)</f>
        <v/>
      </c>
      <c r="G442" s="6">
        <f>SUMIFS(df_bloqueios_judiciais!G:G,df_bloqueios_judiciais!D:D,Conciliacao!A442,df_bloqueios_judiciais!G:G,"&gt;0")</f>
        <v/>
      </c>
      <c r="H442" s="7">
        <f>SUMIFS(df_extratos!I:I,df_extratos!F:F,Conciliacao!BE442,df_extratos!G:G,"CREDITO")+SUMIFS(df_extratos!I:I,df_extratos!F:F,Conciliacao!A442,df_extratos!G:G,"CREDITO")+SUMIFS(df_extratos!I:I,df_extratos!F:F,Conciliacao!BF442,df_extratos!G:G,"CREDITO")+SUMIFS(df_extratos!I:I,df_extratos!F:F,Conciliacao!BG442,df_extratos!G:G,"CREDITO")+SUMIFS(df_extratos!I:I,df_extratos!F:F,Conciliacao!BH442,df_extratos!G:G,"CREDITO")</f>
        <v/>
      </c>
      <c r="I442" s="9">
        <f>H442-SUM(B442:G442)</f>
        <v/>
      </c>
      <c r="J442" s="4">
        <f>SUMIFS(df_blueme_sem_parcelamento!E:E,df_blueme_sem_parcelamento!H:H,Conciliacao!A442)*(-1)</f>
        <v/>
      </c>
      <c r="K442" s="4">
        <f>SUMIFS(df_blueme_com_parcelamento!J:J,df_blueme_com_parcelamento!M:M,Conciliacao!A442)*(-1)</f>
        <v/>
      </c>
      <c r="L442" s="4">
        <f>SUMIFS(df_mutuos!N:N,df_mutuos!B:B,Conciliacao!A442)*(-1)</f>
        <v/>
      </c>
      <c r="M442" s="8">
        <f>SUMIFS(df_bloqueios_judiciais!G:G,df_bloqueios_judiciais!D:D,Conciliacao!A442,df_bloqueios_judiciais!G:G,"&lt;0")</f>
        <v/>
      </c>
      <c r="N442" s="10">
        <f>SUMIFS(df_extratos!I:I,df_extratos!F:F,Conciliacao!BE442,df_extratos!G:G,"DEBITO")+SUMIFS(df_extratos!I:I,df_extratos!F:F,Conciliacao!A442,df_extratos!G:G,"DEBITO")+SUMIFS(df_extratos!I:I,df_extratos!F:F,Conciliacao!BF442,df_extratos!G:G,"DEBITO")+SUMIFS(df_extratos!I:I,df_extratos!F:F,Conciliacao!BG442,df_extratos!G:G,"DEBITO")+SUMIFS(df_extratos!I:I,df_extratos!F:F,Conciliacao!BH442,df_extratos!G:G,"DEBITO")</f>
        <v/>
      </c>
      <c r="O442" s="11">
        <f>N442-SUM(J442:M442)</f>
        <v/>
      </c>
      <c r="P442" s="25">
        <f>SUMIFS(df_ajustes_conciliaco!D:D,df_ajustes_conciliaco!C:C,Conciliacao!A442)</f>
        <v/>
      </c>
      <c r="Q442" s="22">
        <f>O442+I442-P442</f>
        <v/>
      </c>
      <c r="BE442" s="20" t="n">
        <v>46098.5</v>
      </c>
      <c r="BF442" s="20" t="n">
        <v>46098.125</v>
      </c>
      <c r="BG442" s="20" t="n">
        <v>46098.5416666088</v>
      </c>
      <c r="BH442" s="20" t="n">
        <v>46098.625</v>
      </c>
    </row>
    <row r="443">
      <c r="A443" s="5">
        <f>A442+1</f>
        <v/>
      </c>
      <c r="B443" s="3">
        <f>-SUMIFS(df_extrato_zig!G:G,df_extrato_zig!E:E,Conciliacao!A443,df_extrato_zig!D:D,"Saque")-SUMIFS(df_extrato_zig!G:G,df_extrato_zig!E:E,Conciliacao!A443,df_extrato_zig!D:D,"Antecipação")</f>
        <v/>
      </c>
      <c r="C443" s="3">
        <f>SUMIFS(df_extrato_zig!E:E,df_extrato_zig!L:L,Conciliacao!A443,df_extrato_zig!F:F,"DINHEIRO")</f>
        <v/>
      </c>
      <c r="D443" s="3">
        <f>SUMIFS(view_parc_agrup!H:H,view_parc_agrup!G:G,Conciliacao!A443)</f>
        <v/>
      </c>
      <c r="E443" s="3">
        <f>SUMIFS(df_eventos!F:F,df_eventos!H:H,Conciliacao!A443)</f>
        <v/>
      </c>
      <c r="F443" s="3">
        <f>SUMIFS(df_mutuos!M:M,df_mutuos!B:B,Conciliacao!A443)</f>
        <v/>
      </c>
      <c r="G443" s="6">
        <f>SUMIFS(df_bloqueios_judiciais!G:G,df_bloqueios_judiciais!D:D,Conciliacao!A443,df_bloqueios_judiciais!G:G,"&gt;0")</f>
        <v/>
      </c>
      <c r="H443" s="7">
        <f>SUMIFS(df_extratos!I:I,df_extratos!F:F,Conciliacao!BE443,df_extratos!G:G,"CREDITO")+SUMIFS(df_extratos!I:I,df_extratos!F:F,Conciliacao!A443,df_extratos!G:G,"CREDITO")+SUMIFS(df_extratos!I:I,df_extratos!F:F,Conciliacao!BF443,df_extratos!G:G,"CREDITO")+SUMIFS(df_extratos!I:I,df_extratos!F:F,Conciliacao!BG443,df_extratos!G:G,"CREDITO")+SUMIFS(df_extratos!I:I,df_extratos!F:F,Conciliacao!BH443,df_extratos!G:G,"CREDITO")</f>
        <v/>
      </c>
      <c r="I443" s="9">
        <f>H443-SUM(B443:G443)</f>
        <v/>
      </c>
      <c r="J443" s="4">
        <f>SUMIFS(df_blueme_sem_parcelamento!E:E,df_blueme_sem_parcelamento!H:H,Conciliacao!A443)*(-1)</f>
        <v/>
      </c>
      <c r="K443" s="4">
        <f>SUMIFS(df_blueme_com_parcelamento!J:J,df_blueme_com_parcelamento!M:M,Conciliacao!A443)*(-1)</f>
        <v/>
      </c>
      <c r="L443" s="4">
        <f>SUMIFS(df_mutuos!N:N,df_mutuos!B:B,Conciliacao!A443)*(-1)</f>
        <v/>
      </c>
      <c r="M443" s="8">
        <f>SUMIFS(df_bloqueios_judiciais!G:G,df_bloqueios_judiciais!D:D,Conciliacao!A443,df_bloqueios_judiciais!G:G,"&lt;0")</f>
        <v/>
      </c>
      <c r="N443" s="10">
        <f>SUMIFS(df_extratos!I:I,df_extratos!F:F,Conciliacao!BE443,df_extratos!G:G,"DEBITO")+SUMIFS(df_extratos!I:I,df_extratos!F:F,Conciliacao!A443,df_extratos!G:G,"DEBITO")+SUMIFS(df_extratos!I:I,df_extratos!F:F,Conciliacao!BF443,df_extratos!G:G,"DEBITO")+SUMIFS(df_extratos!I:I,df_extratos!F:F,Conciliacao!BG443,df_extratos!G:G,"DEBITO")+SUMIFS(df_extratos!I:I,df_extratos!F:F,Conciliacao!BH443,df_extratos!G:G,"DEBITO")</f>
        <v/>
      </c>
      <c r="O443" s="11">
        <f>N443-SUM(J443:M443)</f>
        <v/>
      </c>
      <c r="P443" s="25">
        <f>SUMIFS(df_ajustes_conciliaco!D:D,df_ajustes_conciliaco!C:C,Conciliacao!A443)</f>
        <v/>
      </c>
      <c r="Q443" s="22">
        <f>O443+I443-P443</f>
        <v/>
      </c>
      <c r="BE443" s="20" t="n">
        <v>46099.5</v>
      </c>
      <c r="BF443" s="20" t="n">
        <v>46099.125</v>
      </c>
      <c r="BG443" s="20" t="n">
        <v>46099.5416666088</v>
      </c>
      <c r="BH443" s="20" t="n">
        <v>46099.625</v>
      </c>
    </row>
    <row r="444">
      <c r="A444" s="5">
        <f>A443+1</f>
        <v/>
      </c>
      <c r="B444" s="3">
        <f>-SUMIFS(df_extrato_zig!G:G,df_extrato_zig!E:E,Conciliacao!A444,df_extrato_zig!D:D,"Saque")-SUMIFS(df_extrato_zig!G:G,df_extrato_zig!E:E,Conciliacao!A444,df_extrato_zig!D:D,"Antecipação")</f>
        <v/>
      </c>
      <c r="C444" s="3">
        <f>SUMIFS(df_extrato_zig!E:E,df_extrato_zig!L:L,Conciliacao!A444,df_extrato_zig!F:F,"DINHEIRO")</f>
        <v/>
      </c>
      <c r="D444" s="3">
        <f>SUMIFS(view_parc_agrup!H:H,view_parc_agrup!G:G,Conciliacao!A444)</f>
        <v/>
      </c>
      <c r="E444" s="3">
        <f>SUMIFS(df_eventos!F:F,df_eventos!H:H,Conciliacao!A444)</f>
        <v/>
      </c>
      <c r="F444" s="3">
        <f>SUMIFS(df_mutuos!M:M,df_mutuos!B:B,Conciliacao!A444)</f>
        <v/>
      </c>
      <c r="G444" s="6">
        <f>SUMIFS(df_bloqueios_judiciais!G:G,df_bloqueios_judiciais!D:D,Conciliacao!A444,df_bloqueios_judiciais!G:G,"&gt;0")</f>
        <v/>
      </c>
      <c r="H444" s="7">
        <f>SUMIFS(df_extratos!I:I,df_extratos!F:F,Conciliacao!BE444,df_extratos!G:G,"CREDITO")+SUMIFS(df_extratos!I:I,df_extratos!F:F,Conciliacao!A444,df_extratos!G:G,"CREDITO")+SUMIFS(df_extratos!I:I,df_extratos!F:F,Conciliacao!BF444,df_extratos!G:G,"CREDITO")+SUMIFS(df_extratos!I:I,df_extratos!F:F,Conciliacao!BG444,df_extratos!G:G,"CREDITO")+SUMIFS(df_extratos!I:I,df_extratos!F:F,Conciliacao!BH444,df_extratos!G:G,"CREDITO")</f>
        <v/>
      </c>
      <c r="I444" s="9">
        <f>H444-SUM(B444:G444)</f>
        <v/>
      </c>
      <c r="J444" s="4">
        <f>SUMIFS(df_blueme_sem_parcelamento!E:E,df_blueme_sem_parcelamento!H:H,Conciliacao!A444)*(-1)</f>
        <v/>
      </c>
      <c r="K444" s="4">
        <f>SUMIFS(df_blueme_com_parcelamento!J:J,df_blueme_com_parcelamento!M:M,Conciliacao!A444)*(-1)</f>
        <v/>
      </c>
      <c r="L444" s="4">
        <f>SUMIFS(df_mutuos!N:N,df_mutuos!B:B,Conciliacao!A444)*(-1)</f>
        <v/>
      </c>
      <c r="M444" s="8">
        <f>SUMIFS(df_bloqueios_judiciais!G:G,df_bloqueios_judiciais!D:D,Conciliacao!A444,df_bloqueios_judiciais!G:G,"&lt;0")</f>
        <v/>
      </c>
      <c r="N444" s="10">
        <f>SUMIFS(df_extratos!I:I,df_extratos!F:F,Conciliacao!BE444,df_extratos!G:G,"DEBITO")+SUMIFS(df_extratos!I:I,df_extratos!F:F,Conciliacao!A444,df_extratos!G:G,"DEBITO")+SUMIFS(df_extratos!I:I,df_extratos!F:F,Conciliacao!BF444,df_extratos!G:G,"DEBITO")+SUMIFS(df_extratos!I:I,df_extratos!F:F,Conciliacao!BG444,df_extratos!G:G,"DEBITO")+SUMIFS(df_extratos!I:I,df_extratos!F:F,Conciliacao!BH444,df_extratos!G:G,"DEBITO")</f>
        <v/>
      </c>
      <c r="O444" s="11">
        <f>N444-SUM(J444:M444)</f>
        <v/>
      </c>
      <c r="P444" s="25">
        <f>SUMIFS(df_ajustes_conciliaco!D:D,df_ajustes_conciliaco!C:C,Conciliacao!A444)</f>
        <v/>
      </c>
      <c r="Q444" s="22">
        <f>O444+I444-P444</f>
        <v/>
      </c>
      <c r="BE444" s="20" t="n">
        <v>46100.5</v>
      </c>
      <c r="BF444" s="20" t="n">
        <v>46100.125</v>
      </c>
      <c r="BG444" s="20" t="n">
        <v>46100.5416666088</v>
      </c>
      <c r="BH444" s="20" t="n">
        <v>46100.625</v>
      </c>
    </row>
    <row r="445">
      <c r="A445" s="5">
        <f>A444+1</f>
        <v/>
      </c>
      <c r="B445" s="3">
        <f>-SUMIFS(df_extrato_zig!G:G,df_extrato_zig!E:E,Conciliacao!A445,df_extrato_zig!D:D,"Saque")-SUMIFS(df_extrato_zig!G:G,df_extrato_zig!E:E,Conciliacao!A445,df_extrato_zig!D:D,"Antecipação")</f>
        <v/>
      </c>
      <c r="C445" s="3">
        <f>SUMIFS(df_extrato_zig!E:E,df_extrato_zig!L:L,Conciliacao!A445,df_extrato_zig!F:F,"DINHEIRO")</f>
        <v/>
      </c>
      <c r="D445" s="3">
        <f>SUMIFS(view_parc_agrup!H:H,view_parc_agrup!G:G,Conciliacao!A445)</f>
        <v/>
      </c>
      <c r="E445" s="3">
        <f>SUMIFS(df_eventos!F:F,df_eventos!H:H,Conciliacao!A445)</f>
        <v/>
      </c>
      <c r="F445" s="3">
        <f>SUMIFS(df_mutuos!M:M,df_mutuos!B:B,Conciliacao!A445)</f>
        <v/>
      </c>
      <c r="G445" s="6">
        <f>SUMIFS(df_bloqueios_judiciais!G:G,df_bloqueios_judiciais!D:D,Conciliacao!A445,df_bloqueios_judiciais!G:G,"&gt;0")</f>
        <v/>
      </c>
      <c r="H445" s="7">
        <f>SUMIFS(df_extratos!I:I,df_extratos!F:F,Conciliacao!BE445,df_extratos!G:G,"CREDITO")+SUMIFS(df_extratos!I:I,df_extratos!F:F,Conciliacao!A445,df_extratos!G:G,"CREDITO")+SUMIFS(df_extratos!I:I,df_extratos!F:F,Conciliacao!BF445,df_extratos!G:G,"CREDITO")+SUMIFS(df_extratos!I:I,df_extratos!F:F,Conciliacao!BG445,df_extratos!G:G,"CREDITO")+SUMIFS(df_extratos!I:I,df_extratos!F:F,Conciliacao!BH445,df_extratos!G:G,"CREDITO")</f>
        <v/>
      </c>
      <c r="I445" s="9">
        <f>H445-SUM(B445:G445)</f>
        <v/>
      </c>
      <c r="J445" s="4">
        <f>SUMIFS(df_blueme_sem_parcelamento!E:E,df_blueme_sem_parcelamento!H:H,Conciliacao!A445)*(-1)</f>
        <v/>
      </c>
      <c r="K445" s="4">
        <f>SUMIFS(df_blueme_com_parcelamento!J:J,df_blueme_com_parcelamento!M:M,Conciliacao!A445)*(-1)</f>
        <v/>
      </c>
      <c r="L445" s="4">
        <f>SUMIFS(df_mutuos!N:N,df_mutuos!B:B,Conciliacao!A445)*(-1)</f>
        <v/>
      </c>
      <c r="M445" s="8">
        <f>SUMIFS(df_bloqueios_judiciais!G:G,df_bloqueios_judiciais!D:D,Conciliacao!A445,df_bloqueios_judiciais!G:G,"&lt;0")</f>
        <v/>
      </c>
      <c r="N445" s="10">
        <f>SUMIFS(df_extratos!I:I,df_extratos!F:F,Conciliacao!BE445,df_extratos!G:G,"DEBITO")+SUMIFS(df_extratos!I:I,df_extratos!F:F,Conciliacao!A445,df_extratos!G:G,"DEBITO")+SUMIFS(df_extratos!I:I,df_extratos!F:F,Conciliacao!BF445,df_extratos!G:G,"DEBITO")+SUMIFS(df_extratos!I:I,df_extratos!F:F,Conciliacao!BG445,df_extratos!G:G,"DEBITO")+SUMIFS(df_extratos!I:I,df_extratos!F:F,Conciliacao!BH445,df_extratos!G:G,"DEBITO")</f>
        <v/>
      </c>
      <c r="O445" s="11">
        <f>N445-SUM(J445:M445)</f>
        <v/>
      </c>
      <c r="P445" s="25">
        <f>SUMIFS(df_ajustes_conciliaco!D:D,df_ajustes_conciliaco!C:C,Conciliacao!A445)</f>
        <v/>
      </c>
      <c r="Q445" s="22">
        <f>O445+I445-P445</f>
        <v/>
      </c>
      <c r="BE445" s="20" t="n">
        <v>46101.5</v>
      </c>
      <c r="BF445" s="20" t="n">
        <v>46101.125</v>
      </c>
      <c r="BG445" s="20" t="n">
        <v>46101.5416666088</v>
      </c>
      <c r="BH445" s="20" t="n">
        <v>46101.625</v>
      </c>
    </row>
    <row r="446">
      <c r="A446" s="5">
        <f>A445+1</f>
        <v/>
      </c>
      <c r="B446" s="3">
        <f>-SUMIFS(df_extrato_zig!G:G,df_extrato_zig!E:E,Conciliacao!A446,df_extrato_zig!D:D,"Saque")-SUMIFS(df_extrato_zig!G:G,df_extrato_zig!E:E,Conciliacao!A446,df_extrato_zig!D:D,"Antecipação")</f>
        <v/>
      </c>
      <c r="C446" s="3">
        <f>SUMIFS(df_extrato_zig!E:E,df_extrato_zig!L:L,Conciliacao!A446,df_extrato_zig!F:F,"DINHEIRO")</f>
        <v/>
      </c>
      <c r="D446" s="3">
        <f>SUMIFS(view_parc_agrup!H:H,view_parc_agrup!G:G,Conciliacao!A446)</f>
        <v/>
      </c>
      <c r="E446" s="3">
        <f>SUMIFS(df_eventos!F:F,df_eventos!H:H,Conciliacao!A446)</f>
        <v/>
      </c>
      <c r="F446" s="3">
        <f>SUMIFS(df_mutuos!M:M,df_mutuos!B:B,Conciliacao!A446)</f>
        <v/>
      </c>
      <c r="G446" s="6">
        <f>SUMIFS(df_bloqueios_judiciais!G:G,df_bloqueios_judiciais!D:D,Conciliacao!A446,df_bloqueios_judiciais!G:G,"&gt;0")</f>
        <v/>
      </c>
      <c r="H446" s="7">
        <f>SUMIFS(df_extratos!I:I,df_extratos!F:F,Conciliacao!BE446,df_extratos!G:G,"CREDITO")+SUMIFS(df_extratos!I:I,df_extratos!F:F,Conciliacao!A446,df_extratos!G:G,"CREDITO")+SUMIFS(df_extratos!I:I,df_extratos!F:F,Conciliacao!BF446,df_extratos!G:G,"CREDITO")+SUMIFS(df_extratos!I:I,df_extratos!F:F,Conciliacao!BG446,df_extratos!G:G,"CREDITO")+SUMIFS(df_extratos!I:I,df_extratos!F:F,Conciliacao!BH446,df_extratos!G:G,"CREDITO")</f>
        <v/>
      </c>
      <c r="I446" s="9">
        <f>H446-SUM(B446:G446)</f>
        <v/>
      </c>
      <c r="J446" s="4">
        <f>SUMIFS(df_blueme_sem_parcelamento!E:E,df_blueme_sem_parcelamento!H:H,Conciliacao!A446)*(-1)</f>
        <v/>
      </c>
      <c r="K446" s="4">
        <f>SUMIFS(df_blueme_com_parcelamento!J:J,df_blueme_com_parcelamento!M:M,Conciliacao!A446)*(-1)</f>
        <v/>
      </c>
      <c r="L446" s="4">
        <f>SUMIFS(df_mutuos!N:N,df_mutuos!B:B,Conciliacao!A446)*(-1)</f>
        <v/>
      </c>
      <c r="M446" s="8">
        <f>SUMIFS(df_bloqueios_judiciais!G:G,df_bloqueios_judiciais!D:D,Conciliacao!A446,df_bloqueios_judiciais!G:G,"&lt;0")</f>
        <v/>
      </c>
      <c r="N446" s="10">
        <f>SUMIFS(df_extratos!I:I,df_extratos!F:F,Conciliacao!BE446,df_extratos!G:G,"DEBITO")+SUMIFS(df_extratos!I:I,df_extratos!F:F,Conciliacao!A446,df_extratos!G:G,"DEBITO")+SUMIFS(df_extratos!I:I,df_extratos!F:F,Conciliacao!BF446,df_extratos!G:G,"DEBITO")+SUMIFS(df_extratos!I:I,df_extratos!F:F,Conciliacao!BG446,df_extratos!G:G,"DEBITO")+SUMIFS(df_extratos!I:I,df_extratos!F:F,Conciliacao!BH446,df_extratos!G:G,"DEBITO")</f>
        <v/>
      </c>
      <c r="O446" s="11">
        <f>N446-SUM(J446:M446)</f>
        <v/>
      </c>
      <c r="P446" s="25">
        <f>SUMIFS(df_ajustes_conciliaco!D:D,df_ajustes_conciliaco!C:C,Conciliacao!A446)</f>
        <v/>
      </c>
      <c r="Q446" s="22">
        <f>O446+I446-P446</f>
        <v/>
      </c>
      <c r="BE446" s="20" t="n">
        <v>46102.5</v>
      </c>
      <c r="BF446" s="20" t="n">
        <v>46102.125</v>
      </c>
      <c r="BG446" s="20" t="n">
        <v>46102.5416666088</v>
      </c>
      <c r="BH446" s="20" t="n">
        <v>46102.625</v>
      </c>
    </row>
    <row r="447">
      <c r="A447" s="5">
        <f>A446+1</f>
        <v/>
      </c>
      <c r="B447" s="3">
        <f>-SUMIFS(df_extrato_zig!G:G,df_extrato_zig!E:E,Conciliacao!A447,df_extrato_zig!D:D,"Saque")-SUMIFS(df_extrato_zig!G:G,df_extrato_zig!E:E,Conciliacao!A447,df_extrato_zig!D:D,"Antecipação")</f>
        <v/>
      </c>
      <c r="C447" s="3">
        <f>SUMIFS(df_extrato_zig!E:E,df_extrato_zig!L:L,Conciliacao!A447,df_extrato_zig!F:F,"DINHEIRO")</f>
        <v/>
      </c>
      <c r="D447" s="3">
        <f>SUMIFS(view_parc_agrup!H:H,view_parc_agrup!G:G,Conciliacao!A447)</f>
        <v/>
      </c>
      <c r="E447" s="3">
        <f>SUMIFS(df_eventos!F:F,df_eventos!H:H,Conciliacao!A447)</f>
        <v/>
      </c>
      <c r="F447" s="3">
        <f>SUMIFS(df_mutuos!M:M,df_mutuos!B:B,Conciliacao!A447)</f>
        <v/>
      </c>
      <c r="G447" s="6">
        <f>SUMIFS(df_bloqueios_judiciais!G:G,df_bloqueios_judiciais!D:D,Conciliacao!A447,df_bloqueios_judiciais!G:G,"&gt;0")</f>
        <v/>
      </c>
      <c r="H447" s="7">
        <f>SUMIFS(df_extratos!I:I,df_extratos!F:F,Conciliacao!BE447,df_extratos!G:G,"CREDITO")+SUMIFS(df_extratos!I:I,df_extratos!F:F,Conciliacao!A447,df_extratos!G:G,"CREDITO")+SUMIFS(df_extratos!I:I,df_extratos!F:F,Conciliacao!BF447,df_extratos!G:G,"CREDITO")+SUMIFS(df_extratos!I:I,df_extratos!F:F,Conciliacao!BG447,df_extratos!G:G,"CREDITO")+SUMIFS(df_extratos!I:I,df_extratos!F:F,Conciliacao!BH447,df_extratos!G:G,"CREDITO")</f>
        <v/>
      </c>
      <c r="I447" s="9">
        <f>H447-SUM(B447:G447)</f>
        <v/>
      </c>
      <c r="J447" s="4">
        <f>SUMIFS(df_blueme_sem_parcelamento!E:E,df_blueme_sem_parcelamento!H:H,Conciliacao!A447)*(-1)</f>
        <v/>
      </c>
      <c r="K447" s="4">
        <f>SUMIFS(df_blueme_com_parcelamento!J:J,df_blueme_com_parcelamento!M:M,Conciliacao!A447)*(-1)</f>
        <v/>
      </c>
      <c r="L447" s="4">
        <f>SUMIFS(df_mutuos!N:N,df_mutuos!B:B,Conciliacao!A447)*(-1)</f>
        <v/>
      </c>
      <c r="M447" s="8">
        <f>SUMIFS(df_bloqueios_judiciais!G:G,df_bloqueios_judiciais!D:D,Conciliacao!A447,df_bloqueios_judiciais!G:G,"&lt;0")</f>
        <v/>
      </c>
      <c r="N447" s="10">
        <f>SUMIFS(df_extratos!I:I,df_extratos!F:F,Conciliacao!BE447,df_extratos!G:G,"DEBITO")+SUMIFS(df_extratos!I:I,df_extratos!F:F,Conciliacao!A447,df_extratos!G:G,"DEBITO")+SUMIFS(df_extratos!I:I,df_extratos!F:F,Conciliacao!BF447,df_extratos!G:G,"DEBITO")+SUMIFS(df_extratos!I:I,df_extratos!F:F,Conciliacao!BG447,df_extratos!G:G,"DEBITO")+SUMIFS(df_extratos!I:I,df_extratos!F:F,Conciliacao!BH447,df_extratos!G:G,"DEBITO")</f>
        <v/>
      </c>
      <c r="O447" s="11">
        <f>N447-SUM(J447:M447)</f>
        <v/>
      </c>
      <c r="P447" s="25">
        <f>SUMIFS(df_ajustes_conciliaco!D:D,df_ajustes_conciliaco!C:C,Conciliacao!A447)</f>
        <v/>
      </c>
      <c r="Q447" s="22">
        <f>O447+I447-P447</f>
        <v/>
      </c>
      <c r="BE447" s="20" t="n">
        <v>46103.5</v>
      </c>
      <c r="BF447" s="20" t="n">
        <v>46103.125</v>
      </c>
      <c r="BG447" s="20" t="n">
        <v>46103.5416666088</v>
      </c>
      <c r="BH447" s="20" t="n">
        <v>46103.625</v>
      </c>
    </row>
    <row r="448">
      <c r="A448" s="5">
        <f>A447+1</f>
        <v/>
      </c>
      <c r="B448" s="3">
        <f>-SUMIFS(df_extrato_zig!G:G,df_extrato_zig!E:E,Conciliacao!A448,df_extrato_zig!D:D,"Saque")-SUMIFS(df_extrato_zig!G:G,df_extrato_zig!E:E,Conciliacao!A448,df_extrato_zig!D:D,"Antecipação")</f>
        <v/>
      </c>
      <c r="C448" s="3">
        <f>SUMIFS(df_extrato_zig!E:E,df_extrato_zig!L:L,Conciliacao!A448,df_extrato_zig!F:F,"DINHEIRO")</f>
        <v/>
      </c>
      <c r="D448" s="3">
        <f>SUMIFS(view_parc_agrup!H:H,view_parc_agrup!G:G,Conciliacao!A448)</f>
        <v/>
      </c>
      <c r="E448" s="3">
        <f>SUMIFS(df_eventos!F:F,df_eventos!H:H,Conciliacao!A448)</f>
        <v/>
      </c>
      <c r="F448" s="3">
        <f>SUMIFS(df_mutuos!M:M,df_mutuos!B:B,Conciliacao!A448)</f>
        <v/>
      </c>
      <c r="G448" s="6">
        <f>SUMIFS(df_bloqueios_judiciais!G:G,df_bloqueios_judiciais!D:D,Conciliacao!A448,df_bloqueios_judiciais!G:G,"&gt;0")</f>
        <v/>
      </c>
      <c r="H448" s="7">
        <f>SUMIFS(df_extratos!I:I,df_extratos!F:F,Conciliacao!BE448,df_extratos!G:G,"CREDITO")+SUMIFS(df_extratos!I:I,df_extratos!F:F,Conciliacao!A448,df_extratos!G:G,"CREDITO")+SUMIFS(df_extratos!I:I,df_extratos!F:F,Conciliacao!BF448,df_extratos!G:G,"CREDITO")+SUMIFS(df_extratos!I:I,df_extratos!F:F,Conciliacao!BG448,df_extratos!G:G,"CREDITO")+SUMIFS(df_extratos!I:I,df_extratos!F:F,Conciliacao!BH448,df_extratos!G:G,"CREDITO")</f>
        <v/>
      </c>
      <c r="I448" s="9">
        <f>H448-SUM(B448:G448)</f>
        <v/>
      </c>
      <c r="J448" s="4">
        <f>SUMIFS(df_blueme_sem_parcelamento!E:E,df_blueme_sem_parcelamento!H:H,Conciliacao!A448)*(-1)</f>
        <v/>
      </c>
      <c r="K448" s="4">
        <f>SUMIFS(df_blueme_com_parcelamento!J:J,df_blueme_com_parcelamento!M:M,Conciliacao!A448)*(-1)</f>
        <v/>
      </c>
      <c r="L448" s="4">
        <f>SUMIFS(df_mutuos!N:N,df_mutuos!B:B,Conciliacao!A448)*(-1)</f>
        <v/>
      </c>
      <c r="M448" s="8">
        <f>SUMIFS(df_bloqueios_judiciais!G:G,df_bloqueios_judiciais!D:D,Conciliacao!A448,df_bloqueios_judiciais!G:G,"&lt;0")</f>
        <v/>
      </c>
      <c r="N448" s="10">
        <f>SUMIFS(df_extratos!I:I,df_extratos!F:F,Conciliacao!BE448,df_extratos!G:G,"DEBITO")+SUMIFS(df_extratos!I:I,df_extratos!F:F,Conciliacao!A448,df_extratos!G:G,"DEBITO")+SUMIFS(df_extratos!I:I,df_extratos!F:F,Conciliacao!BF448,df_extratos!G:G,"DEBITO")+SUMIFS(df_extratos!I:I,df_extratos!F:F,Conciliacao!BG448,df_extratos!G:G,"DEBITO")+SUMIFS(df_extratos!I:I,df_extratos!F:F,Conciliacao!BH448,df_extratos!G:G,"DEBITO")</f>
        <v/>
      </c>
      <c r="O448" s="11">
        <f>N448-SUM(J448:M448)</f>
        <v/>
      </c>
      <c r="P448" s="25">
        <f>SUMIFS(df_ajustes_conciliaco!D:D,df_ajustes_conciliaco!C:C,Conciliacao!A448)</f>
        <v/>
      </c>
      <c r="Q448" s="22">
        <f>O448+I448-P448</f>
        <v/>
      </c>
      <c r="BE448" s="20" t="n">
        <v>46104.5</v>
      </c>
      <c r="BF448" s="20" t="n">
        <v>46104.125</v>
      </c>
      <c r="BG448" s="20" t="n">
        <v>46104.5416666088</v>
      </c>
      <c r="BH448" s="20" t="n">
        <v>46104.625</v>
      </c>
    </row>
    <row r="449">
      <c r="A449" s="5">
        <f>A448+1</f>
        <v/>
      </c>
      <c r="B449" s="3">
        <f>-SUMIFS(df_extrato_zig!G:G,df_extrato_zig!E:E,Conciliacao!A449,df_extrato_zig!D:D,"Saque")-SUMIFS(df_extrato_zig!G:G,df_extrato_zig!E:E,Conciliacao!A449,df_extrato_zig!D:D,"Antecipação")</f>
        <v/>
      </c>
      <c r="C449" s="3">
        <f>SUMIFS(df_extrato_zig!E:E,df_extrato_zig!L:L,Conciliacao!A449,df_extrato_zig!F:F,"DINHEIRO")</f>
        <v/>
      </c>
      <c r="D449" s="3">
        <f>SUMIFS(view_parc_agrup!H:H,view_parc_agrup!G:G,Conciliacao!A449)</f>
        <v/>
      </c>
      <c r="E449" s="3">
        <f>SUMIFS(df_eventos!F:F,df_eventos!H:H,Conciliacao!A449)</f>
        <v/>
      </c>
      <c r="F449" s="3">
        <f>SUMIFS(df_mutuos!M:M,df_mutuos!B:B,Conciliacao!A449)</f>
        <v/>
      </c>
      <c r="G449" s="6">
        <f>SUMIFS(df_bloqueios_judiciais!G:G,df_bloqueios_judiciais!D:D,Conciliacao!A449,df_bloqueios_judiciais!G:G,"&gt;0")</f>
        <v/>
      </c>
      <c r="H449" s="7">
        <f>SUMIFS(df_extratos!I:I,df_extratos!F:F,Conciliacao!BE449,df_extratos!G:G,"CREDITO")+SUMIFS(df_extratos!I:I,df_extratos!F:F,Conciliacao!A449,df_extratos!G:G,"CREDITO")+SUMIFS(df_extratos!I:I,df_extratos!F:F,Conciliacao!BF449,df_extratos!G:G,"CREDITO")+SUMIFS(df_extratos!I:I,df_extratos!F:F,Conciliacao!BG449,df_extratos!G:G,"CREDITO")+SUMIFS(df_extratos!I:I,df_extratos!F:F,Conciliacao!BH449,df_extratos!G:G,"CREDITO")</f>
        <v/>
      </c>
      <c r="I449" s="9">
        <f>H449-SUM(B449:G449)</f>
        <v/>
      </c>
      <c r="J449" s="4">
        <f>SUMIFS(df_blueme_sem_parcelamento!E:E,df_blueme_sem_parcelamento!H:H,Conciliacao!A449)*(-1)</f>
        <v/>
      </c>
      <c r="K449" s="4">
        <f>SUMIFS(df_blueme_com_parcelamento!J:J,df_blueme_com_parcelamento!M:M,Conciliacao!A449)*(-1)</f>
        <v/>
      </c>
      <c r="L449" s="4">
        <f>SUMIFS(df_mutuos!N:N,df_mutuos!B:B,Conciliacao!A449)*(-1)</f>
        <v/>
      </c>
      <c r="M449" s="8">
        <f>SUMIFS(df_bloqueios_judiciais!G:G,df_bloqueios_judiciais!D:D,Conciliacao!A449,df_bloqueios_judiciais!G:G,"&lt;0")</f>
        <v/>
      </c>
      <c r="N449" s="10">
        <f>SUMIFS(df_extratos!I:I,df_extratos!F:F,Conciliacao!BE449,df_extratos!G:G,"DEBITO")+SUMIFS(df_extratos!I:I,df_extratos!F:F,Conciliacao!A449,df_extratos!G:G,"DEBITO")+SUMIFS(df_extratos!I:I,df_extratos!F:F,Conciliacao!BF449,df_extratos!G:G,"DEBITO")+SUMIFS(df_extratos!I:I,df_extratos!F:F,Conciliacao!BG449,df_extratos!G:G,"DEBITO")+SUMIFS(df_extratos!I:I,df_extratos!F:F,Conciliacao!BH449,df_extratos!G:G,"DEBITO")</f>
        <v/>
      </c>
      <c r="O449" s="11">
        <f>N449-SUM(J449:M449)</f>
        <v/>
      </c>
      <c r="P449" s="25">
        <f>SUMIFS(df_ajustes_conciliaco!D:D,df_ajustes_conciliaco!C:C,Conciliacao!A449)</f>
        <v/>
      </c>
      <c r="Q449" s="22">
        <f>O449+I449-P449</f>
        <v/>
      </c>
      <c r="BE449" s="20" t="n">
        <v>46105.5</v>
      </c>
      <c r="BF449" s="20" t="n">
        <v>46105.125</v>
      </c>
      <c r="BG449" s="20" t="n">
        <v>46105.5416666088</v>
      </c>
      <c r="BH449" s="20" t="n">
        <v>46105.625</v>
      </c>
    </row>
    <row r="450">
      <c r="A450" s="5">
        <f>A449+1</f>
        <v/>
      </c>
      <c r="B450" s="3">
        <f>-SUMIFS(df_extrato_zig!G:G,df_extrato_zig!E:E,Conciliacao!A450,df_extrato_zig!D:D,"Saque")-SUMIFS(df_extrato_zig!G:G,df_extrato_zig!E:E,Conciliacao!A450,df_extrato_zig!D:D,"Antecipação")</f>
        <v/>
      </c>
      <c r="C450" s="3">
        <f>SUMIFS(df_extrato_zig!E:E,df_extrato_zig!L:L,Conciliacao!A450,df_extrato_zig!F:F,"DINHEIRO")</f>
        <v/>
      </c>
      <c r="D450" s="3">
        <f>SUMIFS(view_parc_agrup!H:H,view_parc_agrup!G:G,Conciliacao!A450)</f>
        <v/>
      </c>
      <c r="E450" s="3">
        <f>SUMIFS(df_eventos!F:F,df_eventos!H:H,Conciliacao!A450)</f>
        <v/>
      </c>
      <c r="F450" s="3">
        <f>SUMIFS(df_mutuos!M:M,df_mutuos!B:B,Conciliacao!A450)</f>
        <v/>
      </c>
      <c r="G450" s="6">
        <f>SUMIFS(df_bloqueios_judiciais!G:G,df_bloqueios_judiciais!D:D,Conciliacao!A450,df_bloqueios_judiciais!G:G,"&gt;0")</f>
        <v/>
      </c>
      <c r="H450" s="7">
        <f>SUMIFS(df_extratos!I:I,df_extratos!F:F,Conciliacao!BE450,df_extratos!G:G,"CREDITO")+SUMIFS(df_extratos!I:I,df_extratos!F:F,Conciliacao!A450,df_extratos!G:G,"CREDITO")+SUMIFS(df_extratos!I:I,df_extratos!F:F,Conciliacao!BF450,df_extratos!G:G,"CREDITO")+SUMIFS(df_extratos!I:I,df_extratos!F:F,Conciliacao!BG450,df_extratos!G:G,"CREDITO")+SUMIFS(df_extratos!I:I,df_extratos!F:F,Conciliacao!BH450,df_extratos!G:G,"CREDITO")</f>
        <v/>
      </c>
      <c r="I450" s="9">
        <f>H450-SUM(B450:G450)</f>
        <v/>
      </c>
      <c r="J450" s="4">
        <f>SUMIFS(df_blueme_sem_parcelamento!E:E,df_blueme_sem_parcelamento!H:H,Conciliacao!A450)*(-1)</f>
        <v/>
      </c>
      <c r="K450" s="4">
        <f>SUMIFS(df_blueme_com_parcelamento!J:J,df_blueme_com_parcelamento!M:M,Conciliacao!A450)*(-1)</f>
        <v/>
      </c>
      <c r="L450" s="4">
        <f>SUMIFS(df_mutuos!N:N,df_mutuos!B:B,Conciliacao!A450)*(-1)</f>
        <v/>
      </c>
      <c r="M450" s="8">
        <f>SUMIFS(df_bloqueios_judiciais!G:G,df_bloqueios_judiciais!D:D,Conciliacao!A450,df_bloqueios_judiciais!G:G,"&lt;0")</f>
        <v/>
      </c>
      <c r="N450" s="10">
        <f>SUMIFS(df_extratos!I:I,df_extratos!F:F,Conciliacao!BE450,df_extratos!G:G,"DEBITO")+SUMIFS(df_extratos!I:I,df_extratos!F:F,Conciliacao!A450,df_extratos!G:G,"DEBITO")+SUMIFS(df_extratos!I:I,df_extratos!F:F,Conciliacao!BF450,df_extratos!G:G,"DEBITO")+SUMIFS(df_extratos!I:I,df_extratos!F:F,Conciliacao!BG450,df_extratos!G:G,"DEBITO")+SUMIFS(df_extratos!I:I,df_extratos!F:F,Conciliacao!BH450,df_extratos!G:G,"DEBITO")</f>
        <v/>
      </c>
      <c r="O450" s="11">
        <f>N450-SUM(J450:M450)</f>
        <v/>
      </c>
      <c r="P450" s="25">
        <f>SUMIFS(df_ajustes_conciliaco!D:D,df_ajustes_conciliaco!C:C,Conciliacao!A450)</f>
        <v/>
      </c>
      <c r="Q450" s="22">
        <f>O450+I450-P450</f>
        <v/>
      </c>
      <c r="BE450" s="20" t="n">
        <v>46106.5</v>
      </c>
      <c r="BF450" s="20" t="n">
        <v>46106.125</v>
      </c>
      <c r="BG450" s="20" t="n">
        <v>46106.5416666088</v>
      </c>
      <c r="BH450" s="20" t="n">
        <v>46106.625</v>
      </c>
    </row>
    <row r="451">
      <c r="A451" s="5">
        <f>A450+1</f>
        <v/>
      </c>
      <c r="B451" s="3">
        <f>-SUMIFS(df_extrato_zig!G:G,df_extrato_zig!E:E,Conciliacao!A451,df_extrato_zig!D:D,"Saque")-SUMIFS(df_extrato_zig!G:G,df_extrato_zig!E:E,Conciliacao!A451,df_extrato_zig!D:D,"Antecipação")</f>
        <v/>
      </c>
      <c r="C451" s="3">
        <f>SUMIFS(df_extrato_zig!E:E,df_extrato_zig!L:L,Conciliacao!A451,df_extrato_zig!F:F,"DINHEIRO")</f>
        <v/>
      </c>
      <c r="D451" s="3">
        <f>SUMIFS(view_parc_agrup!H:H,view_parc_agrup!G:G,Conciliacao!A451)</f>
        <v/>
      </c>
      <c r="E451" s="3">
        <f>SUMIFS(df_eventos!F:F,df_eventos!H:H,Conciliacao!A451)</f>
        <v/>
      </c>
      <c r="F451" s="3">
        <f>SUMIFS(df_mutuos!M:M,df_mutuos!B:B,Conciliacao!A451)</f>
        <v/>
      </c>
      <c r="G451" s="6">
        <f>SUMIFS(df_bloqueios_judiciais!G:G,df_bloqueios_judiciais!D:D,Conciliacao!A451,df_bloqueios_judiciais!G:G,"&gt;0")</f>
        <v/>
      </c>
      <c r="H451" s="7">
        <f>SUMIFS(df_extratos!I:I,df_extratos!F:F,Conciliacao!BE451,df_extratos!G:G,"CREDITO")+SUMIFS(df_extratos!I:I,df_extratos!F:F,Conciliacao!A451,df_extratos!G:G,"CREDITO")+SUMIFS(df_extratos!I:I,df_extratos!F:F,Conciliacao!BF451,df_extratos!G:G,"CREDITO")+SUMIFS(df_extratos!I:I,df_extratos!F:F,Conciliacao!BG451,df_extratos!G:G,"CREDITO")+SUMIFS(df_extratos!I:I,df_extratos!F:F,Conciliacao!BH451,df_extratos!G:G,"CREDITO")</f>
        <v/>
      </c>
      <c r="I451" s="9">
        <f>H451-SUM(B451:G451)</f>
        <v/>
      </c>
      <c r="J451" s="4">
        <f>SUMIFS(df_blueme_sem_parcelamento!E:E,df_blueme_sem_parcelamento!H:H,Conciliacao!A451)*(-1)</f>
        <v/>
      </c>
      <c r="K451" s="4">
        <f>SUMIFS(df_blueme_com_parcelamento!J:J,df_blueme_com_parcelamento!M:M,Conciliacao!A451)*(-1)</f>
        <v/>
      </c>
      <c r="L451" s="4">
        <f>SUMIFS(df_mutuos!N:N,df_mutuos!B:B,Conciliacao!A451)*(-1)</f>
        <v/>
      </c>
      <c r="M451" s="8">
        <f>SUMIFS(df_bloqueios_judiciais!G:G,df_bloqueios_judiciais!D:D,Conciliacao!A451,df_bloqueios_judiciais!G:G,"&lt;0")</f>
        <v/>
      </c>
      <c r="N451" s="10">
        <f>SUMIFS(df_extratos!I:I,df_extratos!F:F,Conciliacao!BE451,df_extratos!G:G,"DEBITO")+SUMIFS(df_extratos!I:I,df_extratos!F:F,Conciliacao!A451,df_extratos!G:G,"DEBITO")+SUMIFS(df_extratos!I:I,df_extratos!F:F,Conciliacao!BF451,df_extratos!G:G,"DEBITO")+SUMIFS(df_extratos!I:I,df_extratos!F:F,Conciliacao!BG451,df_extratos!G:G,"DEBITO")+SUMIFS(df_extratos!I:I,df_extratos!F:F,Conciliacao!BH451,df_extratos!G:G,"DEBITO")</f>
        <v/>
      </c>
      <c r="O451" s="11">
        <f>N451-SUM(J451:M451)</f>
        <v/>
      </c>
      <c r="P451" s="25">
        <f>SUMIFS(df_ajustes_conciliaco!D:D,df_ajustes_conciliaco!C:C,Conciliacao!A451)</f>
        <v/>
      </c>
      <c r="Q451" s="22">
        <f>O451+I451-P451</f>
        <v/>
      </c>
      <c r="BE451" s="20" t="n">
        <v>46107.5</v>
      </c>
      <c r="BF451" s="20" t="n">
        <v>46107.125</v>
      </c>
      <c r="BG451" s="20" t="n">
        <v>46107.5416666088</v>
      </c>
      <c r="BH451" s="20" t="n">
        <v>46107.625</v>
      </c>
    </row>
    <row r="452">
      <c r="A452" s="5">
        <f>A451+1</f>
        <v/>
      </c>
      <c r="B452" s="3">
        <f>-SUMIFS(df_extrato_zig!G:G,df_extrato_zig!E:E,Conciliacao!A452,df_extrato_zig!D:D,"Saque")-SUMIFS(df_extrato_zig!G:G,df_extrato_zig!E:E,Conciliacao!A452,df_extrato_zig!D:D,"Antecipação")</f>
        <v/>
      </c>
      <c r="C452" s="3">
        <f>SUMIFS(df_extrato_zig!E:E,df_extrato_zig!L:L,Conciliacao!A452,df_extrato_zig!F:F,"DINHEIRO")</f>
        <v/>
      </c>
      <c r="D452" s="3">
        <f>SUMIFS(view_parc_agrup!H:H,view_parc_agrup!G:G,Conciliacao!A452)</f>
        <v/>
      </c>
      <c r="E452" s="3">
        <f>SUMIFS(df_eventos!F:F,df_eventos!H:H,Conciliacao!A452)</f>
        <v/>
      </c>
      <c r="F452" s="3">
        <f>SUMIFS(df_mutuos!M:M,df_mutuos!B:B,Conciliacao!A452)</f>
        <v/>
      </c>
      <c r="G452" s="6">
        <f>SUMIFS(df_bloqueios_judiciais!G:G,df_bloqueios_judiciais!D:D,Conciliacao!A452,df_bloqueios_judiciais!G:G,"&gt;0")</f>
        <v/>
      </c>
      <c r="H452" s="7">
        <f>SUMIFS(df_extratos!I:I,df_extratos!F:F,Conciliacao!BE452,df_extratos!G:G,"CREDITO")+SUMIFS(df_extratos!I:I,df_extratos!F:F,Conciliacao!A452,df_extratos!G:G,"CREDITO")+SUMIFS(df_extratos!I:I,df_extratos!F:F,Conciliacao!BF452,df_extratos!G:G,"CREDITO")+SUMIFS(df_extratos!I:I,df_extratos!F:F,Conciliacao!BG452,df_extratos!G:G,"CREDITO")+SUMIFS(df_extratos!I:I,df_extratos!F:F,Conciliacao!BH452,df_extratos!G:G,"CREDITO")</f>
        <v/>
      </c>
      <c r="I452" s="9">
        <f>H452-SUM(B452:G452)</f>
        <v/>
      </c>
      <c r="J452" s="4">
        <f>SUMIFS(df_blueme_sem_parcelamento!E:E,df_blueme_sem_parcelamento!H:H,Conciliacao!A452)*(-1)</f>
        <v/>
      </c>
      <c r="K452" s="4">
        <f>SUMIFS(df_blueme_com_parcelamento!J:J,df_blueme_com_parcelamento!M:M,Conciliacao!A452)*(-1)</f>
        <v/>
      </c>
      <c r="L452" s="4">
        <f>SUMIFS(df_mutuos!N:N,df_mutuos!B:B,Conciliacao!A452)*(-1)</f>
        <v/>
      </c>
      <c r="M452" s="8">
        <f>SUMIFS(df_bloqueios_judiciais!G:G,df_bloqueios_judiciais!D:D,Conciliacao!A452,df_bloqueios_judiciais!G:G,"&lt;0")</f>
        <v/>
      </c>
      <c r="N452" s="10">
        <f>SUMIFS(df_extratos!I:I,df_extratos!F:F,Conciliacao!BE452,df_extratos!G:G,"DEBITO")+SUMIFS(df_extratos!I:I,df_extratos!F:F,Conciliacao!A452,df_extratos!G:G,"DEBITO")+SUMIFS(df_extratos!I:I,df_extratos!F:F,Conciliacao!BF452,df_extratos!G:G,"DEBITO")+SUMIFS(df_extratos!I:I,df_extratos!F:F,Conciliacao!BG452,df_extratos!G:G,"DEBITO")+SUMIFS(df_extratos!I:I,df_extratos!F:F,Conciliacao!BH452,df_extratos!G:G,"DEBITO")</f>
        <v/>
      </c>
      <c r="O452" s="11">
        <f>N452-SUM(J452:M452)</f>
        <v/>
      </c>
      <c r="P452" s="25">
        <f>SUMIFS(df_ajustes_conciliaco!D:D,df_ajustes_conciliaco!C:C,Conciliacao!A452)</f>
        <v/>
      </c>
      <c r="Q452" s="22">
        <f>O452+I452-P452</f>
        <v/>
      </c>
      <c r="BE452" s="20" t="n">
        <v>46108.5</v>
      </c>
      <c r="BF452" s="20" t="n">
        <v>46108.125</v>
      </c>
      <c r="BG452" s="20" t="n">
        <v>46108.5416666088</v>
      </c>
      <c r="BH452" s="20" t="n">
        <v>46108.625</v>
      </c>
    </row>
    <row r="453">
      <c r="A453" s="5">
        <f>A452+1</f>
        <v/>
      </c>
      <c r="B453" s="3">
        <f>-SUMIFS(df_extrato_zig!G:G,df_extrato_zig!E:E,Conciliacao!A453,df_extrato_zig!D:D,"Saque")-SUMIFS(df_extrato_zig!G:G,df_extrato_zig!E:E,Conciliacao!A453,df_extrato_zig!D:D,"Antecipação")</f>
        <v/>
      </c>
      <c r="C453" s="3">
        <f>SUMIFS(df_extrato_zig!E:E,df_extrato_zig!L:L,Conciliacao!A453,df_extrato_zig!F:F,"DINHEIRO")</f>
        <v/>
      </c>
      <c r="D453" s="3">
        <f>SUMIFS(view_parc_agrup!H:H,view_parc_agrup!G:G,Conciliacao!A453)</f>
        <v/>
      </c>
      <c r="E453" s="3">
        <f>SUMIFS(df_eventos!F:F,df_eventos!H:H,Conciliacao!A453)</f>
        <v/>
      </c>
      <c r="F453" s="3">
        <f>SUMIFS(df_mutuos!M:M,df_mutuos!B:B,Conciliacao!A453)</f>
        <v/>
      </c>
      <c r="G453" s="6">
        <f>SUMIFS(df_bloqueios_judiciais!G:G,df_bloqueios_judiciais!D:D,Conciliacao!A453,df_bloqueios_judiciais!G:G,"&gt;0")</f>
        <v/>
      </c>
      <c r="H453" s="7">
        <f>SUMIFS(df_extratos!I:I,df_extratos!F:F,Conciliacao!BE453,df_extratos!G:G,"CREDITO")+SUMIFS(df_extratos!I:I,df_extratos!F:F,Conciliacao!A453,df_extratos!G:G,"CREDITO")+SUMIFS(df_extratos!I:I,df_extratos!F:F,Conciliacao!BF453,df_extratos!G:G,"CREDITO")+SUMIFS(df_extratos!I:I,df_extratos!F:F,Conciliacao!BG453,df_extratos!G:G,"CREDITO")+SUMIFS(df_extratos!I:I,df_extratos!F:F,Conciliacao!BH453,df_extratos!G:G,"CREDITO")</f>
        <v/>
      </c>
      <c r="I453" s="9">
        <f>H453-SUM(B453:G453)</f>
        <v/>
      </c>
      <c r="J453" s="4">
        <f>SUMIFS(df_blueme_sem_parcelamento!E:E,df_blueme_sem_parcelamento!H:H,Conciliacao!A453)*(-1)</f>
        <v/>
      </c>
      <c r="K453" s="4">
        <f>SUMIFS(df_blueme_com_parcelamento!J:J,df_blueme_com_parcelamento!M:M,Conciliacao!A453)*(-1)</f>
        <v/>
      </c>
      <c r="L453" s="4">
        <f>SUMIFS(df_mutuos!N:N,df_mutuos!B:B,Conciliacao!A453)*(-1)</f>
        <v/>
      </c>
      <c r="M453" s="8">
        <f>SUMIFS(df_bloqueios_judiciais!G:G,df_bloqueios_judiciais!D:D,Conciliacao!A453,df_bloqueios_judiciais!G:G,"&lt;0")</f>
        <v/>
      </c>
      <c r="N453" s="10">
        <f>SUMIFS(df_extratos!I:I,df_extratos!F:F,Conciliacao!BE453,df_extratos!G:G,"DEBITO")+SUMIFS(df_extratos!I:I,df_extratos!F:F,Conciliacao!A453,df_extratos!G:G,"DEBITO")+SUMIFS(df_extratos!I:I,df_extratos!F:F,Conciliacao!BF453,df_extratos!G:G,"DEBITO")+SUMIFS(df_extratos!I:I,df_extratos!F:F,Conciliacao!BG453,df_extratos!G:G,"DEBITO")+SUMIFS(df_extratos!I:I,df_extratos!F:F,Conciliacao!BH453,df_extratos!G:G,"DEBITO")</f>
        <v/>
      </c>
      <c r="O453" s="11">
        <f>N453-SUM(J453:M453)</f>
        <v/>
      </c>
      <c r="P453" s="25">
        <f>SUMIFS(df_ajustes_conciliaco!D:D,df_ajustes_conciliaco!C:C,Conciliacao!A453)</f>
        <v/>
      </c>
      <c r="Q453" s="22">
        <f>O453+I453-P453</f>
        <v/>
      </c>
      <c r="BE453" s="20" t="n">
        <v>46109.5</v>
      </c>
      <c r="BF453" s="20" t="n">
        <v>46109.125</v>
      </c>
      <c r="BG453" s="20" t="n">
        <v>46109.5416666088</v>
      </c>
      <c r="BH453" s="20" t="n">
        <v>46109.625</v>
      </c>
    </row>
    <row r="454">
      <c r="A454" s="5">
        <f>A453+1</f>
        <v/>
      </c>
      <c r="B454" s="3">
        <f>-SUMIFS(df_extrato_zig!G:G,df_extrato_zig!E:E,Conciliacao!A454,df_extrato_zig!D:D,"Saque")-SUMIFS(df_extrato_zig!G:G,df_extrato_zig!E:E,Conciliacao!A454,df_extrato_zig!D:D,"Antecipação")</f>
        <v/>
      </c>
      <c r="C454" s="3">
        <f>SUMIFS(df_extrato_zig!E:E,df_extrato_zig!L:L,Conciliacao!A454,df_extrato_zig!F:F,"DINHEIRO")</f>
        <v/>
      </c>
      <c r="D454" s="3">
        <f>SUMIFS(view_parc_agrup!H:H,view_parc_agrup!G:G,Conciliacao!A454)</f>
        <v/>
      </c>
      <c r="E454" s="3">
        <f>SUMIFS(df_eventos!F:F,df_eventos!H:H,Conciliacao!A454)</f>
        <v/>
      </c>
      <c r="F454" s="3">
        <f>SUMIFS(df_mutuos!M:M,df_mutuos!B:B,Conciliacao!A454)</f>
        <v/>
      </c>
      <c r="G454" s="6">
        <f>SUMIFS(df_bloqueios_judiciais!G:G,df_bloqueios_judiciais!D:D,Conciliacao!A454,df_bloqueios_judiciais!G:G,"&gt;0")</f>
        <v/>
      </c>
      <c r="H454" s="7">
        <f>SUMIFS(df_extratos!I:I,df_extratos!F:F,Conciliacao!BE454,df_extratos!G:G,"CREDITO")+SUMIFS(df_extratos!I:I,df_extratos!F:F,Conciliacao!A454,df_extratos!G:G,"CREDITO")+SUMIFS(df_extratos!I:I,df_extratos!F:F,Conciliacao!BF454,df_extratos!G:G,"CREDITO")+SUMIFS(df_extratos!I:I,df_extratos!F:F,Conciliacao!BG454,df_extratos!G:G,"CREDITO")+SUMIFS(df_extratos!I:I,df_extratos!F:F,Conciliacao!BH454,df_extratos!G:G,"CREDITO")</f>
        <v/>
      </c>
      <c r="I454" s="9">
        <f>H454-SUM(B454:G454)</f>
        <v/>
      </c>
      <c r="J454" s="4">
        <f>SUMIFS(df_blueme_sem_parcelamento!E:E,df_blueme_sem_parcelamento!H:H,Conciliacao!A454)*(-1)</f>
        <v/>
      </c>
      <c r="K454" s="4">
        <f>SUMIFS(df_blueme_com_parcelamento!J:J,df_blueme_com_parcelamento!M:M,Conciliacao!A454)*(-1)</f>
        <v/>
      </c>
      <c r="L454" s="4">
        <f>SUMIFS(df_mutuos!N:N,df_mutuos!B:B,Conciliacao!A454)*(-1)</f>
        <v/>
      </c>
      <c r="M454" s="8">
        <f>SUMIFS(df_bloqueios_judiciais!G:G,df_bloqueios_judiciais!D:D,Conciliacao!A454,df_bloqueios_judiciais!G:G,"&lt;0")</f>
        <v/>
      </c>
      <c r="N454" s="10">
        <f>SUMIFS(df_extratos!I:I,df_extratos!F:F,Conciliacao!BE454,df_extratos!G:G,"DEBITO")+SUMIFS(df_extratos!I:I,df_extratos!F:F,Conciliacao!A454,df_extratos!G:G,"DEBITO")+SUMIFS(df_extratos!I:I,df_extratos!F:F,Conciliacao!BF454,df_extratos!G:G,"DEBITO")+SUMIFS(df_extratos!I:I,df_extratos!F:F,Conciliacao!BG454,df_extratos!G:G,"DEBITO")+SUMIFS(df_extratos!I:I,df_extratos!F:F,Conciliacao!BH454,df_extratos!G:G,"DEBITO")</f>
        <v/>
      </c>
      <c r="O454" s="11">
        <f>N454-SUM(J454:M454)</f>
        <v/>
      </c>
      <c r="P454" s="25">
        <f>SUMIFS(df_ajustes_conciliaco!D:D,df_ajustes_conciliaco!C:C,Conciliacao!A454)</f>
        <v/>
      </c>
      <c r="Q454" s="22">
        <f>O454+I454-P454</f>
        <v/>
      </c>
      <c r="BE454" s="20" t="n">
        <v>46110.5</v>
      </c>
      <c r="BF454" s="20" t="n">
        <v>46110.125</v>
      </c>
      <c r="BG454" s="20" t="n">
        <v>46110.5416666088</v>
      </c>
      <c r="BH454" s="20" t="n">
        <v>46110.625</v>
      </c>
    </row>
    <row r="455">
      <c r="A455" s="5">
        <f>A454+1</f>
        <v/>
      </c>
      <c r="B455" s="3">
        <f>-SUMIFS(df_extrato_zig!G:G,df_extrato_zig!E:E,Conciliacao!A455,df_extrato_zig!D:D,"Saque")-SUMIFS(df_extrato_zig!G:G,df_extrato_zig!E:E,Conciliacao!A455,df_extrato_zig!D:D,"Antecipação")</f>
        <v/>
      </c>
      <c r="C455" s="3">
        <f>SUMIFS(df_extrato_zig!E:E,df_extrato_zig!L:L,Conciliacao!A455,df_extrato_zig!F:F,"DINHEIRO")</f>
        <v/>
      </c>
      <c r="D455" s="3">
        <f>SUMIFS(view_parc_agrup!H:H,view_parc_agrup!G:G,Conciliacao!A455)</f>
        <v/>
      </c>
      <c r="E455" s="3">
        <f>SUMIFS(df_eventos!F:F,df_eventos!H:H,Conciliacao!A455)</f>
        <v/>
      </c>
      <c r="F455" s="3">
        <f>SUMIFS(df_mutuos!M:M,df_mutuos!B:B,Conciliacao!A455)</f>
        <v/>
      </c>
      <c r="G455" s="6">
        <f>SUMIFS(df_bloqueios_judiciais!G:G,df_bloqueios_judiciais!D:D,Conciliacao!A455,df_bloqueios_judiciais!G:G,"&gt;0")</f>
        <v/>
      </c>
      <c r="H455" s="7">
        <f>SUMIFS(df_extratos!I:I,df_extratos!F:F,Conciliacao!BE455,df_extratos!G:G,"CREDITO")+SUMIFS(df_extratos!I:I,df_extratos!F:F,Conciliacao!A455,df_extratos!G:G,"CREDITO")+SUMIFS(df_extratos!I:I,df_extratos!F:F,Conciliacao!BF455,df_extratos!G:G,"CREDITO")+SUMIFS(df_extratos!I:I,df_extratos!F:F,Conciliacao!BG455,df_extratos!G:G,"CREDITO")+SUMIFS(df_extratos!I:I,df_extratos!F:F,Conciliacao!BH455,df_extratos!G:G,"CREDITO")</f>
        <v/>
      </c>
      <c r="I455" s="9">
        <f>H455-SUM(B455:G455)</f>
        <v/>
      </c>
      <c r="J455" s="4">
        <f>SUMIFS(df_blueme_sem_parcelamento!E:E,df_blueme_sem_parcelamento!H:H,Conciliacao!A455)*(-1)</f>
        <v/>
      </c>
      <c r="K455" s="4">
        <f>SUMIFS(df_blueme_com_parcelamento!J:J,df_blueme_com_parcelamento!M:M,Conciliacao!A455)*(-1)</f>
        <v/>
      </c>
      <c r="L455" s="4">
        <f>SUMIFS(df_mutuos!N:N,df_mutuos!B:B,Conciliacao!A455)*(-1)</f>
        <v/>
      </c>
      <c r="M455" s="8">
        <f>SUMIFS(df_bloqueios_judiciais!G:G,df_bloqueios_judiciais!D:D,Conciliacao!A455,df_bloqueios_judiciais!G:G,"&lt;0")</f>
        <v/>
      </c>
      <c r="N455" s="10">
        <f>SUMIFS(df_extratos!I:I,df_extratos!F:F,Conciliacao!BE455,df_extratos!G:G,"DEBITO")+SUMIFS(df_extratos!I:I,df_extratos!F:F,Conciliacao!A455,df_extratos!G:G,"DEBITO")+SUMIFS(df_extratos!I:I,df_extratos!F:F,Conciliacao!BF455,df_extratos!G:G,"DEBITO")+SUMIFS(df_extratos!I:I,df_extratos!F:F,Conciliacao!BG455,df_extratos!G:G,"DEBITO")+SUMIFS(df_extratos!I:I,df_extratos!F:F,Conciliacao!BH455,df_extratos!G:G,"DEBITO")</f>
        <v/>
      </c>
      <c r="O455" s="11">
        <f>N455-SUM(J455:M455)</f>
        <v/>
      </c>
      <c r="P455" s="25">
        <f>SUMIFS(df_ajustes_conciliaco!D:D,df_ajustes_conciliaco!C:C,Conciliacao!A455)</f>
        <v/>
      </c>
      <c r="Q455" s="22">
        <f>O455+I455-P455</f>
        <v/>
      </c>
      <c r="BE455" s="20" t="n">
        <v>46111.5</v>
      </c>
      <c r="BF455" s="20" t="n">
        <v>46111.125</v>
      </c>
      <c r="BG455" s="20" t="n">
        <v>46111.5416666088</v>
      </c>
      <c r="BH455" s="20" t="n">
        <v>46111.625</v>
      </c>
    </row>
    <row r="456">
      <c r="A456" s="5">
        <f>A455+1</f>
        <v/>
      </c>
      <c r="B456" s="3">
        <f>-SUMIFS(df_extrato_zig!G:G,df_extrato_zig!E:E,Conciliacao!A456,df_extrato_zig!D:D,"Saque")-SUMIFS(df_extrato_zig!G:G,df_extrato_zig!E:E,Conciliacao!A456,df_extrato_zig!D:D,"Antecipação")</f>
        <v/>
      </c>
      <c r="C456" s="3">
        <f>SUMIFS(df_extrato_zig!E:E,df_extrato_zig!L:L,Conciliacao!A456,df_extrato_zig!F:F,"DINHEIRO")</f>
        <v/>
      </c>
      <c r="D456" s="3">
        <f>SUMIFS(view_parc_agrup!H:H,view_parc_agrup!G:G,Conciliacao!A456)</f>
        <v/>
      </c>
      <c r="E456" s="3">
        <f>SUMIFS(df_eventos!F:F,df_eventos!H:H,Conciliacao!A456)</f>
        <v/>
      </c>
      <c r="F456" s="3">
        <f>SUMIFS(df_mutuos!M:M,df_mutuos!B:B,Conciliacao!A456)</f>
        <v/>
      </c>
      <c r="G456" s="6">
        <f>SUMIFS(df_bloqueios_judiciais!G:G,df_bloqueios_judiciais!D:D,Conciliacao!A456,df_bloqueios_judiciais!G:G,"&gt;0")</f>
        <v/>
      </c>
      <c r="H456" s="7">
        <f>SUMIFS(df_extratos!I:I,df_extratos!F:F,Conciliacao!BE456,df_extratos!G:G,"CREDITO")+SUMIFS(df_extratos!I:I,df_extratos!F:F,Conciliacao!A456,df_extratos!G:G,"CREDITO")+SUMIFS(df_extratos!I:I,df_extratos!F:F,Conciliacao!BF456,df_extratos!G:G,"CREDITO")+SUMIFS(df_extratos!I:I,df_extratos!F:F,Conciliacao!BG456,df_extratos!G:G,"CREDITO")+SUMIFS(df_extratos!I:I,df_extratos!F:F,Conciliacao!BH456,df_extratos!G:G,"CREDITO")</f>
        <v/>
      </c>
      <c r="I456" s="9">
        <f>H456-SUM(B456:G456)</f>
        <v/>
      </c>
      <c r="J456" s="4">
        <f>SUMIFS(df_blueme_sem_parcelamento!E:E,df_blueme_sem_parcelamento!H:H,Conciliacao!A456)*(-1)</f>
        <v/>
      </c>
      <c r="K456" s="4">
        <f>SUMIFS(df_blueme_com_parcelamento!J:J,df_blueme_com_parcelamento!M:M,Conciliacao!A456)*(-1)</f>
        <v/>
      </c>
      <c r="L456" s="4">
        <f>SUMIFS(df_mutuos!N:N,df_mutuos!B:B,Conciliacao!A456)*(-1)</f>
        <v/>
      </c>
      <c r="M456" s="8">
        <f>SUMIFS(df_bloqueios_judiciais!G:G,df_bloqueios_judiciais!D:D,Conciliacao!A456,df_bloqueios_judiciais!G:G,"&lt;0")</f>
        <v/>
      </c>
      <c r="N456" s="10">
        <f>SUMIFS(df_extratos!I:I,df_extratos!F:F,Conciliacao!BE456,df_extratos!G:G,"DEBITO")+SUMIFS(df_extratos!I:I,df_extratos!F:F,Conciliacao!A456,df_extratos!G:G,"DEBITO")+SUMIFS(df_extratos!I:I,df_extratos!F:F,Conciliacao!BF456,df_extratos!G:G,"DEBITO")+SUMIFS(df_extratos!I:I,df_extratos!F:F,Conciliacao!BG456,df_extratos!G:G,"DEBITO")+SUMIFS(df_extratos!I:I,df_extratos!F:F,Conciliacao!BH456,df_extratos!G:G,"DEBITO")</f>
        <v/>
      </c>
      <c r="O456" s="11">
        <f>N456-SUM(J456:M456)</f>
        <v/>
      </c>
      <c r="P456" s="25">
        <f>SUMIFS(df_ajustes_conciliaco!D:D,df_ajustes_conciliaco!C:C,Conciliacao!A456)</f>
        <v/>
      </c>
      <c r="Q456" s="22">
        <f>O456+I456-P456</f>
        <v/>
      </c>
      <c r="BE456" s="20" t="n">
        <v>46112.5</v>
      </c>
      <c r="BF456" s="20" t="n">
        <v>46112.125</v>
      </c>
      <c r="BG456" s="20" t="n">
        <v>46112.5416666088</v>
      </c>
      <c r="BH456" s="20" t="n">
        <v>46112.625</v>
      </c>
    </row>
    <row r="457">
      <c r="A457" s="5">
        <f>A456+1</f>
        <v/>
      </c>
      <c r="B457" s="3">
        <f>-SUMIFS(df_extrato_zig!G:G,df_extrato_zig!E:E,Conciliacao!A457,df_extrato_zig!D:D,"Saque")-SUMIFS(df_extrato_zig!G:G,df_extrato_zig!E:E,Conciliacao!A457,df_extrato_zig!D:D,"Antecipação")</f>
        <v/>
      </c>
      <c r="C457" s="3">
        <f>SUMIFS(df_extrato_zig!E:E,df_extrato_zig!L:L,Conciliacao!A457,df_extrato_zig!F:F,"DINHEIRO")</f>
        <v/>
      </c>
      <c r="D457" s="3">
        <f>SUMIFS(view_parc_agrup!H:H,view_parc_agrup!G:G,Conciliacao!A457)</f>
        <v/>
      </c>
      <c r="E457" s="3">
        <f>SUMIFS(df_eventos!F:F,df_eventos!H:H,Conciliacao!A457)</f>
        <v/>
      </c>
      <c r="F457" s="3">
        <f>SUMIFS(df_mutuos!M:M,df_mutuos!B:B,Conciliacao!A457)</f>
        <v/>
      </c>
      <c r="G457" s="6">
        <f>SUMIFS(df_bloqueios_judiciais!G:G,df_bloqueios_judiciais!D:D,Conciliacao!A457,df_bloqueios_judiciais!G:G,"&gt;0")</f>
        <v/>
      </c>
      <c r="H457" s="7">
        <f>SUMIFS(df_extratos!I:I,df_extratos!F:F,Conciliacao!BE457,df_extratos!G:G,"CREDITO")+SUMIFS(df_extratos!I:I,df_extratos!F:F,Conciliacao!A457,df_extratos!G:G,"CREDITO")+SUMIFS(df_extratos!I:I,df_extratos!F:F,Conciliacao!BF457,df_extratos!G:G,"CREDITO")+SUMIFS(df_extratos!I:I,df_extratos!F:F,Conciliacao!BG457,df_extratos!G:G,"CREDITO")+SUMIFS(df_extratos!I:I,df_extratos!F:F,Conciliacao!BH457,df_extratos!G:G,"CREDITO")</f>
        <v/>
      </c>
      <c r="I457" s="9">
        <f>H457-SUM(B457:G457)</f>
        <v/>
      </c>
      <c r="J457" s="4">
        <f>SUMIFS(df_blueme_sem_parcelamento!E:E,df_blueme_sem_parcelamento!H:H,Conciliacao!A457)*(-1)</f>
        <v/>
      </c>
      <c r="K457" s="4">
        <f>SUMIFS(df_blueme_com_parcelamento!J:J,df_blueme_com_parcelamento!M:M,Conciliacao!A457)*(-1)</f>
        <v/>
      </c>
      <c r="L457" s="4">
        <f>SUMIFS(df_mutuos!N:N,df_mutuos!B:B,Conciliacao!A457)*(-1)</f>
        <v/>
      </c>
      <c r="M457" s="8">
        <f>SUMIFS(df_bloqueios_judiciais!G:G,df_bloqueios_judiciais!D:D,Conciliacao!A457,df_bloqueios_judiciais!G:G,"&lt;0")</f>
        <v/>
      </c>
      <c r="N457" s="10">
        <f>SUMIFS(df_extratos!I:I,df_extratos!F:F,Conciliacao!BE457,df_extratos!G:G,"DEBITO")+SUMIFS(df_extratos!I:I,df_extratos!F:F,Conciliacao!A457,df_extratos!G:G,"DEBITO")+SUMIFS(df_extratos!I:I,df_extratos!F:F,Conciliacao!BF457,df_extratos!G:G,"DEBITO")+SUMIFS(df_extratos!I:I,df_extratos!F:F,Conciliacao!BG457,df_extratos!G:G,"DEBITO")+SUMIFS(df_extratos!I:I,df_extratos!F:F,Conciliacao!BH457,df_extratos!G:G,"DEBITO")</f>
        <v/>
      </c>
      <c r="O457" s="11">
        <f>N457-SUM(J457:M457)</f>
        <v/>
      </c>
      <c r="P457" s="25">
        <f>SUMIFS(df_ajustes_conciliaco!D:D,df_ajustes_conciliaco!C:C,Conciliacao!A457)</f>
        <v/>
      </c>
      <c r="Q457" s="22">
        <f>O457+I457-P457</f>
        <v/>
      </c>
      <c r="BE457" s="20" t="n">
        <v>46113.5</v>
      </c>
      <c r="BF457" s="20" t="n">
        <v>46113.125</v>
      </c>
      <c r="BG457" s="20" t="n">
        <v>46113.5416666088</v>
      </c>
      <c r="BH457" s="20" t="n">
        <v>46113.625</v>
      </c>
    </row>
    <row r="458">
      <c r="A458" s="5">
        <f>A457+1</f>
        <v/>
      </c>
      <c r="B458" s="3">
        <f>-SUMIFS(df_extrato_zig!G:G,df_extrato_zig!E:E,Conciliacao!A458,df_extrato_zig!D:D,"Saque")-SUMIFS(df_extrato_zig!G:G,df_extrato_zig!E:E,Conciliacao!A458,df_extrato_zig!D:D,"Antecipação")</f>
        <v/>
      </c>
      <c r="C458" s="3">
        <f>SUMIFS(df_extrato_zig!E:E,df_extrato_zig!L:L,Conciliacao!A458,df_extrato_zig!F:F,"DINHEIRO")</f>
        <v/>
      </c>
      <c r="D458" s="3">
        <f>SUMIFS(view_parc_agrup!H:H,view_parc_agrup!G:G,Conciliacao!A458)</f>
        <v/>
      </c>
      <c r="E458" s="3">
        <f>SUMIFS(df_eventos!F:F,df_eventos!H:H,Conciliacao!A458)</f>
        <v/>
      </c>
      <c r="F458" s="3">
        <f>SUMIFS(df_mutuos!M:M,df_mutuos!B:B,Conciliacao!A458)</f>
        <v/>
      </c>
      <c r="G458" s="6">
        <f>SUMIFS(df_bloqueios_judiciais!G:G,df_bloqueios_judiciais!D:D,Conciliacao!A458,df_bloqueios_judiciais!G:G,"&gt;0")</f>
        <v/>
      </c>
      <c r="H458" s="7">
        <f>SUMIFS(df_extratos!I:I,df_extratos!F:F,Conciliacao!BE458,df_extratos!G:G,"CREDITO")+SUMIFS(df_extratos!I:I,df_extratos!F:F,Conciliacao!A458,df_extratos!G:G,"CREDITO")+SUMIFS(df_extratos!I:I,df_extratos!F:F,Conciliacao!BF458,df_extratos!G:G,"CREDITO")+SUMIFS(df_extratos!I:I,df_extratos!F:F,Conciliacao!BG458,df_extratos!G:G,"CREDITO")+SUMIFS(df_extratos!I:I,df_extratos!F:F,Conciliacao!BH458,df_extratos!G:G,"CREDITO")</f>
        <v/>
      </c>
      <c r="I458" s="9">
        <f>H458-SUM(B458:G458)</f>
        <v/>
      </c>
      <c r="J458" s="4">
        <f>SUMIFS(df_blueme_sem_parcelamento!E:E,df_blueme_sem_parcelamento!H:H,Conciliacao!A458)*(-1)</f>
        <v/>
      </c>
      <c r="K458" s="4">
        <f>SUMIFS(df_blueme_com_parcelamento!J:J,df_blueme_com_parcelamento!M:M,Conciliacao!A458)*(-1)</f>
        <v/>
      </c>
      <c r="L458" s="4">
        <f>SUMIFS(df_mutuos!N:N,df_mutuos!B:B,Conciliacao!A458)*(-1)</f>
        <v/>
      </c>
      <c r="M458" s="8">
        <f>SUMIFS(df_bloqueios_judiciais!G:G,df_bloqueios_judiciais!D:D,Conciliacao!A458,df_bloqueios_judiciais!G:G,"&lt;0")</f>
        <v/>
      </c>
      <c r="N458" s="10">
        <f>SUMIFS(df_extratos!I:I,df_extratos!F:F,Conciliacao!BE458,df_extratos!G:G,"DEBITO")+SUMIFS(df_extratos!I:I,df_extratos!F:F,Conciliacao!A458,df_extratos!G:G,"DEBITO")+SUMIFS(df_extratos!I:I,df_extratos!F:F,Conciliacao!BF458,df_extratos!G:G,"DEBITO")+SUMIFS(df_extratos!I:I,df_extratos!F:F,Conciliacao!BG458,df_extratos!G:G,"DEBITO")+SUMIFS(df_extratos!I:I,df_extratos!F:F,Conciliacao!BH458,df_extratos!G:G,"DEBITO")</f>
        <v/>
      </c>
      <c r="O458" s="11">
        <f>N458-SUM(J458:M458)</f>
        <v/>
      </c>
      <c r="P458" s="25">
        <f>SUMIFS(df_ajustes_conciliaco!D:D,df_ajustes_conciliaco!C:C,Conciliacao!A458)</f>
        <v/>
      </c>
      <c r="Q458" s="22">
        <f>O458+I458-P458</f>
        <v/>
      </c>
      <c r="BE458" s="20" t="n">
        <v>46114.5</v>
      </c>
      <c r="BF458" s="20" t="n">
        <v>46114.125</v>
      </c>
      <c r="BG458" s="20" t="n">
        <v>46114.5416666088</v>
      </c>
      <c r="BH458" s="20" t="n">
        <v>46114.625</v>
      </c>
    </row>
    <row r="459">
      <c r="A459" s="5">
        <f>A458+1</f>
        <v/>
      </c>
      <c r="B459" s="3">
        <f>-SUMIFS(df_extrato_zig!G:G,df_extrato_zig!E:E,Conciliacao!A459,df_extrato_zig!D:D,"Saque")-SUMIFS(df_extrato_zig!G:G,df_extrato_zig!E:E,Conciliacao!A459,df_extrato_zig!D:D,"Antecipação")</f>
        <v/>
      </c>
      <c r="C459" s="3">
        <f>SUMIFS(df_extrato_zig!E:E,df_extrato_zig!L:L,Conciliacao!A459,df_extrato_zig!F:F,"DINHEIRO")</f>
        <v/>
      </c>
      <c r="D459" s="3">
        <f>SUMIFS(view_parc_agrup!H:H,view_parc_agrup!G:G,Conciliacao!A459)</f>
        <v/>
      </c>
      <c r="E459" s="3">
        <f>SUMIFS(df_eventos!F:F,df_eventos!H:H,Conciliacao!A459)</f>
        <v/>
      </c>
      <c r="F459" s="3">
        <f>SUMIFS(df_mutuos!M:M,df_mutuos!B:B,Conciliacao!A459)</f>
        <v/>
      </c>
      <c r="G459" s="6">
        <f>SUMIFS(df_bloqueios_judiciais!G:G,df_bloqueios_judiciais!D:D,Conciliacao!A459,df_bloqueios_judiciais!G:G,"&gt;0")</f>
        <v/>
      </c>
      <c r="H459" s="7">
        <f>SUMIFS(df_extratos!I:I,df_extratos!F:F,Conciliacao!BE459,df_extratos!G:G,"CREDITO")+SUMIFS(df_extratos!I:I,df_extratos!F:F,Conciliacao!A459,df_extratos!G:G,"CREDITO")+SUMIFS(df_extratos!I:I,df_extratos!F:F,Conciliacao!BF459,df_extratos!G:G,"CREDITO")+SUMIFS(df_extratos!I:I,df_extratos!F:F,Conciliacao!BG459,df_extratos!G:G,"CREDITO")+SUMIFS(df_extratos!I:I,df_extratos!F:F,Conciliacao!BH459,df_extratos!G:G,"CREDITO")</f>
        <v/>
      </c>
      <c r="I459" s="9">
        <f>H459-SUM(B459:G459)</f>
        <v/>
      </c>
      <c r="J459" s="4">
        <f>SUMIFS(df_blueme_sem_parcelamento!E:E,df_blueme_sem_parcelamento!H:H,Conciliacao!A459)*(-1)</f>
        <v/>
      </c>
      <c r="K459" s="4">
        <f>SUMIFS(df_blueme_com_parcelamento!J:J,df_blueme_com_parcelamento!M:M,Conciliacao!A459)*(-1)</f>
        <v/>
      </c>
      <c r="L459" s="4">
        <f>SUMIFS(df_mutuos!N:N,df_mutuos!B:B,Conciliacao!A459)*(-1)</f>
        <v/>
      </c>
      <c r="M459" s="8">
        <f>SUMIFS(df_bloqueios_judiciais!G:G,df_bloqueios_judiciais!D:D,Conciliacao!A459,df_bloqueios_judiciais!G:G,"&lt;0")</f>
        <v/>
      </c>
      <c r="N459" s="10">
        <f>SUMIFS(df_extratos!I:I,df_extratos!F:F,Conciliacao!BE459,df_extratos!G:G,"DEBITO")+SUMIFS(df_extratos!I:I,df_extratos!F:F,Conciliacao!A459,df_extratos!G:G,"DEBITO")+SUMIFS(df_extratos!I:I,df_extratos!F:F,Conciliacao!BF459,df_extratos!G:G,"DEBITO")+SUMIFS(df_extratos!I:I,df_extratos!F:F,Conciliacao!BG459,df_extratos!G:G,"DEBITO")+SUMIFS(df_extratos!I:I,df_extratos!F:F,Conciliacao!BH459,df_extratos!G:G,"DEBITO")</f>
        <v/>
      </c>
      <c r="O459" s="11">
        <f>N459-SUM(J459:M459)</f>
        <v/>
      </c>
      <c r="P459" s="25">
        <f>SUMIFS(df_ajustes_conciliaco!D:D,df_ajustes_conciliaco!C:C,Conciliacao!A459)</f>
        <v/>
      </c>
      <c r="Q459" s="22">
        <f>O459+I459-P459</f>
        <v/>
      </c>
      <c r="BE459" s="20" t="n">
        <v>46115.5</v>
      </c>
      <c r="BF459" s="20" t="n">
        <v>46115.125</v>
      </c>
      <c r="BG459" s="20" t="n">
        <v>46115.5416666088</v>
      </c>
      <c r="BH459" s="20" t="n">
        <v>46115.625</v>
      </c>
    </row>
    <row r="460">
      <c r="A460" s="5">
        <f>A459+1</f>
        <v/>
      </c>
      <c r="B460" s="3">
        <f>-SUMIFS(df_extrato_zig!G:G,df_extrato_zig!E:E,Conciliacao!A460,df_extrato_zig!D:D,"Saque")-SUMIFS(df_extrato_zig!G:G,df_extrato_zig!E:E,Conciliacao!A460,df_extrato_zig!D:D,"Antecipação")</f>
        <v/>
      </c>
      <c r="C460" s="3">
        <f>SUMIFS(df_extrato_zig!E:E,df_extrato_zig!L:L,Conciliacao!A460,df_extrato_zig!F:F,"DINHEIRO")</f>
        <v/>
      </c>
      <c r="D460" s="3">
        <f>SUMIFS(view_parc_agrup!H:H,view_parc_agrup!G:G,Conciliacao!A460)</f>
        <v/>
      </c>
      <c r="E460" s="3">
        <f>SUMIFS(df_eventos!F:F,df_eventos!H:H,Conciliacao!A460)</f>
        <v/>
      </c>
      <c r="F460" s="3">
        <f>SUMIFS(df_mutuos!M:M,df_mutuos!B:B,Conciliacao!A460)</f>
        <v/>
      </c>
      <c r="G460" s="6">
        <f>SUMIFS(df_bloqueios_judiciais!G:G,df_bloqueios_judiciais!D:D,Conciliacao!A460,df_bloqueios_judiciais!G:G,"&gt;0")</f>
        <v/>
      </c>
      <c r="H460" s="7">
        <f>SUMIFS(df_extratos!I:I,df_extratos!F:F,Conciliacao!BE460,df_extratos!G:G,"CREDITO")+SUMIFS(df_extratos!I:I,df_extratos!F:F,Conciliacao!A460,df_extratos!G:G,"CREDITO")+SUMIFS(df_extratos!I:I,df_extratos!F:F,Conciliacao!BF460,df_extratos!G:G,"CREDITO")+SUMIFS(df_extratos!I:I,df_extratos!F:F,Conciliacao!BG460,df_extratos!G:G,"CREDITO")+SUMIFS(df_extratos!I:I,df_extratos!F:F,Conciliacao!BH460,df_extratos!G:G,"CREDITO")</f>
        <v/>
      </c>
      <c r="I460" s="9">
        <f>H460-SUM(B460:G460)</f>
        <v/>
      </c>
      <c r="J460" s="4">
        <f>SUMIFS(df_blueme_sem_parcelamento!E:E,df_blueme_sem_parcelamento!H:H,Conciliacao!A460)*(-1)</f>
        <v/>
      </c>
      <c r="K460" s="4">
        <f>SUMIFS(df_blueme_com_parcelamento!J:J,df_blueme_com_parcelamento!M:M,Conciliacao!A460)*(-1)</f>
        <v/>
      </c>
      <c r="L460" s="4">
        <f>SUMIFS(df_mutuos!N:N,df_mutuos!B:B,Conciliacao!A460)*(-1)</f>
        <v/>
      </c>
      <c r="M460" s="8">
        <f>SUMIFS(df_bloqueios_judiciais!G:G,df_bloqueios_judiciais!D:D,Conciliacao!A460,df_bloqueios_judiciais!G:G,"&lt;0")</f>
        <v/>
      </c>
      <c r="N460" s="10">
        <f>SUMIFS(df_extratos!I:I,df_extratos!F:F,Conciliacao!BE460,df_extratos!G:G,"DEBITO")+SUMIFS(df_extratos!I:I,df_extratos!F:F,Conciliacao!A460,df_extratos!G:G,"DEBITO")+SUMIFS(df_extratos!I:I,df_extratos!F:F,Conciliacao!BF460,df_extratos!G:G,"DEBITO")+SUMIFS(df_extratos!I:I,df_extratos!F:F,Conciliacao!BG460,df_extratos!G:G,"DEBITO")+SUMIFS(df_extratos!I:I,df_extratos!F:F,Conciliacao!BH460,df_extratos!G:G,"DEBITO")</f>
        <v/>
      </c>
      <c r="O460" s="11">
        <f>N460-SUM(J460:M460)</f>
        <v/>
      </c>
      <c r="P460" s="25">
        <f>SUMIFS(df_ajustes_conciliaco!D:D,df_ajustes_conciliaco!C:C,Conciliacao!A460)</f>
        <v/>
      </c>
      <c r="Q460" s="22">
        <f>O460+I460-P460</f>
        <v/>
      </c>
      <c r="BE460" s="20" t="n">
        <v>46116.5</v>
      </c>
      <c r="BF460" s="20" t="n">
        <v>46116.125</v>
      </c>
      <c r="BG460" s="20" t="n">
        <v>46116.5416666088</v>
      </c>
      <c r="BH460" s="20" t="n">
        <v>46116.625</v>
      </c>
    </row>
    <row r="461">
      <c r="A461" s="5">
        <f>A460+1</f>
        <v/>
      </c>
      <c r="B461" s="3">
        <f>-SUMIFS(df_extrato_zig!G:G,df_extrato_zig!E:E,Conciliacao!A461,df_extrato_zig!D:D,"Saque")-SUMIFS(df_extrato_zig!G:G,df_extrato_zig!E:E,Conciliacao!A461,df_extrato_zig!D:D,"Antecipação")</f>
        <v/>
      </c>
      <c r="C461" s="3">
        <f>SUMIFS(df_extrato_zig!E:E,df_extrato_zig!L:L,Conciliacao!A461,df_extrato_zig!F:F,"DINHEIRO")</f>
        <v/>
      </c>
      <c r="D461" s="3">
        <f>SUMIFS(view_parc_agrup!H:H,view_parc_agrup!G:G,Conciliacao!A461)</f>
        <v/>
      </c>
      <c r="E461" s="3">
        <f>SUMIFS(df_eventos!F:F,df_eventos!H:H,Conciliacao!A461)</f>
        <v/>
      </c>
      <c r="F461" s="3">
        <f>SUMIFS(df_mutuos!M:M,df_mutuos!B:B,Conciliacao!A461)</f>
        <v/>
      </c>
      <c r="G461" s="6">
        <f>SUMIFS(df_bloqueios_judiciais!G:G,df_bloqueios_judiciais!D:D,Conciliacao!A461,df_bloqueios_judiciais!G:G,"&gt;0")</f>
        <v/>
      </c>
      <c r="H461" s="7">
        <f>SUMIFS(df_extratos!I:I,df_extratos!F:F,Conciliacao!BE461,df_extratos!G:G,"CREDITO")+SUMIFS(df_extratos!I:I,df_extratos!F:F,Conciliacao!A461,df_extratos!G:G,"CREDITO")+SUMIFS(df_extratos!I:I,df_extratos!F:F,Conciliacao!BF461,df_extratos!G:G,"CREDITO")+SUMIFS(df_extratos!I:I,df_extratos!F:F,Conciliacao!BG461,df_extratos!G:G,"CREDITO")+SUMIFS(df_extratos!I:I,df_extratos!F:F,Conciliacao!BH461,df_extratos!G:G,"CREDITO")</f>
        <v/>
      </c>
      <c r="I461" s="9">
        <f>H461-SUM(B461:G461)</f>
        <v/>
      </c>
      <c r="J461" s="4">
        <f>SUMIFS(df_blueme_sem_parcelamento!E:E,df_blueme_sem_parcelamento!H:H,Conciliacao!A461)*(-1)</f>
        <v/>
      </c>
      <c r="K461" s="4">
        <f>SUMIFS(df_blueme_com_parcelamento!J:J,df_blueme_com_parcelamento!M:M,Conciliacao!A461)*(-1)</f>
        <v/>
      </c>
      <c r="L461" s="4">
        <f>SUMIFS(df_mutuos!N:N,df_mutuos!B:B,Conciliacao!A461)*(-1)</f>
        <v/>
      </c>
      <c r="M461" s="8">
        <f>SUMIFS(df_bloqueios_judiciais!G:G,df_bloqueios_judiciais!D:D,Conciliacao!A461,df_bloqueios_judiciais!G:G,"&lt;0")</f>
        <v/>
      </c>
      <c r="N461" s="10">
        <f>SUMIFS(df_extratos!I:I,df_extratos!F:F,Conciliacao!BE461,df_extratos!G:G,"DEBITO")+SUMIFS(df_extratos!I:I,df_extratos!F:F,Conciliacao!A461,df_extratos!G:G,"DEBITO")+SUMIFS(df_extratos!I:I,df_extratos!F:F,Conciliacao!BF461,df_extratos!G:G,"DEBITO")+SUMIFS(df_extratos!I:I,df_extratos!F:F,Conciliacao!BG461,df_extratos!G:G,"DEBITO")+SUMIFS(df_extratos!I:I,df_extratos!F:F,Conciliacao!BH461,df_extratos!G:G,"DEBITO")</f>
        <v/>
      </c>
      <c r="O461" s="11">
        <f>N461-SUM(J461:M461)</f>
        <v/>
      </c>
      <c r="P461" s="25">
        <f>SUMIFS(df_ajustes_conciliaco!D:D,df_ajustes_conciliaco!C:C,Conciliacao!A461)</f>
        <v/>
      </c>
      <c r="Q461" s="22">
        <f>O461+I461-P461</f>
        <v/>
      </c>
      <c r="BE461" s="20" t="n">
        <v>46117.5</v>
      </c>
      <c r="BF461" s="20" t="n">
        <v>46117.125</v>
      </c>
      <c r="BG461" s="20" t="n">
        <v>46117.5416666088</v>
      </c>
      <c r="BH461" s="20" t="n">
        <v>46117.625</v>
      </c>
    </row>
    <row r="462">
      <c r="A462" s="5">
        <f>A461+1</f>
        <v/>
      </c>
      <c r="B462" s="3">
        <f>-SUMIFS(df_extrato_zig!G:G,df_extrato_zig!E:E,Conciliacao!A462,df_extrato_zig!D:D,"Saque")-SUMIFS(df_extrato_zig!G:G,df_extrato_zig!E:E,Conciliacao!A462,df_extrato_zig!D:D,"Antecipação")</f>
        <v/>
      </c>
      <c r="C462" s="3">
        <f>SUMIFS(df_extrato_zig!E:E,df_extrato_zig!L:L,Conciliacao!A462,df_extrato_zig!F:F,"DINHEIRO")</f>
        <v/>
      </c>
      <c r="D462" s="3">
        <f>SUMIFS(view_parc_agrup!H:H,view_parc_agrup!G:G,Conciliacao!A462)</f>
        <v/>
      </c>
      <c r="E462" s="3">
        <f>SUMIFS(df_eventos!F:F,df_eventos!H:H,Conciliacao!A462)</f>
        <v/>
      </c>
      <c r="F462" s="3">
        <f>SUMIFS(df_mutuos!M:M,df_mutuos!B:B,Conciliacao!A462)</f>
        <v/>
      </c>
      <c r="G462" s="6">
        <f>SUMIFS(df_bloqueios_judiciais!G:G,df_bloqueios_judiciais!D:D,Conciliacao!A462,df_bloqueios_judiciais!G:G,"&gt;0")</f>
        <v/>
      </c>
      <c r="H462" s="7">
        <f>SUMIFS(df_extratos!I:I,df_extratos!F:F,Conciliacao!BE462,df_extratos!G:G,"CREDITO")+SUMIFS(df_extratos!I:I,df_extratos!F:F,Conciliacao!A462,df_extratos!G:G,"CREDITO")+SUMIFS(df_extratos!I:I,df_extratos!F:F,Conciliacao!BF462,df_extratos!G:G,"CREDITO")+SUMIFS(df_extratos!I:I,df_extratos!F:F,Conciliacao!BG462,df_extratos!G:G,"CREDITO")+SUMIFS(df_extratos!I:I,df_extratos!F:F,Conciliacao!BH462,df_extratos!G:G,"CREDITO")</f>
        <v/>
      </c>
      <c r="I462" s="9">
        <f>H462-SUM(B462:G462)</f>
        <v/>
      </c>
      <c r="J462" s="4">
        <f>SUMIFS(df_blueme_sem_parcelamento!E:E,df_blueme_sem_parcelamento!H:H,Conciliacao!A462)*(-1)</f>
        <v/>
      </c>
      <c r="K462" s="4">
        <f>SUMIFS(df_blueme_com_parcelamento!J:J,df_blueme_com_parcelamento!M:M,Conciliacao!A462)*(-1)</f>
        <v/>
      </c>
      <c r="L462" s="4">
        <f>SUMIFS(df_mutuos!N:N,df_mutuos!B:B,Conciliacao!A462)*(-1)</f>
        <v/>
      </c>
      <c r="M462" s="8">
        <f>SUMIFS(df_bloqueios_judiciais!G:G,df_bloqueios_judiciais!D:D,Conciliacao!A462,df_bloqueios_judiciais!G:G,"&lt;0")</f>
        <v/>
      </c>
      <c r="N462" s="10">
        <f>SUMIFS(df_extratos!I:I,df_extratos!F:F,Conciliacao!BE462,df_extratos!G:G,"DEBITO")+SUMIFS(df_extratos!I:I,df_extratos!F:F,Conciliacao!A462,df_extratos!G:G,"DEBITO")+SUMIFS(df_extratos!I:I,df_extratos!F:F,Conciliacao!BF462,df_extratos!G:G,"DEBITO")+SUMIFS(df_extratos!I:I,df_extratos!F:F,Conciliacao!BG462,df_extratos!G:G,"DEBITO")+SUMIFS(df_extratos!I:I,df_extratos!F:F,Conciliacao!BH462,df_extratos!G:G,"DEBITO")</f>
        <v/>
      </c>
      <c r="O462" s="11">
        <f>N462-SUM(J462:M462)</f>
        <v/>
      </c>
      <c r="P462" s="25">
        <f>SUMIFS(df_ajustes_conciliaco!D:D,df_ajustes_conciliaco!C:C,Conciliacao!A462)</f>
        <v/>
      </c>
      <c r="Q462" s="22">
        <f>O462+I462-P462</f>
        <v/>
      </c>
      <c r="BE462" s="20" t="n">
        <v>46118.5</v>
      </c>
      <c r="BF462" s="20" t="n">
        <v>46118.125</v>
      </c>
      <c r="BG462" s="20" t="n">
        <v>46118.5416666088</v>
      </c>
      <c r="BH462" s="20" t="n">
        <v>46118.625</v>
      </c>
    </row>
    <row r="463">
      <c r="A463" s="5">
        <f>A462+1</f>
        <v/>
      </c>
      <c r="B463" s="3">
        <f>-SUMIFS(df_extrato_zig!G:G,df_extrato_zig!E:E,Conciliacao!A463,df_extrato_zig!D:D,"Saque")-SUMIFS(df_extrato_zig!G:G,df_extrato_zig!E:E,Conciliacao!A463,df_extrato_zig!D:D,"Antecipação")</f>
        <v/>
      </c>
      <c r="C463" s="3">
        <f>SUMIFS(df_extrato_zig!E:E,df_extrato_zig!L:L,Conciliacao!A463,df_extrato_zig!F:F,"DINHEIRO")</f>
        <v/>
      </c>
      <c r="D463" s="3">
        <f>SUMIFS(view_parc_agrup!H:H,view_parc_agrup!G:G,Conciliacao!A463)</f>
        <v/>
      </c>
      <c r="E463" s="3">
        <f>SUMIFS(df_eventos!F:F,df_eventos!H:H,Conciliacao!A463)</f>
        <v/>
      </c>
      <c r="F463" s="3">
        <f>SUMIFS(df_mutuos!M:M,df_mutuos!B:B,Conciliacao!A463)</f>
        <v/>
      </c>
      <c r="G463" s="6">
        <f>SUMIFS(df_bloqueios_judiciais!G:G,df_bloqueios_judiciais!D:D,Conciliacao!A463,df_bloqueios_judiciais!G:G,"&gt;0")</f>
        <v/>
      </c>
      <c r="H463" s="7">
        <f>SUMIFS(df_extratos!I:I,df_extratos!F:F,Conciliacao!BE463,df_extratos!G:G,"CREDITO")+SUMIFS(df_extratos!I:I,df_extratos!F:F,Conciliacao!A463,df_extratos!G:G,"CREDITO")+SUMIFS(df_extratos!I:I,df_extratos!F:F,Conciliacao!BF463,df_extratos!G:G,"CREDITO")+SUMIFS(df_extratos!I:I,df_extratos!F:F,Conciliacao!BG463,df_extratos!G:G,"CREDITO")+SUMIFS(df_extratos!I:I,df_extratos!F:F,Conciliacao!BH463,df_extratos!G:G,"CREDITO")</f>
        <v/>
      </c>
      <c r="I463" s="9">
        <f>H463-SUM(B463:G463)</f>
        <v/>
      </c>
      <c r="J463" s="4">
        <f>SUMIFS(df_blueme_sem_parcelamento!E:E,df_blueme_sem_parcelamento!H:H,Conciliacao!A463)*(-1)</f>
        <v/>
      </c>
      <c r="K463" s="4">
        <f>SUMIFS(df_blueme_com_parcelamento!J:J,df_blueme_com_parcelamento!M:M,Conciliacao!A463)*(-1)</f>
        <v/>
      </c>
      <c r="L463" s="4">
        <f>SUMIFS(df_mutuos!N:N,df_mutuos!B:B,Conciliacao!A463)*(-1)</f>
        <v/>
      </c>
      <c r="M463" s="8">
        <f>SUMIFS(df_bloqueios_judiciais!G:G,df_bloqueios_judiciais!D:D,Conciliacao!A463,df_bloqueios_judiciais!G:G,"&lt;0")</f>
        <v/>
      </c>
      <c r="N463" s="10">
        <f>SUMIFS(df_extratos!I:I,df_extratos!F:F,Conciliacao!BE463,df_extratos!G:G,"DEBITO")+SUMIFS(df_extratos!I:I,df_extratos!F:F,Conciliacao!A463,df_extratos!G:G,"DEBITO")+SUMIFS(df_extratos!I:I,df_extratos!F:F,Conciliacao!BF463,df_extratos!G:G,"DEBITO")+SUMIFS(df_extratos!I:I,df_extratos!F:F,Conciliacao!BG463,df_extratos!G:G,"DEBITO")+SUMIFS(df_extratos!I:I,df_extratos!F:F,Conciliacao!BH463,df_extratos!G:G,"DEBITO")</f>
        <v/>
      </c>
      <c r="O463" s="11">
        <f>N463-SUM(J463:M463)</f>
        <v/>
      </c>
      <c r="P463" s="25">
        <f>SUMIFS(df_ajustes_conciliaco!D:D,df_ajustes_conciliaco!C:C,Conciliacao!A463)</f>
        <v/>
      </c>
      <c r="Q463" s="22">
        <f>O463+I463-P463</f>
        <v/>
      </c>
      <c r="BE463" s="20" t="n">
        <v>46119.5</v>
      </c>
      <c r="BF463" s="20" t="n">
        <v>46119.125</v>
      </c>
      <c r="BG463" s="20" t="n">
        <v>46119.5416666088</v>
      </c>
      <c r="BH463" s="20" t="n">
        <v>46119.625</v>
      </c>
    </row>
    <row r="464">
      <c r="A464" s="5">
        <f>A463+1</f>
        <v/>
      </c>
      <c r="B464" s="3">
        <f>-SUMIFS(df_extrato_zig!G:G,df_extrato_zig!E:E,Conciliacao!A464,df_extrato_zig!D:D,"Saque")-SUMIFS(df_extrato_zig!G:G,df_extrato_zig!E:E,Conciliacao!A464,df_extrato_zig!D:D,"Antecipação")</f>
        <v/>
      </c>
      <c r="C464" s="3">
        <f>SUMIFS(df_extrato_zig!E:E,df_extrato_zig!L:L,Conciliacao!A464,df_extrato_zig!F:F,"DINHEIRO")</f>
        <v/>
      </c>
      <c r="D464" s="3">
        <f>SUMIFS(view_parc_agrup!H:H,view_parc_agrup!G:G,Conciliacao!A464)</f>
        <v/>
      </c>
      <c r="E464" s="3">
        <f>SUMIFS(df_eventos!F:F,df_eventos!H:H,Conciliacao!A464)</f>
        <v/>
      </c>
      <c r="F464" s="3">
        <f>SUMIFS(df_mutuos!M:M,df_mutuos!B:B,Conciliacao!A464)</f>
        <v/>
      </c>
      <c r="G464" s="6">
        <f>SUMIFS(df_bloqueios_judiciais!G:G,df_bloqueios_judiciais!D:D,Conciliacao!A464,df_bloqueios_judiciais!G:G,"&gt;0")</f>
        <v/>
      </c>
      <c r="H464" s="7">
        <f>SUMIFS(df_extratos!I:I,df_extratos!F:F,Conciliacao!BE464,df_extratos!G:G,"CREDITO")+SUMIFS(df_extratos!I:I,df_extratos!F:F,Conciliacao!A464,df_extratos!G:G,"CREDITO")+SUMIFS(df_extratos!I:I,df_extratos!F:F,Conciliacao!BF464,df_extratos!G:G,"CREDITO")+SUMIFS(df_extratos!I:I,df_extratos!F:F,Conciliacao!BG464,df_extratos!G:G,"CREDITO")+SUMIFS(df_extratos!I:I,df_extratos!F:F,Conciliacao!BH464,df_extratos!G:G,"CREDITO")</f>
        <v/>
      </c>
      <c r="I464" s="9">
        <f>H464-SUM(B464:G464)</f>
        <v/>
      </c>
      <c r="J464" s="4">
        <f>SUMIFS(df_blueme_sem_parcelamento!E:E,df_blueme_sem_parcelamento!H:H,Conciliacao!A464)*(-1)</f>
        <v/>
      </c>
      <c r="K464" s="4">
        <f>SUMIFS(df_blueme_com_parcelamento!J:J,df_blueme_com_parcelamento!M:M,Conciliacao!A464)*(-1)</f>
        <v/>
      </c>
      <c r="L464" s="4">
        <f>SUMIFS(df_mutuos!N:N,df_mutuos!B:B,Conciliacao!A464)*(-1)</f>
        <v/>
      </c>
      <c r="M464" s="8">
        <f>SUMIFS(df_bloqueios_judiciais!G:G,df_bloqueios_judiciais!D:D,Conciliacao!A464,df_bloqueios_judiciais!G:G,"&lt;0")</f>
        <v/>
      </c>
      <c r="N464" s="10">
        <f>SUMIFS(df_extratos!I:I,df_extratos!F:F,Conciliacao!BE464,df_extratos!G:G,"DEBITO")+SUMIFS(df_extratos!I:I,df_extratos!F:F,Conciliacao!A464,df_extratos!G:G,"DEBITO")+SUMIFS(df_extratos!I:I,df_extratos!F:F,Conciliacao!BF464,df_extratos!G:G,"DEBITO")+SUMIFS(df_extratos!I:I,df_extratos!F:F,Conciliacao!BG464,df_extratos!G:G,"DEBITO")+SUMIFS(df_extratos!I:I,df_extratos!F:F,Conciliacao!BH464,df_extratos!G:G,"DEBITO")</f>
        <v/>
      </c>
      <c r="O464" s="11">
        <f>N464-SUM(J464:M464)</f>
        <v/>
      </c>
      <c r="P464" s="25">
        <f>SUMIFS(df_ajustes_conciliaco!D:D,df_ajustes_conciliaco!C:C,Conciliacao!A464)</f>
        <v/>
      </c>
      <c r="Q464" s="22">
        <f>O464+I464-P464</f>
        <v/>
      </c>
      <c r="BE464" s="20" t="n">
        <v>46120.5</v>
      </c>
      <c r="BF464" s="20" t="n">
        <v>46120.125</v>
      </c>
      <c r="BG464" s="20" t="n">
        <v>46120.5416666088</v>
      </c>
      <c r="BH464" s="20" t="n">
        <v>46120.625</v>
      </c>
    </row>
    <row r="465">
      <c r="A465" s="5">
        <f>A464+1</f>
        <v/>
      </c>
      <c r="B465" s="3">
        <f>-SUMIFS(df_extrato_zig!G:G,df_extrato_zig!E:E,Conciliacao!A465,df_extrato_zig!D:D,"Saque")-SUMIFS(df_extrato_zig!G:G,df_extrato_zig!E:E,Conciliacao!A465,df_extrato_zig!D:D,"Antecipação")</f>
        <v/>
      </c>
      <c r="C465" s="3">
        <f>SUMIFS(df_extrato_zig!E:E,df_extrato_zig!L:L,Conciliacao!A465,df_extrato_zig!F:F,"DINHEIRO")</f>
        <v/>
      </c>
      <c r="D465" s="3">
        <f>SUMIFS(view_parc_agrup!H:H,view_parc_agrup!G:G,Conciliacao!A465)</f>
        <v/>
      </c>
      <c r="E465" s="3">
        <f>SUMIFS(df_eventos!F:F,df_eventos!H:H,Conciliacao!A465)</f>
        <v/>
      </c>
      <c r="F465" s="3">
        <f>SUMIFS(df_mutuos!M:M,df_mutuos!B:B,Conciliacao!A465)</f>
        <v/>
      </c>
      <c r="G465" s="6">
        <f>SUMIFS(df_bloqueios_judiciais!G:G,df_bloqueios_judiciais!D:D,Conciliacao!A465,df_bloqueios_judiciais!G:G,"&gt;0")</f>
        <v/>
      </c>
      <c r="H465" s="7">
        <f>SUMIFS(df_extratos!I:I,df_extratos!F:F,Conciliacao!BE465,df_extratos!G:G,"CREDITO")+SUMIFS(df_extratos!I:I,df_extratos!F:F,Conciliacao!A465,df_extratos!G:G,"CREDITO")+SUMIFS(df_extratos!I:I,df_extratos!F:F,Conciliacao!BF465,df_extratos!G:G,"CREDITO")+SUMIFS(df_extratos!I:I,df_extratos!F:F,Conciliacao!BG465,df_extratos!G:G,"CREDITO")+SUMIFS(df_extratos!I:I,df_extratos!F:F,Conciliacao!BH465,df_extratos!G:G,"CREDITO")</f>
        <v/>
      </c>
      <c r="I465" s="9">
        <f>H465-SUM(B465:G465)</f>
        <v/>
      </c>
      <c r="J465" s="4">
        <f>SUMIFS(df_blueme_sem_parcelamento!E:E,df_blueme_sem_parcelamento!H:H,Conciliacao!A465)*(-1)</f>
        <v/>
      </c>
      <c r="K465" s="4">
        <f>SUMIFS(df_blueme_com_parcelamento!J:J,df_blueme_com_parcelamento!M:M,Conciliacao!A465)*(-1)</f>
        <v/>
      </c>
      <c r="L465" s="4">
        <f>SUMIFS(df_mutuos!N:N,df_mutuos!B:B,Conciliacao!A465)*(-1)</f>
        <v/>
      </c>
      <c r="M465" s="8">
        <f>SUMIFS(df_bloqueios_judiciais!G:G,df_bloqueios_judiciais!D:D,Conciliacao!A465,df_bloqueios_judiciais!G:G,"&lt;0")</f>
        <v/>
      </c>
      <c r="N465" s="10">
        <f>SUMIFS(df_extratos!I:I,df_extratos!F:F,Conciliacao!BE465,df_extratos!G:G,"DEBITO")+SUMIFS(df_extratos!I:I,df_extratos!F:F,Conciliacao!A465,df_extratos!G:G,"DEBITO")+SUMIFS(df_extratos!I:I,df_extratos!F:F,Conciliacao!BF465,df_extratos!G:G,"DEBITO")+SUMIFS(df_extratos!I:I,df_extratos!F:F,Conciliacao!BG465,df_extratos!G:G,"DEBITO")+SUMIFS(df_extratos!I:I,df_extratos!F:F,Conciliacao!BH465,df_extratos!G:G,"DEBITO")</f>
        <v/>
      </c>
      <c r="O465" s="11">
        <f>N465-SUM(J465:M465)</f>
        <v/>
      </c>
      <c r="P465" s="25">
        <f>SUMIFS(df_ajustes_conciliaco!D:D,df_ajustes_conciliaco!C:C,Conciliacao!A465)</f>
        <v/>
      </c>
      <c r="Q465" s="22">
        <f>O465+I465-P465</f>
        <v/>
      </c>
      <c r="BE465" s="20" t="n">
        <v>46121.5</v>
      </c>
      <c r="BF465" s="20" t="n">
        <v>46121.125</v>
      </c>
      <c r="BG465" s="20" t="n">
        <v>46121.5416666088</v>
      </c>
      <c r="BH465" s="20" t="n">
        <v>46121.625</v>
      </c>
    </row>
    <row r="466">
      <c r="A466" s="5">
        <f>A465+1</f>
        <v/>
      </c>
      <c r="B466" s="3">
        <f>-SUMIFS(df_extrato_zig!G:G,df_extrato_zig!E:E,Conciliacao!A466,df_extrato_zig!D:D,"Saque")-SUMIFS(df_extrato_zig!G:G,df_extrato_zig!E:E,Conciliacao!A466,df_extrato_zig!D:D,"Antecipação")</f>
        <v/>
      </c>
      <c r="C466" s="3">
        <f>SUMIFS(df_extrato_zig!E:E,df_extrato_zig!L:L,Conciliacao!A466,df_extrato_zig!F:F,"DINHEIRO")</f>
        <v/>
      </c>
      <c r="D466" s="3">
        <f>SUMIFS(view_parc_agrup!H:H,view_parc_agrup!G:G,Conciliacao!A466)</f>
        <v/>
      </c>
      <c r="E466" s="3">
        <f>SUMIFS(df_eventos!F:F,df_eventos!H:H,Conciliacao!A466)</f>
        <v/>
      </c>
      <c r="F466" s="3">
        <f>SUMIFS(df_mutuos!M:M,df_mutuos!B:B,Conciliacao!A466)</f>
        <v/>
      </c>
      <c r="G466" s="6">
        <f>SUMIFS(df_bloqueios_judiciais!G:G,df_bloqueios_judiciais!D:D,Conciliacao!A466,df_bloqueios_judiciais!G:G,"&gt;0")</f>
        <v/>
      </c>
      <c r="H466" s="7">
        <f>SUMIFS(df_extratos!I:I,df_extratos!F:F,Conciliacao!BE466,df_extratos!G:G,"CREDITO")+SUMIFS(df_extratos!I:I,df_extratos!F:F,Conciliacao!A466,df_extratos!G:G,"CREDITO")+SUMIFS(df_extratos!I:I,df_extratos!F:F,Conciliacao!BF466,df_extratos!G:G,"CREDITO")+SUMIFS(df_extratos!I:I,df_extratos!F:F,Conciliacao!BG466,df_extratos!G:G,"CREDITO")+SUMIFS(df_extratos!I:I,df_extratos!F:F,Conciliacao!BH466,df_extratos!G:G,"CREDITO")</f>
        <v/>
      </c>
      <c r="I466" s="9">
        <f>H466-SUM(B466:G466)</f>
        <v/>
      </c>
      <c r="J466" s="4">
        <f>SUMIFS(df_blueme_sem_parcelamento!E:E,df_blueme_sem_parcelamento!H:H,Conciliacao!A466)*(-1)</f>
        <v/>
      </c>
      <c r="K466" s="4">
        <f>SUMIFS(df_blueme_com_parcelamento!J:J,df_blueme_com_parcelamento!M:M,Conciliacao!A466)*(-1)</f>
        <v/>
      </c>
      <c r="L466" s="4">
        <f>SUMIFS(df_mutuos!N:N,df_mutuos!B:B,Conciliacao!A466)*(-1)</f>
        <v/>
      </c>
      <c r="M466" s="8">
        <f>SUMIFS(df_bloqueios_judiciais!G:G,df_bloqueios_judiciais!D:D,Conciliacao!A466,df_bloqueios_judiciais!G:G,"&lt;0")</f>
        <v/>
      </c>
      <c r="N466" s="10">
        <f>SUMIFS(df_extratos!I:I,df_extratos!F:F,Conciliacao!BE466,df_extratos!G:G,"DEBITO")+SUMIFS(df_extratos!I:I,df_extratos!F:F,Conciliacao!A466,df_extratos!G:G,"DEBITO")+SUMIFS(df_extratos!I:I,df_extratos!F:F,Conciliacao!BF466,df_extratos!G:G,"DEBITO")+SUMIFS(df_extratos!I:I,df_extratos!F:F,Conciliacao!BG466,df_extratos!G:G,"DEBITO")+SUMIFS(df_extratos!I:I,df_extratos!F:F,Conciliacao!BH466,df_extratos!G:G,"DEBITO")</f>
        <v/>
      </c>
      <c r="O466" s="11">
        <f>N466-SUM(J466:M466)</f>
        <v/>
      </c>
      <c r="P466" s="25">
        <f>SUMIFS(df_ajustes_conciliaco!D:D,df_ajustes_conciliaco!C:C,Conciliacao!A466)</f>
        <v/>
      </c>
      <c r="Q466" s="22">
        <f>O466+I466-P466</f>
        <v/>
      </c>
      <c r="BE466" s="20" t="n">
        <v>46122.5</v>
      </c>
      <c r="BF466" s="20" t="n">
        <v>46122.125</v>
      </c>
      <c r="BG466" s="20" t="n">
        <v>46122.5416666088</v>
      </c>
      <c r="BH466" s="20" t="n">
        <v>46122.625</v>
      </c>
    </row>
    <row r="467">
      <c r="A467" s="5">
        <f>A466+1</f>
        <v/>
      </c>
      <c r="B467" s="3">
        <f>-SUMIFS(df_extrato_zig!G:G,df_extrato_zig!E:E,Conciliacao!A467,df_extrato_zig!D:D,"Saque")-SUMIFS(df_extrato_zig!G:G,df_extrato_zig!E:E,Conciliacao!A467,df_extrato_zig!D:D,"Antecipação")</f>
        <v/>
      </c>
      <c r="C467" s="3">
        <f>SUMIFS(df_extrato_zig!E:E,df_extrato_zig!L:L,Conciliacao!A467,df_extrato_zig!F:F,"DINHEIRO")</f>
        <v/>
      </c>
      <c r="D467" s="3">
        <f>SUMIFS(view_parc_agrup!H:H,view_parc_agrup!G:G,Conciliacao!A467)</f>
        <v/>
      </c>
      <c r="E467" s="3">
        <f>SUMIFS(df_eventos!F:F,df_eventos!H:H,Conciliacao!A467)</f>
        <v/>
      </c>
      <c r="F467" s="3">
        <f>SUMIFS(df_mutuos!M:M,df_mutuos!B:B,Conciliacao!A467)</f>
        <v/>
      </c>
      <c r="G467" s="6">
        <f>SUMIFS(df_bloqueios_judiciais!G:G,df_bloqueios_judiciais!D:D,Conciliacao!A467,df_bloqueios_judiciais!G:G,"&gt;0")</f>
        <v/>
      </c>
      <c r="H467" s="7">
        <f>SUMIFS(df_extratos!I:I,df_extratos!F:F,Conciliacao!BE467,df_extratos!G:G,"CREDITO")+SUMIFS(df_extratos!I:I,df_extratos!F:F,Conciliacao!A467,df_extratos!G:G,"CREDITO")+SUMIFS(df_extratos!I:I,df_extratos!F:F,Conciliacao!BF467,df_extratos!G:G,"CREDITO")+SUMIFS(df_extratos!I:I,df_extratos!F:F,Conciliacao!BG467,df_extratos!G:G,"CREDITO")+SUMIFS(df_extratos!I:I,df_extratos!F:F,Conciliacao!BH467,df_extratos!G:G,"CREDITO")</f>
        <v/>
      </c>
      <c r="I467" s="9">
        <f>H467-SUM(B467:G467)</f>
        <v/>
      </c>
      <c r="J467" s="4">
        <f>SUMIFS(df_blueme_sem_parcelamento!E:E,df_blueme_sem_parcelamento!H:H,Conciliacao!A467)*(-1)</f>
        <v/>
      </c>
      <c r="K467" s="4">
        <f>SUMIFS(df_blueme_com_parcelamento!J:J,df_blueme_com_parcelamento!M:M,Conciliacao!A467)*(-1)</f>
        <v/>
      </c>
      <c r="L467" s="4">
        <f>SUMIFS(df_mutuos!N:N,df_mutuos!B:B,Conciliacao!A467)*(-1)</f>
        <v/>
      </c>
      <c r="M467" s="8">
        <f>SUMIFS(df_bloqueios_judiciais!G:G,df_bloqueios_judiciais!D:D,Conciliacao!A467,df_bloqueios_judiciais!G:G,"&lt;0")</f>
        <v/>
      </c>
      <c r="N467" s="10">
        <f>SUMIFS(df_extratos!I:I,df_extratos!F:F,Conciliacao!BE467,df_extratos!G:G,"DEBITO")+SUMIFS(df_extratos!I:I,df_extratos!F:F,Conciliacao!A467,df_extratos!G:G,"DEBITO")+SUMIFS(df_extratos!I:I,df_extratos!F:F,Conciliacao!BF467,df_extratos!G:G,"DEBITO")+SUMIFS(df_extratos!I:I,df_extratos!F:F,Conciliacao!BG467,df_extratos!G:G,"DEBITO")+SUMIFS(df_extratos!I:I,df_extratos!F:F,Conciliacao!BH467,df_extratos!G:G,"DEBITO")</f>
        <v/>
      </c>
      <c r="O467" s="11">
        <f>N467-SUM(J467:M467)</f>
        <v/>
      </c>
      <c r="P467" s="25">
        <f>SUMIFS(df_ajustes_conciliaco!D:D,df_ajustes_conciliaco!C:C,Conciliacao!A467)</f>
        <v/>
      </c>
      <c r="Q467" s="22">
        <f>O467+I467-P467</f>
        <v/>
      </c>
      <c r="BE467" s="20" t="n">
        <v>46123.5</v>
      </c>
      <c r="BF467" s="20" t="n">
        <v>46123.125</v>
      </c>
      <c r="BG467" s="20" t="n">
        <v>46123.5416666088</v>
      </c>
      <c r="BH467" s="20" t="n">
        <v>46123.625</v>
      </c>
    </row>
    <row r="468">
      <c r="A468" s="5">
        <f>A467+1</f>
        <v/>
      </c>
      <c r="B468" s="3">
        <f>-SUMIFS(df_extrato_zig!G:G,df_extrato_zig!E:E,Conciliacao!A468,df_extrato_zig!D:D,"Saque")-SUMIFS(df_extrato_zig!G:G,df_extrato_zig!E:E,Conciliacao!A468,df_extrato_zig!D:D,"Antecipação")</f>
        <v/>
      </c>
      <c r="C468" s="3">
        <f>SUMIFS(df_extrato_zig!E:E,df_extrato_zig!L:L,Conciliacao!A468,df_extrato_zig!F:F,"DINHEIRO")</f>
        <v/>
      </c>
      <c r="D468" s="3">
        <f>SUMIFS(view_parc_agrup!H:H,view_parc_agrup!G:G,Conciliacao!A468)</f>
        <v/>
      </c>
      <c r="E468" s="3">
        <f>SUMIFS(df_eventos!F:F,df_eventos!H:H,Conciliacao!A468)</f>
        <v/>
      </c>
      <c r="F468" s="3">
        <f>SUMIFS(df_mutuos!M:M,df_mutuos!B:B,Conciliacao!A468)</f>
        <v/>
      </c>
      <c r="G468" s="6">
        <f>SUMIFS(df_bloqueios_judiciais!G:G,df_bloqueios_judiciais!D:D,Conciliacao!A468,df_bloqueios_judiciais!G:G,"&gt;0")</f>
        <v/>
      </c>
      <c r="H468" s="7">
        <f>SUMIFS(df_extratos!I:I,df_extratos!F:F,Conciliacao!BE468,df_extratos!G:G,"CREDITO")+SUMIFS(df_extratos!I:I,df_extratos!F:F,Conciliacao!A468,df_extratos!G:G,"CREDITO")+SUMIFS(df_extratos!I:I,df_extratos!F:F,Conciliacao!BF468,df_extratos!G:G,"CREDITO")+SUMIFS(df_extratos!I:I,df_extratos!F:F,Conciliacao!BG468,df_extratos!G:G,"CREDITO")+SUMIFS(df_extratos!I:I,df_extratos!F:F,Conciliacao!BH468,df_extratos!G:G,"CREDITO")</f>
        <v/>
      </c>
      <c r="I468" s="9">
        <f>H468-SUM(B468:G468)</f>
        <v/>
      </c>
      <c r="J468" s="4">
        <f>SUMIFS(df_blueme_sem_parcelamento!E:E,df_blueme_sem_parcelamento!H:H,Conciliacao!A468)*(-1)</f>
        <v/>
      </c>
      <c r="K468" s="4">
        <f>SUMIFS(df_blueme_com_parcelamento!J:J,df_blueme_com_parcelamento!M:M,Conciliacao!A468)*(-1)</f>
        <v/>
      </c>
      <c r="L468" s="4">
        <f>SUMIFS(df_mutuos!N:N,df_mutuos!B:B,Conciliacao!A468)*(-1)</f>
        <v/>
      </c>
      <c r="M468" s="8">
        <f>SUMIFS(df_bloqueios_judiciais!G:G,df_bloqueios_judiciais!D:D,Conciliacao!A468,df_bloqueios_judiciais!G:G,"&lt;0")</f>
        <v/>
      </c>
      <c r="N468" s="10">
        <f>SUMIFS(df_extratos!I:I,df_extratos!F:F,Conciliacao!BE468,df_extratos!G:G,"DEBITO")+SUMIFS(df_extratos!I:I,df_extratos!F:F,Conciliacao!A468,df_extratos!G:G,"DEBITO")+SUMIFS(df_extratos!I:I,df_extratos!F:F,Conciliacao!BF468,df_extratos!G:G,"DEBITO")+SUMIFS(df_extratos!I:I,df_extratos!F:F,Conciliacao!BG468,df_extratos!G:G,"DEBITO")+SUMIFS(df_extratos!I:I,df_extratos!F:F,Conciliacao!BH468,df_extratos!G:G,"DEBITO")</f>
        <v/>
      </c>
      <c r="O468" s="11">
        <f>N468-SUM(J468:M468)</f>
        <v/>
      </c>
      <c r="P468" s="25">
        <f>SUMIFS(df_ajustes_conciliaco!D:D,df_ajustes_conciliaco!C:C,Conciliacao!A468)</f>
        <v/>
      </c>
      <c r="Q468" s="22">
        <f>O468+I468-P468</f>
        <v/>
      </c>
      <c r="BE468" s="20" t="n">
        <v>46124.5</v>
      </c>
      <c r="BF468" s="20" t="n">
        <v>46124.125</v>
      </c>
      <c r="BG468" s="20" t="n">
        <v>46124.5416666088</v>
      </c>
      <c r="BH468" s="20" t="n">
        <v>46124.625</v>
      </c>
    </row>
    <row r="469">
      <c r="A469" s="5">
        <f>A468+1</f>
        <v/>
      </c>
      <c r="B469" s="3">
        <f>-SUMIFS(df_extrato_zig!G:G,df_extrato_zig!E:E,Conciliacao!A469,df_extrato_zig!D:D,"Saque")-SUMIFS(df_extrato_zig!G:G,df_extrato_zig!E:E,Conciliacao!A469,df_extrato_zig!D:D,"Antecipação")</f>
        <v/>
      </c>
      <c r="C469" s="3">
        <f>SUMIFS(df_extrato_zig!E:E,df_extrato_zig!L:L,Conciliacao!A469,df_extrato_zig!F:F,"DINHEIRO")</f>
        <v/>
      </c>
      <c r="D469" s="3">
        <f>SUMIFS(view_parc_agrup!H:H,view_parc_agrup!G:G,Conciliacao!A469)</f>
        <v/>
      </c>
      <c r="E469" s="3">
        <f>SUMIFS(df_eventos!F:F,df_eventos!H:H,Conciliacao!A469)</f>
        <v/>
      </c>
      <c r="F469" s="3">
        <f>SUMIFS(df_mutuos!M:M,df_mutuos!B:B,Conciliacao!A469)</f>
        <v/>
      </c>
      <c r="G469" s="6">
        <f>SUMIFS(df_bloqueios_judiciais!G:G,df_bloqueios_judiciais!D:D,Conciliacao!A469,df_bloqueios_judiciais!G:G,"&gt;0")</f>
        <v/>
      </c>
      <c r="H469" s="7">
        <f>SUMIFS(df_extratos!I:I,df_extratos!F:F,Conciliacao!BE469,df_extratos!G:G,"CREDITO")+SUMIFS(df_extratos!I:I,df_extratos!F:F,Conciliacao!A469,df_extratos!G:G,"CREDITO")+SUMIFS(df_extratos!I:I,df_extratos!F:F,Conciliacao!BF469,df_extratos!G:G,"CREDITO")+SUMIFS(df_extratos!I:I,df_extratos!F:F,Conciliacao!BG469,df_extratos!G:G,"CREDITO")+SUMIFS(df_extratos!I:I,df_extratos!F:F,Conciliacao!BH469,df_extratos!G:G,"CREDITO")</f>
        <v/>
      </c>
      <c r="I469" s="9">
        <f>H469-SUM(B469:G469)</f>
        <v/>
      </c>
      <c r="J469" s="4">
        <f>SUMIFS(df_blueme_sem_parcelamento!E:E,df_blueme_sem_parcelamento!H:H,Conciliacao!A469)*(-1)</f>
        <v/>
      </c>
      <c r="K469" s="4">
        <f>SUMIFS(df_blueme_com_parcelamento!J:J,df_blueme_com_parcelamento!M:M,Conciliacao!A469)*(-1)</f>
        <v/>
      </c>
      <c r="L469" s="4">
        <f>SUMIFS(df_mutuos!N:N,df_mutuos!B:B,Conciliacao!A469)*(-1)</f>
        <v/>
      </c>
      <c r="M469" s="8">
        <f>SUMIFS(df_bloqueios_judiciais!G:G,df_bloqueios_judiciais!D:D,Conciliacao!A469,df_bloqueios_judiciais!G:G,"&lt;0")</f>
        <v/>
      </c>
      <c r="N469" s="10">
        <f>SUMIFS(df_extratos!I:I,df_extratos!F:F,Conciliacao!BE469,df_extratos!G:G,"DEBITO")+SUMIFS(df_extratos!I:I,df_extratos!F:F,Conciliacao!A469,df_extratos!G:G,"DEBITO")+SUMIFS(df_extratos!I:I,df_extratos!F:F,Conciliacao!BF469,df_extratos!G:G,"DEBITO")+SUMIFS(df_extratos!I:I,df_extratos!F:F,Conciliacao!BG469,df_extratos!G:G,"DEBITO")+SUMIFS(df_extratos!I:I,df_extratos!F:F,Conciliacao!BH469,df_extratos!G:G,"DEBITO")</f>
        <v/>
      </c>
      <c r="O469" s="11">
        <f>N469-SUM(J469:M469)</f>
        <v/>
      </c>
      <c r="P469" s="25">
        <f>SUMIFS(df_ajustes_conciliaco!D:D,df_ajustes_conciliaco!C:C,Conciliacao!A469)</f>
        <v/>
      </c>
      <c r="Q469" s="22">
        <f>O469+I469-P469</f>
        <v/>
      </c>
      <c r="BE469" s="20" t="n">
        <v>46125.5</v>
      </c>
      <c r="BF469" s="20" t="n">
        <v>46125.125</v>
      </c>
      <c r="BG469" s="20" t="n">
        <v>46125.5416666088</v>
      </c>
      <c r="BH469" s="20" t="n">
        <v>46125.625</v>
      </c>
    </row>
    <row r="470">
      <c r="A470" s="5">
        <f>A469+1</f>
        <v/>
      </c>
      <c r="B470" s="3">
        <f>-SUMIFS(df_extrato_zig!G:G,df_extrato_zig!E:E,Conciliacao!A470,df_extrato_zig!D:D,"Saque")-SUMIFS(df_extrato_zig!G:G,df_extrato_zig!E:E,Conciliacao!A470,df_extrato_zig!D:D,"Antecipação")</f>
        <v/>
      </c>
      <c r="C470" s="3">
        <f>SUMIFS(df_extrato_zig!E:E,df_extrato_zig!L:L,Conciliacao!A470,df_extrato_zig!F:F,"DINHEIRO")</f>
        <v/>
      </c>
      <c r="D470" s="3">
        <f>SUMIFS(view_parc_agrup!H:H,view_parc_agrup!G:G,Conciliacao!A470)</f>
        <v/>
      </c>
      <c r="E470" s="3">
        <f>SUMIFS(df_eventos!F:F,df_eventos!H:H,Conciliacao!A470)</f>
        <v/>
      </c>
      <c r="F470" s="3">
        <f>SUMIFS(df_mutuos!M:M,df_mutuos!B:B,Conciliacao!A470)</f>
        <v/>
      </c>
      <c r="G470" s="6">
        <f>SUMIFS(df_bloqueios_judiciais!G:G,df_bloqueios_judiciais!D:D,Conciliacao!A470,df_bloqueios_judiciais!G:G,"&gt;0")</f>
        <v/>
      </c>
      <c r="H470" s="7">
        <f>SUMIFS(df_extratos!I:I,df_extratos!F:F,Conciliacao!BE470,df_extratos!G:G,"CREDITO")+SUMIFS(df_extratos!I:I,df_extratos!F:F,Conciliacao!A470,df_extratos!G:G,"CREDITO")+SUMIFS(df_extratos!I:I,df_extratos!F:F,Conciliacao!BF470,df_extratos!G:G,"CREDITO")+SUMIFS(df_extratos!I:I,df_extratos!F:F,Conciliacao!BG470,df_extratos!G:G,"CREDITO")+SUMIFS(df_extratos!I:I,df_extratos!F:F,Conciliacao!BH470,df_extratos!G:G,"CREDITO")</f>
        <v/>
      </c>
      <c r="I470" s="9">
        <f>H470-SUM(B470:G470)</f>
        <v/>
      </c>
      <c r="J470" s="4">
        <f>SUMIFS(df_blueme_sem_parcelamento!E:E,df_blueme_sem_parcelamento!H:H,Conciliacao!A470)*(-1)</f>
        <v/>
      </c>
      <c r="K470" s="4">
        <f>SUMIFS(df_blueme_com_parcelamento!J:J,df_blueme_com_parcelamento!M:M,Conciliacao!A470)*(-1)</f>
        <v/>
      </c>
      <c r="L470" s="4">
        <f>SUMIFS(df_mutuos!N:N,df_mutuos!B:B,Conciliacao!A470)*(-1)</f>
        <v/>
      </c>
      <c r="M470" s="8">
        <f>SUMIFS(df_bloqueios_judiciais!G:G,df_bloqueios_judiciais!D:D,Conciliacao!A470,df_bloqueios_judiciais!G:G,"&lt;0")</f>
        <v/>
      </c>
      <c r="N470" s="10">
        <f>SUMIFS(df_extratos!I:I,df_extratos!F:F,Conciliacao!BE470,df_extratos!G:G,"DEBITO")+SUMIFS(df_extratos!I:I,df_extratos!F:F,Conciliacao!A470,df_extratos!G:G,"DEBITO")+SUMIFS(df_extratos!I:I,df_extratos!F:F,Conciliacao!BF470,df_extratos!G:G,"DEBITO")+SUMIFS(df_extratos!I:I,df_extratos!F:F,Conciliacao!BG470,df_extratos!G:G,"DEBITO")+SUMIFS(df_extratos!I:I,df_extratos!F:F,Conciliacao!BH470,df_extratos!G:G,"DEBITO")</f>
        <v/>
      </c>
      <c r="O470" s="11">
        <f>N470-SUM(J470:M470)</f>
        <v/>
      </c>
      <c r="P470" s="25">
        <f>SUMIFS(df_ajustes_conciliaco!D:D,df_ajustes_conciliaco!C:C,Conciliacao!A470)</f>
        <v/>
      </c>
      <c r="Q470" s="22">
        <f>O470+I470-P470</f>
        <v/>
      </c>
      <c r="BE470" s="20" t="n">
        <v>46126.5</v>
      </c>
      <c r="BF470" s="20" t="n">
        <v>46126.125</v>
      </c>
      <c r="BG470" s="20" t="n">
        <v>46126.5416666088</v>
      </c>
      <c r="BH470" s="20" t="n">
        <v>46126.625</v>
      </c>
    </row>
    <row r="471">
      <c r="A471" s="5">
        <f>A470+1</f>
        <v/>
      </c>
      <c r="B471" s="3">
        <f>-SUMIFS(df_extrato_zig!G:G,df_extrato_zig!E:E,Conciliacao!A471,df_extrato_zig!D:D,"Saque")-SUMIFS(df_extrato_zig!G:G,df_extrato_zig!E:E,Conciliacao!A471,df_extrato_zig!D:D,"Antecipação")</f>
        <v/>
      </c>
      <c r="C471" s="3">
        <f>SUMIFS(df_extrato_zig!E:E,df_extrato_zig!L:L,Conciliacao!A471,df_extrato_zig!F:F,"DINHEIRO")</f>
        <v/>
      </c>
      <c r="D471" s="3">
        <f>SUMIFS(view_parc_agrup!H:H,view_parc_agrup!G:G,Conciliacao!A471)</f>
        <v/>
      </c>
      <c r="E471" s="3">
        <f>SUMIFS(df_eventos!F:F,df_eventos!H:H,Conciliacao!A471)</f>
        <v/>
      </c>
      <c r="F471" s="3">
        <f>SUMIFS(df_mutuos!M:M,df_mutuos!B:B,Conciliacao!A471)</f>
        <v/>
      </c>
      <c r="G471" s="6">
        <f>SUMIFS(df_bloqueios_judiciais!G:G,df_bloqueios_judiciais!D:D,Conciliacao!A471,df_bloqueios_judiciais!G:G,"&gt;0")</f>
        <v/>
      </c>
      <c r="H471" s="7">
        <f>SUMIFS(df_extratos!I:I,df_extratos!F:F,Conciliacao!BE471,df_extratos!G:G,"CREDITO")+SUMIFS(df_extratos!I:I,df_extratos!F:F,Conciliacao!A471,df_extratos!G:G,"CREDITO")+SUMIFS(df_extratos!I:I,df_extratos!F:F,Conciliacao!BF471,df_extratos!G:G,"CREDITO")+SUMIFS(df_extratos!I:I,df_extratos!F:F,Conciliacao!BG471,df_extratos!G:G,"CREDITO")+SUMIFS(df_extratos!I:I,df_extratos!F:F,Conciliacao!BH471,df_extratos!G:G,"CREDITO")</f>
        <v/>
      </c>
      <c r="I471" s="9">
        <f>H471-SUM(B471:G471)</f>
        <v/>
      </c>
      <c r="J471" s="4">
        <f>SUMIFS(df_blueme_sem_parcelamento!E:E,df_blueme_sem_parcelamento!H:H,Conciliacao!A471)*(-1)</f>
        <v/>
      </c>
      <c r="K471" s="4">
        <f>SUMIFS(df_blueme_com_parcelamento!J:J,df_blueme_com_parcelamento!M:M,Conciliacao!A471)*(-1)</f>
        <v/>
      </c>
      <c r="L471" s="4">
        <f>SUMIFS(df_mutuos!N:N,df_mutuos!B:B,Conciliacao!A471)*(-1)</f>
        <v/>
      </c>
      <c r="M471" s="8">
        <f>SUMIFS(df_bloqueios_judiciais!G:G,df_bloqueios_judiciais!D:D,Conciliacao!A471,df_bloqueios_judiciais!G:G,"&lt;0")</f>
        <v/>
      </c>
      <c r="N471" s="10">
        <f>SUMIFS(df_extratos!I:I,df_extratos!F:F,Conciliacao!BE471,df_extratos!G:G,"DEBITO")+SUMIFS(df_extratos!I:I,df_extratos!F:F,Conciliacao!A471,df_extratos!G:G,"DEBITO")+SUMIFS(df_extratos!I:I,df_extratos!F:F,Conciliacao!BF471,df_extratos!G:G,"DEBITO")+SUMIFS(df_extratos!I:I,df_extratos!F:F,Conciliacao!BG471,df_extratos!G:G,"DEBITO")+SUMIFS(df_extratos!I:I,df_extratos!F:F,Conciliacao!BH471,df_extratos!G:G,"DEBITO")</f>
        <v/>
      </c>
      <c r="O471" s="11">
        <f>N471-SUM(J471:M471)</f>
        <v/>
      </c>
      <c r="P471" s="25">
        <f>SUMIFS(df_ajustes_conciliaco!D:D,df_ajustes_conciliaco!C:C,Conciliacao!A471)</f>
        <v/>
      </c>
      <c r="Q471" s="22">
        <f>O471+I471-P471</f>
        <v/>
      </c>
      <c r="BE471" s="20" t="n">
        <v>46127.5</v>
      </c>
      <c r="BF471" s="20" t="n">
        <v>46127.125</v>
      </c>
      <c r="BG471" s="20" t="n">
        <v>46127.5416666088</v>
      </c>
      <c r="BH471" s="20" t="n">
        <v>46127.625</v>
      </c>
    </row>
    <row r="472">
      <c r="A472" s="5">
        <f>A471+1</f>
        <v/>
      </c>
      <c r="B472" s="3">
        <f>-SUMIFS(df_extrato_zig!G:G,df_extrato_zig!E:E,Conciliacao!A472,df_extrato_zig!D:D,"Saque")-SUMIFS(df_extrato_zig!G:G,df_extrato_zig!E:E,Conciliacao!A472,df_extrato_zig!D:D,"Antecipação")</f>
        <v/>
      </c>
      <c r="C472" s="3">
        <f>SUMIFS(df_extrato_zig!E:E,df_extrato_zig!L:L,Conciliacao!A472,df_extrato_zig!F:F,"DINHEIRO")</f>
        <v/>
      </c>
      <c r="D472" s="3">
        <f>SUMIFS(view_parc_agrup!H:H,view_parc_agrup!G:G,Conciliacao!A472)</f>
        <v/>
      </c>
      <c r="E472" s="3">
        <f>SUMIFS(df_eventos!F:F,df_eventos!H:H,Conciliacao!A472)</f>
        <v/>
      </c>
      <c r="F472" s="3">
        <f>SUMIFS(df_mutuos!M:M,df_mutuos!B:B,Conciliacao!A472)</f>
        <v/>
      </c>
      <c r="G472" s="6">
        <f>SUMIFS(df_bloqueios_judiciais!G:G,df_bloqueios_judiciais!D:D,Conciliacao!A472,df_bloqueios_judiciais!G:G,"&gt;0")</f>
        <v/>
      </c>
      <c r="H472" s="7">
        <f>SUMIFS(df_extratos!I:I,df_extratos!F:F,Conciliacao!BE472,df_extratos!G:G,"CREDITO")+SUMIFS(df_extratos!I:I,df_extratos!F:F,Conciliacao!A472,df_extratos!G:G,"CREDITO")+SUMIFS(df_extratos!I:I,df_extratos!F:F,Conciliacao!BF472,df_extratos!G:G,"CREDITO")+SUMIFS(df_extratos!I:I,df_extratos!F:F,Conciliacao!BG472,df_extratos!G:G,"CREDITO")+SUMIFS(df_extratos!I:I,df_extratos!F:F,Conciliacao!BH472,df_extratos!G:G,"CREDITO")</f>
        <v/>
      </c>
      <c r="I472" s="9">
        <f>H472-SUM(B472:G472)</f>
        <v/>
      </c>
      <c r="J472" s="4">
        <f>SUMIFS(df_blueme_sem_parcelamento!E:E,df_blueme_sem_parcelamento!H:H,Conciliacao!A472)*(-1)</f>
        <v/>
      </c>
      <c r="K472" s="4">
        <f>SUMIFS(df_blueme_com_parcelamento!J:J,df_blueme_com_parcelamento!M:M,Conciliacao!A472)*(-1)</f>
        <v/>
      </c>
      <c r="L472" s="4">
        <f>SUMIFS(df_mutuos!N:N,df_mutuos!B:B,Conciliacao!A472)*(-1)</f>
        <v/>
      </c>
      <c r="M472" s="8">
        <f>SUMIFS(df_bloqueios_judiciais!G:G,df_bloqueios_judiciais!D:D,Conciliacao!A472,df_bloqueios_judiciais!G:G,"&lt;0")</f>
        <v/>
      </c>
      <c r="N472" s="10">
        <f>SUMIFS(df_extratos!I:I,df_extratos!F:F,Conciliacao!BE472,df_extratos!G:G,"DEBITO")+SUMIFS(df_extratos!I:I,df_extratos!F:F,Conciliacao!A472,df_extratos!G:G,"DEBITO")+SUMIFS(df_extratos!I:I,df_extratos!F:F,Conciliacao!BF472,df_extratos!G:G,"DEBITO")+SUMIFS(df_extratos!I:I,df_extratos!F:F,Conciliacao!BG472,df_extratos!G:G,"DEBITO")+SUMIFS(df_extratos!I:I,df_extratos!F:F,Conciliacao!BH472,df_extratos!G:G,"DEBITO")</f>
        <v/>
      </c>
      <c r="O472" s="11">
        <f>N472-SUM(J472:M472)</f>
        <v/>
      </c>
      <c r="P472" s="25">
        <f>SUMIFS(df_ajustes_conciliaco!D:D,df_ajustes_conciliaco!C:C,Conciliacao!A472)</f>
        <v/>
      </c>
      <c r="Q472" s="22">
        <f>O472+I472-P472</f>
        <v/>
      </c>
      <c r="BE472" s="20" t="n">
        <v>46128.5</v>
      </c>
      <c r="BF472" s="20" t="n">
        <v>46128.125</v>
      </c>
      <c r="BG472" s="20" t="n">
        <v>46128.5416666088</v>
      </c>
      <c r="BH472" s="20" t="n">
        <v>46128.625</v>
      </c>
    </row>
    <row r="473">
      <c r="A473" s="5">
        <f>A472+1</f>
        <v/>
      </c>
      <c r="B473" s="3">
        <f>-SUMIFS(df_extrato_zig!G:G,df_extrato_zig!E:E,Conciliacao!A473,df_extrato_zig!D:D,"Saque")-SUMIFS(df_extrato_zig!G:G,df_extrato_zig!E:E,Conciliacao!A473,df_extrato_zig!D:D,"Antecipação")</f>
        <v/>
      </c>
      <c r="C473" s="3">
        <f>SUMIFS(df_extrato_zig!E:E,df_extrato_zig!L:L,Conciliacao!A473,df_extrato_zig!F:F,"DINHEIRO")</f>
        <v/>
      </c>
      <c r="D473" s="3">
        <f>SUMIFS(view_parc_agrup!H:H,view_parc_agrup!G:G,Conciliacao!A473)</f>
        <v/>
      </c>
      <c r="E473" s="3">
        <f>SUMIFS(df_eventos!F:F,df_eventos!H:H,Conciliacao!A473)</f>
        <v/>
      </c>
      <c r="F473" s="3">
        <f>SUMIFS(df_mutuos!M:M,df_mutuos!B:B,Conciliacao!A473)</f>
        <v/>
      </c>
      <c r="G473" s="6">
        <f>SUMIFS(df_bloqueios_judiciais!G:G,df_bloqueios_judiciais!D:D,Conciliacao!A473,df_bloqueios_judiciais!G:G,"&gt;0")</f>
        <v/>
      </c>
      <c r="H473" s="7">
        <f>SUMIFS(df_extratos!I:I,df_extratos!F:F,Conciliacao!BE473,df_extratos!G:G,"CREDITO")+SUMIFS(df_extratos!I:I,df_extratos!F:F,Conciliacao!A473,df_extratos!G:G,"CREDITO")+SUMIFS(df_extratos!I:I,df_extratos!F:F,Conciliacao!BF473,df_extratos!G:G,"CREDITO")+SUMIFS(df_extratos!I:I,df_extratos!F:F,Conciliacao!BG473,df_extratos!G:G,"CREDITO")+SUMIFS(df_extratos!I:I,df_extratos!F:F,Conciliacao!BH473,df_extratos!G:G,"CREDITO")</f>
        <v/>
      </c>
      <c r="I473" s="9">
        <f>H473-SUM(B473:G473)</f>
        <v/>
      </c>
      <c r="J473" s="4">
        <f>SUMIFS(df_blueme_sem_parcelamento!E:E,df_blueme_sem_parcelamento!H:H,Conciliacao!A473)*(-1)</f>
        <v/>
      </c>
      <c r="K473" s="4">
        <f>SUMIFS(df_blueme_com_parcelamento!J:J,df_blueme_com_parcelamento!M:M,Conciliacao!A473)*(-1)</f>
        <v/>
      </c>
      <c r="L473" s="4">
        <f>SUMIFS(df_mutuos!N:N,df_mutuos!B:B,Conciliacao!A473)*(-1)</f>
        <v/>
      </c>
      <c r="M473" s="8">
        <f>SUMIFS(df_bloqueios_judiciais!G:G,df_bloqueios_judiciais!D:D,Conciliacao!A473,df_bloqueios_judiciais!G:G,"&lt;0")</f>
        <v/>
      </c>
      <c r="N473" s="10">
        <f>SUMIFS(df_extratos!I:I,df_extratos!F:F,Conciliacao!BE473,df_extratos!G:G,"DEBITO")+SUMIFS(df_extratos!I:I,df_extratos!F:F,Conciliacao!A473,df_extratos!G:G,"DEBITO")+SUMIFS(df_extratos!I:I,df_extratos!F:F,Conciliacao!BF473,df_extratos!G:G,"DEBITO")+SUMIFS(df_extratos!I:I,df_extratos!F:F,Conciliacao!BG473,df_extratos!G:G,"DEBITO")+SUMIFS(df_extratos!I:I,df_extratos!F:F,Conciliacao!BH473,df_extratos!G:G,"DEBITO")</f>
        <v/>
      </c>
      <c r="O473" s="11">
        <f>N473-SUM(J473:M473)</f>
        <v/>
      </c>
      <c r="P473" s="25">
        <f>SUMIFS(df_ajustes_conciliaco!D:D,df_ajustes_conciliaco!C:C,Conciliacao!A473)</f>
        <v/>
      </c>
      <c r="Q473" s="22">
        <f>O473+I473-P473</f>
        <v/>
      </c>
      <c r="BE473" s="20" t="n">
        <v>46129.5</v>
      </c>
      <c r="BF473" s="20" t="n">
        <v>46129.125</v>
      </c>
      <c r="BG473" s="20" t="n">
        <v>46129.5416666088</v>
      </c>
      <c r="BH473" s="20" t="n">
        <v>46129.625</v>
      </c>
    </row>
    <row r="474">
      <c r="A474" s="5">
        <f>A473+1</f>
        <v/>
      </c>
      <c r="B474" s="3">
        <f>-SUMIFS(df_extrato_zig!G:G,df_extrato_zig!E:E,Conciliacao!A474,df_extrato_zig!D:D,"Saque")-SUMIFS(df_extrato_zig!G:G,df_extrato_zig!E:E,Conciliacao!A474,df_extrato_zig!D:D,"Antecipação")</f>
        <v/>
      </c>
      <c r="C474" s="3">
        <f>SUMIFS(df_extrato_zig!E:E,df_extrato_zig!L:L,Conciliacao!A474,df_extrato_zig!F:F,"DINHEIRO")</f>
        <v/>
      </c>
      <c r="D474" s="3">
        <f>SUMIFS(view_parc_agrup!H:H,view_parc_agrup!G:G,Conciliacao!A474)</f>
        <v/>
      </c>
      <c r="E474" s="3">
        <f>SUMIFS(df_eventos!F:F,df_eventos!H:H,Conciliacao!A474)</f>
        <v/>
      </c>
      <c r="F474" s="3">
        <f>SUMIFS(df_mutuos!M:M,df_mutuos!B:B,Conciliacao!A474)</f>
        <v/>
      </c>
      <c r="G474" s="6">
        <f>SUMIFS(df_bloqueios_judiciais!G:G,df_bloqueios_judiciais!D:D,Conciliacao!A474,df_bloqueios_judiciais!G:G,"&gt;0")</f>
        <v/>
      </c>
      <c r="H474" s="7">
        <f>SUMIFS(df_extratos!I:I,df_extratos!F:F,Conciliacao!BE474,df_extratos!G:G,"CREDITO")+SUMIFS(df_extratos!I:I,df_extratos!F:F,Conciliacao!A474,df_extratos!G:G,"CREDITO")+SUMIFS(df_extratos!I:I,df_extratos!F:F,Conciliacao!BF474,df_extratos!G:G,"CREDITO")+SUMIFS(df_extratos!I:I,df_extratos!F:F,Conciliacao!BG474,df_extratos!G:G,"CREDITO")+SUMIFS(df_extratos!I:I,df_extratos!F:F,Conciliacao!BH474,df_extratos!G:G,"CREDITO")</f>
        <v/>
      </c>
      <c r="I474" s="9">
        <f>H474-SUM(B474:G474)</f>
        <v/>
      </c>
      <c r="J474" s="4">
        <f>SUMIFS(df_blueme_sem_parcelamento!E:E,df_blueme_sem_parcelamento!H:H,Conciliacao!A474)*(-1)</f>
        <v/>
      </c>
      <c r="K474" s="4">
        <f>SUMIFS(df_blueme_com_parcelamento!J:J,df_blueme_com_parcelamento!M:M,Conciliacao!A474)*(-1)</f>
        <v/>
      </c>
      <c r="L474" s="4">
        <f>SUMIFS(df_mutuos!N:N,df_mutuos!B:B,Conciliacao!A474)*(-1)</f>
        <v/>
      </c>
      <c r="M474" s="8">
        <f>SUMIFS(df_bloqueios_judiciais!G:G,df_bloqueios_judiciais!D:D,Conciliacao!A474,df_bloqueios_judiciais!G:G,"&lt;0")</f>
        <v/>
      </c>
      <c r="N474" s="10">
        <f>SUMIFS(df_extratos!I:I,df_extratos!F:F,Conciliacao!BE474,df_extratos!G:G,"DEBITO")+SUMIFS(df_extratos!I:I,df_extratos!F:F,Conciliacao!A474,df_extratos!G:G,"DEBITO")+SUMIFS(df_extratos!I:I,df_extratos!F:F,Conciliacao!BF474,df_extratos!G:G,"DEBITO")+SUMIFS(df_extratos!I:I,df_extratos!F:F,Conciliacao!BG474,df_extratos!G:G,"DEBITO")+SUMIFS(df_extratos!I:I,df_extratos!F:F,Conciliacao!BH474,df_extratos!G:G,"DEBITO")</f>
        <v/>
      </c>
      <c r="O474" s="11">
        <f>N474-SUM(J474:M474)</f>
        <v/>
      </c>
      <c r="P474" s="25">
        <f>SUMIFS(df_ajustes_conciliaco!D:D,df_ajustes_conciliaco!C:C,Conciliacao!A474)</f>
        <v/>
      </c>
      <c r="Q474" s="22">
        <f>O474+I474-P474</f>
        <v/>
      </c>
      <c r="BE474" s="20" t="n">
        <v>46130.5</v>
      </c>
      <c r="BF474" s="20" t="n">
        <v>46130.125</v>
      </c>
      <c r="BG474" s="20" t="n">
        <v>46130.5416666088</v>
      </c>
      <c r="BH474" s="20" t="n">
        <v>46130.625</v>
      </c>
    </row>
    <row r="475">
      <c r="A475" s="5">
        <f>A474+1</f>
        <v/>
      </c>
      <c r="B475" s="3">
        <f>-SUMIFS(df_extrato_zig!G:G,df_extrato_zig!E:E,Conciliacao!A475,df_extrato_zig!D:D,"Saque")-SUMIFS(df_extrato_zig!G:G,df_extrato_zig!E:E,Conciliacao!A475,df_extrato_zig!D:D,"Antecipação")</f>
        <v/>
      </c>
      <c r="C475" s="3">
        <f>SUMIFS(df_extrato_zig!E:E,df_extrato_zig!L:L,Conciliacao!A475,df_extrato_zig!F:F,"DINHEIRO")</f>
        <v/>
      </c>
      <c r="D475" s="3">
        <f>SUMIFS(view_parc_agrup!H:H,view_parc_agrup!G:G,Conciliacao!A475)</f>
        <v/>
      </c>
      <c r="E475" s="3">
        <f>SUMIFS(df_eventos!F:F,df_eventos!H:H,Conciliacao!A475)</f>
        <v/>
      </c>
      <c r="F475" s="3">
        <f>SUMIFS(df_mutuos!M:M,df_mutuos!B:B,Conciliacao!A475)</f>
        <v/>
      </c>
      <c r="G475" s="6">
        <f>SUMIFS(df_bloqueios_judiciais!G:G,df_bloqueios_judiciais!D:D,Conciliacao!A475,df_bloqueios_judiciais!G:G,"&gt;0")</f>
        <v/>
      </c>
      <c r="H475" s="7">
        <f>SUMIFS(df_extratos!I:I,df_extratos!F:F,Conciliacao!BE475,df_extratos!G:G,"CREDITO")+SUMIFS(df_extratos!I:I,df_extratos!F:F,Conciliacao!A475,df_extratos!G:G,"CREDITO")+SUMIFS(df_extratos!I:I,df_extratos!F:F,Conciliacao!BF475,df_extratos!G:G,"CREDITO")+SUMIFS(df_extratos!I:I,df_extratos!F:F,Conciliacao!BG475,df_extratos!G:G,"CREDITO")+SUMIFS(df_extratos!I:I,df_extratos!F:F,Conciliacao!BH475,df_extratos!G:G,"CREDITO")</f>
        <v/>
      </c>
      <c r="I475" s="9">
        <f>H475-SUM(B475:G475)</f>
        <v/>
      </c>
      <c r="J475" s="4">
        <f>SUMIFS(df_blueme_sem_parcelamento!E:E,df_blueme_sem_parcelamento!H:H,Conciliacao!A475)*(-1)</f>
        <v/>
      </c>
      <c r="K475" s="4">
        <f>SUMIFS(df_blueme_com_parcelamento!J:J,df_blueme_com_parcelamento!M:M,Conciliacao!A475)*(-1)</f>
        <v/>
      </c>
      <c r="L475" s="4">
        <f>SUMIFS(df_mutuos!N:N,df_mutuos!B:B,Conciliacao!A475)*(-1)</f>
        <v/>
      </c>
      <c r="M475" s="8">
        <f>SUMIFS(df_bloqueios_judiciais!G:G,df_bloqueios_judiciais!D:D,Conciliacao!A475,df_bloqueios_judiciais!G:G,"&lt;0")</f>
        <v/>
      </c>
      <c r="N475" s="10">
        <f>SUMIFS(df_extratos!I:I,df_extratos!F:F,Conciliacao!BE475,df_extratos!G:G,"DEBITO")+SUMIFS(df_extratos!I:I,df_extratos!F:F,Conciliacao!A475,df_extratos!G:G,"DEBITO")+SUMIFS(df_extratos!I:I,df_extratos!F:F,Conciliacao!BF475,df_extratos!G:G,"DEBITO")+SUMIFS(df_extratos!I:I,df_extratos!F:F,Conciliacao!BG475,df_extratos!G:G,"DEBITO")+SUMIFS(df_extratos!I:I,df_extratos!F:F,Conciliacao!BH475,df_extratos!G:G,"DEBITO")</f>
        <v/>
      </c>
      <c r="O475" s="11">
        <f>N475-SUM(J475:M475)</f>
        <v/>
      </c>
      <c r="P475" s="25">
        <f>SUMIFS(df_ajustes_conciliaco!D:D,df_ajustes_conciliaco!C:C,Conciliacao!A475)</f>
        <v/>
      </c>
      <c r="Q475" s="22">
        <f>O475+I475-P475</f>
        <v/>
      </c>
      <c r="BE475" s="20" t="n">
        <v>46131.5</v>
      </c>
      <c r="BF475" s="20" t="n">
        <v>46131.125</v>
      </c>
      <c r="BG475" s="20" t="n">
        <v>46131.5416666088</v>
      </c>
      <c r="BH475" s="20" t="n">
        <v>46131.625</v>
      </c>
    </row>
    <row r="476">
      <c r="A476" s="5">
        <f>A475+1</f>
        <v/>
      </c>
      <c r="B476" s="3">
        <f>-SUMIFS(df_extrato_zig!G:G,df_extrato_zig!E:E,Conciliacao!A476,df_extrato_zig!D:D,"Saque")-SUMIFS(df_extrato_zig!G:G,df_extrato_zig!E:E,Conciliacao!A476,df_extrato_zig!D:D,"Antecipação")</f>
        <v/>
      </c>
      <c r="C476" s="3">
        <f>SUMIFS(df_extrato_zig!E:E,df_extrato_zig!L:L,Conciliacao!A476,df_extrato_zig!F:F,"DINHEIRO")</f>
        <v/>
      </c>
      <c r="D476" s="3">
        <f>SUMIFS(view_parc_agrup!H:H,view_parc_agrup!G:G,Conciliacao!A476)</f>
        <v/>
      </c>
      <c r="E476" s="3">
        <f>SUMIFS(df_eventos!F:F,df_eventos!H:H,Conciliacao!A476)</f>
        <v/>
      </c>
      <c r="F476" s="3">
        <f>SUMIFS(df_mutuos!M:M,df_mutuos!B:B,Conciliacao!A476)</f>
        <v/>
      </c>
      <c r="G476" s="6">
        <f>SUMIFS(df_bloqueios_judiciais!G:G,df_bloqueios_judiciais!D:D,Conciliacao!A476,df_bloqueios_judiciais!G:G,"&gt;0")</f>
        <v/>
      </c>
      <c r="H476" s="7">
        <f>SUMIFS(df_extratos!I:I,df_extratos!F:F,Conciliacao!BE476,df_extratos!G:G,"CREDITO")+SUMIFS(df_extratos!I:I,df_extratos!F:F,Conciliacao!A476,df_extratos!G:G,"CREDITO")+SUMIFS(df_extratos!I:I,df_extratos!F:F,Conciliacao!BF476,df_extratos!G:G,"CREDITO")+SUMIFS(df_extratos!I:I,df_extratos!F:F,Conciliacao!BG476,df_extratos!G:G,"CREDITO")+SUMIFS(df_extratos!I:I,df_extratos!F:F,Conciliacao!BH476,df_extratos!G:G,"CREDITO")</f>
        <v/>
      </c>
      <c r="I476" s="9">
        <f>H476-SUM(B476:G476)</f>
        <v/>
      </c>
      <c r="J476" s="4">
        <f>SUMIFS(df_blueme_sem_parcelamento!E:E,df_blueme_sem_parcelamento!H:H,Conciliacao!A476)*(-1)</f>
        <v/>
      </c>
      <c r="K476" s="4">
        <f>SUMIFS(df_blueme_com_parcelamento!J:J,df_blueme_com_parcelamento!M:M,Conciliacao!A476)*(-1)</f>
        <v/>
      </c>
      <c r="L476" s="4">
        <f>SUMIFS(df_mutuos!N:N,df_mutuos!B:B,Conciliacao!A476)*(-1)</f>
        <v/>
      </c>
      <c r="M476" s="8">
        <f>SUMIFS(df_bloqueios_judiciais!G:G,df_bloqueios_judiciais!D:D,Conciliacao!A476,df_bloqueios_judiciais!G:G,"&lt;0")</f>
        <v/>
      </c>
      <c r="N476" s="10">
        <f>SUMIFS(df_extratos!I:I,df_extratos!F:F,Conciliacao!BE476,df_extratos!G:G,"DEBITO")+SUMIFS(df_extratos!I:I,df_extratos!F:F,Conciliacao!A476,df_extratos!G:G,"DEBITO")+SUMIFS(df_extratos!I:I,df_extratos!F:F,Conciliacao!BF476,df_extratos!G:G,"DEBITO")+SUMIFS(df_extratos!I:I,df_extratos!F:F,Conciliacao!BG476,df_extratos!G:G,"DEBITO")+SUMIFS(df_extratos!I:I,df_extratos!F:F,Conciliacao!BH476,df_extratos!G:G,"DEBITO")</f>
        <v/>
      </c>
      <c r="O476" s="11">
        <f>N476-SUM(J476:M476)</f>
        <v/>
      </c>
      <c r="P476" s="25">
        <f>SUMIFS(df_ajustes_conciliaco!D:D,df_ajustes_conciliaco!C:C,Conciliacao!A476)</f>
        <v/>
      </c>
      <c r="Q476" s="22">
        <f>O476+I476-P476</f>
        <v/>
      </c>
      <c r="BE476" s="20" t="n">
        <v>46132.5</v>
      </c>
      <c r="BF476" s="20" t="n">
        <v>46132.125</v>
      </c>
      <c r="BG476" s="20" t="n">
        <v>46132.5416666088</v>
      </c>
      <c r="BH476" s="20" t="n">
        <v>46132.625</v>
      </c>
    </row>
    <row r="477">
      <c r="A477" s="5">
        <f>A476+1</f>
        <v/>
      </c>
      <c r="B477" s="3">
        <f>-SUMIFS(df_extrato_zig!G:G,df_extrato_zig!E:E,Conciliacao!A477,df_extrato_zig!D:D,"Saque")-SUMIFS(df_extrato_zig!G:G,df_extrato_zig!E:E,Conciliacao!A477,df_extrato_zig!D:D,"Antecipação")</f>
        <v/>
      </c>
      <c r="C477" s="3">
        <f>SUMIFS(df_extrato_zig!E:E,df_extrato_zig!L:L,Conciliacao!A477,df_extrato_zig!F:F,"DINHEIRO")</f>
        <v/>
      </c>
      <c r="D477" s="3">
        <f>SUMIFS(view_parc_agrup!H:H,view_parc_agrup!G:G,Conciliacao!A477)</f>
        <v/>
      </c>
      <c r="E477" s="3">
        <f>SUMIFS(df_eventos!F:F,df_eventos!H:H,Conciliacao!A477)</f>
        <v/>
      </c>
      <c r="F477" s="3">
        <f>SUMIFS(df_mutuos!M:M,df_mutuos!B:B,Conciliacao!A477)</f>
        <v/>
      </c>
      <c r="G477" s="6">
        <f>SUMIFS(df_bloqueios_judiciais!G:G,df_bloqueios_judiciais!D:D,Conciliacao!A477,df_bloqueios_judiciais!G:G,"&gt;0")</f>
        <v/>
      </c>
      <c r="H477" s="7">
        <f>SUMIFS(df_extratos!I:I,df_extratos!F:F,Conciliacao!BE477,df_extratos!G:G,"CREDITO")+SUMIFS(df_extratos!I:I,df_extratos!F:F,Conciliacao!A477,df_extratos!G:G,"CREDITO")+SUMIFS(df_extratos!I:I,df_extratos!F:F,Conciliacao!BF477,df_extratos!G:G,"CREDITO")+SUMIFS(df_extratos!I:I,df_extratos!F:F,Conciliacao!BG477,df_extratos!G:G,"CREDITO")+SUMIFS(df_extratos!I:I,df_extratos!F:F,Conciliacao!BH477,df_extratos!G:G,"CREDITO")</f>
        <v/>
      </c>
      <c r="I477" s="9">
        <f>H477-SUM(B477:G477)</f>
        <v/>
      </c>
      <c r="J477" s="4">
        <f>SUMIFS(df_blueme_sem_parcelamento!E:E,df_blueme_sem_parcelamento!H:H,Conciliacao!A477)*(-1)</f>
        <v/>
      </c>
      <c r="K477" s="4">
        <f>SUMIFS(df_blueme_com_parcelamento!J:J,df_blueme_com_parcelamento!M:M,Conciliacao!A477)*(-1)</f>
        <v/>
      </c>
      <c r="L477" s="4">
        <f>SUMIFS(df_mutuos!N:N,df_mutuos!B:B,Conciliacao!A477)*(-1)</f>
        <v/>
      </c>
      <c r="M477" s="8">
        <f>SUMIFS(df_bloqueios_judiciais!G:G,df_bloqueios_judiciais!D:D,Conciliacao!A477,df_bloqueios_judiciais!G:G,"&lt;0")</f>
        <v/>
      </c>
      <c r="N477" s="10">
        <f>SUMIFS(df_extratos!I:I,df_extratos!F:F,Conciliacao!BE477,df_extratos!G:G,"DEBITO")+SUMIFS(df_extratos!I:I,df_extratos!F:F,Conciliacao!A477,df_extratos!G:G,"DEBITO")+SUMIFS(df_extratos!I:I,df_extratos!F:F,Conciliacao!BF477,df_extratos!G:G,"DEBITO")+SUMIFS(df_extratos!I:I,df_extratos!F:F,Conciliacao!BG477,df_extratos!G:G,"DEBITO")+SUMIFS(df_extratos!I:I,df_extratos!F:F,Conciliacao!BH477,df_extratos!G:G,"DEBITO")</f>
        <v/>
      </c>
      <c r="O477" s="11">
        <f>N477-SUM(J477:M477)</f>
        <v/>
      </c>
      <c r="P477" s="25">
        <f>SUMIFS(df_ajustes_conciliaco!D:D,df_ajustes_conciliaco!C:C,Conciliacao!A477)</f>
        <v/>
      </c>
      <c r="Q477" s="22">
        <f>O477+I477-P477</f>
        <v/>
      </c>
      <c r="BE477" s="20" t="n">
        <v>46133.5</v>
      </c>
      <c r="BF477" s="20" t="n">
        <v>46133.125</v>
      </c>
      <c r="BG477" s="20" t="n">
        <v>46133.5416666088</v>
      </c>
      <c r="BH477" s="20" t="n">
        <v>46133.625</v>
      </c>
    </row>
    <row r="478">
      <c r="A478" s="5">
        <f>A477+1</f>
        <v/>
      </c>
      <c r="B478" s="3">
        <f>-SUMIFS(df_extrato_zig!G:G,df_extrato_zig!E:E,Conciliacao!A478,df_extrato_zig!D:D,"Saque")-SUMIFS(df_extrato_zig!G:G,df_extrato_zig!E:E,Conciliacao!A478,df_extrato_zig!D:D,"Antecipação")</f>
        <v/>
      </c>
      <c r="C478" s="3">
        <f>SUMIFS(df_extrato_zig!E:E,df_extrato_zig!L:L,Conciliacao!A478,df_extrato_zig!F:F,"DINHEIRO")</f>
        <v/>
      </c>
      <c r="D478" s="3">
        <f>SUMIFS(view_parc_agrup!H:H,view_parc_agrup!G:G,Conciliacao!A478)</f>
        <v/>
      </c>
      <c r="E478" s="3">
        <f>SUMIFS(df_eventos!F:F,df_eventos!H:H,Conciliacao!A478)</f>
        <v/>
      </c>
      <c r="F478" s="3">
        <f>SUMIFS(df_mutuos!M:M,df_mutuos!B:B,Conciliacao!A478)</f>
        <v/>
      </c>
      <c r="G478" s="6">
        <f>SUMIFS(df_bloqueios_judiciais!G:G,df_bloqueios_judiciais!D:D,Conciliacao!A478,df_bloqueios_judiciais!G:G,"&gt;0")</f>
        <v/>
      </c>
      <c r="H478" s="7">
        <f>SUMIFS(df_extratos!I:I,df_extratos!F:F,Conciliacao!BE478,df_extratos!G:G,"CREDITO")+SUMIFS(df_extratos!I:I,df_extratos!F:F,Conciliacao!A478,df_extratos!G:G,"CREDITO")+SUMIFS(df_extratos!I:I,df_extratos!F:F,Conciliacao!BF478,df_extratos!G:G,"CREDITO")+SUMIFS(df_extratos!I:I,df_extratos!F:F,Conciliacao!BG478,df_extratos!G:G,"CREDITO")+SUMIFS(df_extratos!I:I,df_extratos!F:F,Conciliacao!BH478,df_extratos!G:G,"CREDITO")</f>
        <v/>
      </c>
      <c r="I478" s="9">
        <f>H478-SUM(B478:G478)</f>
        <v/>
      </c>
      <c r="J478" s="4">
        <f>SUMIFS(df_blueme_sem_parcelamento!E:E,df_blueme_sem_parcelamento!H:H,Conciliacao!A478)*(-1)</f>
        <v/>
      </c>
      <c r="K478" s="4">
        <f>SUMIFS(df_blueme_com_parcelamento!J:J,df_blueme_com_parcelamento!M:M,Conciliacao!A478)*(-1)</f>
        <v/>
      </c>
      <c r="L478" s="4">
        <f>SUMIFS(df_mutuos!N:N,df_mutuos!B:B,Conciliacao!A478)*(-1)</f>
        <v/>
      </c>
      <c r="M478" s="8">
        <f>SUMIFS(df_bloqueios_judiciais!G:G,df_bloqueios_judiciais!D:D,Conciliacao!A478,df_bloqueios_judiciais!G:G,"&lt;0")</f>
        <v/>
      </c>
      <c r="N478" s="10">
        <f>SUMIFS(df_extratos!I:I,df_extratos!F:F,Conciliacao!BE478,df_extratos!G:G,"DEBITO")+SUMIFS(df_extratos!I:I,df_extratos!F:F,Conciliacao!A478,df_extratos!G:G,"DEBITO")+SUMIFS(df_extratos!I:I,df_extratos!F:F,Conciliacao!BF478,df_extratos!G:G,"DEBITO")+SUMIFS(df_extratos!I:I,df_extratos!F:F,Conciliacao!BG478,df_extratos!G:G,"DEBITO")+SUMIFS(df_extratos!I:I,df_extratos!F:F,Conciliacao!BH478,df_extratos!G:G,"DEBITO")</f>
        <v/>
      </c>
      <c r="O478" s="11">
        <f>N478-SUM(J478:M478)</f>
        <v/>
      </c>
      <c r="P478" s="25">
        <f>SUMIFS(df_ajustes_conciliaco!D:D,df_ajustes_conciliaco!C:C,Conciliacao!A478)</f>
        <v/>
      </c>
      <c r="Q478" s="22">
        <f>O478+I478-P478</f>
        <v/>
      </c>
      <c r="BE478" s="20" t="n">
        <v>46134.5</v>
      </c>
      <c r="BF478" s="20" t="n">
        <v>46134.125</v>
      </c>
      <c r="BG478" s="20" t="n">
        <v>46134.5416666088</v>
      </c>
      <c r="BH478" s="20" t="n">
        <v>46134.625</v>
      </c>
    </row>
    <row r="479">
      <c r="A479" s="5">
        <f>A478+1</f>
        <v/>
      </c>
      <c r="B479" s="3">
        <f>-SUMIFS(df_extrato_zig!G:G,df_extrato_zig!E:E,Conciliacao!A479,df_extrato_zig!D:D,"Saque")-SUMIFS(df_extrato_zig!G:G,df_extrato_zig!E:E,Conciliacao!A479,df_extrato_zig!D:D,"Antecipação")</f>
        <v/>
      </c>
      <c r="C479" s="3">
        <f>SUMIFS(df_extrato_zig!E:E,df_extrato_zig!L:L,Conciliacao!A479,df_extrato_zig!F:F,"DINHEIRO")</f>
        <v/>
      </c>
      <c r="D479" s="3">
        <f>SUMIFS(view_parc_agrup!H:H,view_parc_agrup!G:G,Conciliacao!A479)</f>
        <v/>
      </c>
      <c r="E479" s="3">
        <f>SUMIFS(df_eventos!F:F,df_eventos!H:H,Conciliacao!A479)</f>
        <v/>
      </c>
      <c r="F479" s="3">
        <f>SUMIFS(df_mutuos!M:M,df_mutuos!B:B,Conciliacao!A479)</f>
        <v/>
      </c>
      <c r="G479" s="6">
        <f>SUMIFS(df_bloqueios_judiciais!G:G,df_bloqueios_judiciais!D:D,Conciliacao!A479,df_bloqueios_judiciais!G:G,"&gt;0")</f>
        <v/>
      </c>
      <c r="H479" s="7">
        <f>SUMIFS(df_extratos!I:I,df_extratos!F:F,Conciliacao!BE479,df_extratos!G:G,"CREDITO")+SUMIFS(df_extratos!I:I,df_extratos!F:F,Conciliacao!A479,df_extratos!G:G,"CREDITO")+SUMIFS(df_extratos!I:I,df_extratos!F:F,Conciliacao!BF479,df_extratos!G:G,"CREDITO")+SUMIFS(df_extratos!I:I,df_extratos!F:F,Conciliacao!BG479,df_extratos!G:G,"CREDITO")+SUMIFS(df_extratos!I:I,df_extratos!F:F,Conciliacao!BH479,df_extratos!G:G,"CREDITO")</f>
        <v/>
      </c>
      <c r="I479" s="9">
        <f>H479-SUM(B479:G479)</f>
        <v/>
      </c>
      <c r="J479" s="4">
        <f>SUMIFS(df_blueme_sem_parcelamento!E:E,df_blueme_sem_parcelamento!H:H,Conciliacao!A479)*(-1)</f>
        <v/>
      </c>
      <c r="K479" s="4">
        <f>SUMIFS(df_blueme_com_parcelamento!J:J,df_blueme_com_parcelamento!M:M,Conciliacao!A479)*(-1)</f>
        <v/>
      </c>
      <c r="L479" s="4">
        <f>SUMIFS(df_mutuos!N:N,df_mutuos!B:B,Conciliacao!A479)*(-1)</f>
        <v/>
      </c>
      <c r="M479" s="8">
        <f>SUMIFS(df_bloqueios_judiciais!G:G,df_bloqueios_judiciais!D:D,Conciliacao!A479,df_bloqueios_judiciais!G:G,"&lt;0")</f>
        <v/>
      </c>
      <c r="N479" s="10">
        <f>SUMIFS(df_extratos!I:I,df_extratos!F:F,Conciliacao!BE479,df_extratos!G:G,"DEBITO")+SUMIFS(df_extratos!I:I,df_extratos!F:F,Conciliacao!A479,df_extratos!G:G,"DEBITO")+SUMIFS(df_extratos!I:I,df_extratos!F:F,Conciliacao!BF479,df_extratos!G:G,"DEBITO")+SUMIFS(df_extratos!I:I,df_extratos!F:F,Conciliacao!BG479,df_extratos!G:G,"DEBITO")+SUMIFS(df_extratos!I:I,df_extratos!F:F,Conciliacao!BH479,df_extratos!G:G,"DEBITO")</f>
        <v/>
      </c>
      <c r="O479" s="11">
        <f>N479-SUM(J479:M479)</f>
        <v/>
      </c>
      <c r="P479" s="25">
        <f>SUMIFS(df_ajustes_conciliaco!D:D,df_ajustes_conciliaco!C:C,Conciliacao!A479)</f>
        <v/>
      </c>
      <c r="Q479" s="22">
        <f>O479+I479-P479</f>
        <v/>
      </c>
      <c r="BE479" s="20" t="n">
        <v>46135.5</v>
      </c>
      <c r="BF479" s="20" t="n">
        <v>46135.125</v>
      </c>
      <c r="BG479" s="20" t="n">
        <v>46135.5416666088</v>
      </c>
      <c r="BH479" s="20" t="n">
        <v>46135.625</v>
      </c>
    </row>
    <row r="480">
      <c r="A480" s="5">
        <f>A479+1</f>
        <v/>
      </c>
      <c r="B480" s="3">
        <f>-SUMIFS(df_extrato_zig!G:G,df_extrato_zig!E:E,Conciliacao!A480,df_extrato_zig!D:D,"Saque")-SUMIFS(df_extrato_zig!G:G,df_extrato_zig!E:E,Conciliacao!A480,df_extrato_zig!D:D,"Antecipação")</f>
        <v/>
      </c>
      <c r="C480" s="3">
        <f>SUMIFS(df_extrato_zig!E:E,df_extrato_zig!L:L,Conciliacao!A480,df_extrato_zig!F:F,"DINHEIRO")</f>
        <v/>
      </c>
      <c r="D480" s="3">
        <f>SUMIFS(view_parc_agrup!H:H,view_parc_agrup!G:G,Conciliacao!A480)</f>
        <v/>
      </c>
      <c r="E480" s="3">
        <f>SUMIFS(df_eventos!F:F,df_eventos!H:H,Conciliacao!A480)</f>
        <v/>
      </c>
      <c r="F480" s="3">
        <f>SUMIFS(df_mutuos!M:M,df_mutuos!B:B,Conciliacao!A480)</f>
        <v/>
      </c>
      <c r="G480" s="6">
        <f>SUMIFS(df_bloqueios_judiciais!G:G,df_bloqueios_judiciais!D:D,Conciliacao!A480,df_bloqueios_judiciais!G:G,"&gt;0")</f>
        <v/>
      </c>
      <c r="H480" s="7">
        <f>SUMIFS(df_extratos!I:I,df_extratos!F:F,Conciliacao!BE480,df_extratos!G:G,"CREDITO")+SUMIFS(df_extratos!I:I,df_extratos!F:F,Conciliacao!A480,df_extratos!G:G,"CREDITO")+SUMIFS(df_extratos!I:I,df_extratos!F:F,Conciliacao!BF480,df_extratos!G:G,"CREDITO")+SUMIFS(df_extratos!I:I,df_extratos!F:F,Conciliacao!BG480,df_extratos!G:G,"CREDITO")+SUMIFS(df_extratos!I:I,df_extratos!F:F,Conciliacao!BH480,df_extratos!G:G,"CREDITO")</f>
        <v/>
      </c>
      <c r="I480" s="9">
        <f>H480-SUM(B480:G480)</f>
        <v/>
      </c>
      <c r="J480" s="4">
        <f>SUMIFS(df_blueme_sem_parcelamento!E:E,df_blueme_sem_parcelamento!H:H,Conciliacao!A480)*(-1)</f>
        <v/>
      </c>
      <c r="K480" s="4">
        <f>SUMIFS(df_blueme_com_parcelamento!J:J,df_blueme_com_parcelamento!M:M,Conciliacao!A480)*(-1)</f>
        <v/>
      </c>
      <c r="L480" s="4">
        <f>SUMIFS(df_mutuos!N:N,df_mutuos!B:B,Conciliacao!A480)*(-1)</f>
        <v/>
      </c>
      <c r="M480" s="8">
        <f>SUMIFS(df_bloqueios_judiciais!G:G,df_bloqueios_judiciais!D:D,Conciliacao!A480,df_bloqueios_judiciais!G:G,"&lt;0")</f>
        <v/>
      </c>
      <c r="N480" s="10">
        <f>SUMIFS(df_extratos!I:I,df_extratos!F:F,Conciliacao!BE480,df_extratos!G:G,"DEBITO")+SUMIFS(df_extratos!I:I,df_extratos!F:F,Conciliacao!A480,df_extratos!G:G,"DEBITO")+SUMIFS(df_extratos!I:I,df_extratos!F:F,Conciliacao!BF480,df_extratos!G:G,"DEBITO")+SUMIFS(df_extratos!I:I,df_extratos!F:F,Conciliacao!BG480,df_extratos!G:G,"DEBITO")+SUMIFS(df_extratos!I:I,df_extratos!F:F,Conciliacao!BH480,df_extratos!G:G,"DEBITO")</f>
        <v/>
      </c>
      <c r="O480" s="11">
        <f>N480-SUM(J480:M480)</f>
        <v/>
      </c>
      <c r="P480" s="25">
        <f>SUMIFS(df_ajustes_conciliaco!D:D,df_ajustes_conciliaco!C:C,Conciliacao!A480)</f>
        <v/>
      </c>
      <c r="Q480" s="22">
        <f>O480+I480-P480</f>
        <v/>
      </c>
      <c r="BE480" s="20" t="n">
        <v>46136.5</v>
      </c>
      <c r="BF480" s="20" t="n">
        <v>46136.125</v>
      </c>
      <c r="BG480" s="20" t="n">
        <v>46136.5416666088</v>
      </c>
      <c r="BH480" s="20" t="n">
        <v>46136.625</v>
      </c>
    </row>
    <row r="481">
      <c r="A481" s="5">
        <f>A480+1</f>
        <v/>
      </c>
      <c r="B481" s="3">
        <f>-SUMIFS(df_extrato_zig!G:G,df_extrato_zig!E:E,Conciliacao!A481,df_extrato_zig!D:D,"Saque")-SUMIFS(df_extrato_zig!G:G,df_extrato_zig!E:E,Conciliacao!A481,df_extrato_zig!D:D,"Antecipação")</f>
        <v/>
      </c>
      <c r="C481" s="3">
        <f>SUMIFS(df_extrato_zig!E:E,df_extrato_zig!L:L,Conciliacao!A481,df_extrato_zig!F:F,"DINHEIRO")</f>
        <v/>
      </c>
      <c r="D481" s="3">
        <f>SUMIFS(view_parc_agrup!H:H,view_parc_agrup!G:G,Conciliacao!A481)</f>
        <v/>
      </c>
      <c r="E481" s="3">
        <f>SUMIFS(df_eventos!F:F,df_eventos!H:H,Conciliacao!A481)</f>
        <v/>
      </c>
      <c r="F481" s="3">
        <f>SUMIFS(df_mutuos!M:M,df_mutuos!B:B,Conciliacao!A481)</f>
        <v/>
      </c>
      <c r="G481" s="6">
        <f>SUMIFS(df_bloqueios_judiciais!G:G,df_bloqueios_judiciais!D:D,Conciliacao!A481,df_bloqueios_judiciais!G:G,"&gt;0")</f>
        <v/>
      </c>
      <c r="H481" s="7">
        <f>SUMIFS(df_extratos!I:I,df_extratos!F:F,Conciliacao!BE481,df_extratos!G:G,"CREDITO")+SUMIFS(df_extratos!I:I,df_extratos!F:F,Conciliacao!A481,df_extratos!G:G,"CREDITO")+SUMIFS(df_extratos!I:I,df_extratos!F:F,Conciliacao!BF481,df_extratos!G:G,"CREDITO")+SUMIFS(df_extratos!I:I,df_extratos!F:F,Conciliacao!BG481,df_extratos!G:G,"CREDITO")+SUMIFS(df_extratos!I:I,df_extratos!F:F,Conciliacao!BH481,df_extratos!G:G,"CREDITO")</f>
        <v/>
      </c>
      <c r="I481" s="9">
        <f>H481-SUM(B481:G481)</f>
        <v/>
      </c>
      <c r="J481" s="4">
        <f>SUMIFS(df_blueme_sem_parcelamento!E:E,df_blueme_sem_parcelamento!H:H,Conciliacao!A481)*(-1)</f>
        <v/>
      </c>
      <c r="K481" s="4">
        <f>SUMIFS(df_blueme_com_parcelamento!J:J,df_blueme_com_parcelamento!M:M,Conciliacao!A481)*(-1)</f>
        <v/>
      </c>
      <c r="L481" s="4">
        <f>SUMIFS(df_mutuos!N:N,df_mutuos!B:B,Conciliacao!A481)*(-1)</f>
        <v/>
      </c>
      <c r="M481" s="8">
        <f>SUMIFS(df_bloqueios_judiciais!G:G,df_bloqueios_judiciais!D:D,Conciliacao!A481,df_bloqueios_judiciais!G:G,"&lt;0")</f>
        <v/>
      </c>
      <c r="N481" s="10">
        <f>SUMIFS(df_extratos!I:I,df_extratos!F:F,Conciliacao!BE481,df_extratos!G:G,"DEBITO")+SUMIFS(df_extratos!I:I,df_extratos!F:F,Conciliacao!A481,df_extratos!G:G,"DEBITO")+SUMIFS(df_extratos!I:I,df_extratos!F:F,Conciliacao!BF481,df_extratos!G:G,"DEBITO")+SUMIFS(df_extratos!I:I,df_extratos!F:F,Conciliacao!BG481,df_extratos!G:G,"DEBITO")+SUMIFS(df_extratos!I:I,df_extratos!F:F,Conciliacao!BH481,df_extratos!G:G,"DEBITO")</f>
        <v/>
      </c>
      <c r="O481" s="11">
        <f>N481-SUM(J481:M481)</f>
        <v/>
      </c>
      <c r="P481" s="25">
        <f>SUMIFS(df_ajustes_conciliaco!D:D,df_ajustes_conciliaco!C:C,Conciliacao!A481)</f>
        <v/>
      </c>
      <c r="Q481" s="22">
        <f>O481+I481-P481</f>
        <v/>
      </c>
      <c r="BE481" s="20" t="n">
        <v>46137.5</v>
      </c>
      <c r="BF481" s="20" t="n">
        <v>46137.125</v>
      </c>
      <c r="BG481" s="20" t="n">
        <v>46137.5416666088</v>
      </c>
      <c r="BH481" s="20" t="n">
        <v>46137.625</v>
      </c>
    </row>
    <row r="482">
      <c r="A482" s="5">
        <f>A481+1</f>
        <v/>
      </c>
      <c r="B482" s="3">
        <f>-SUMIFS(df_extrato_zig!G:G,df_extrato_zig!E:E,Conciliacao!A482,df_extrato_zig!D:D,"Saque")-SUMIFS(df_extrato_zig!G:G,df_extrato_zig!E:E,Conciliacao!A482,df_extrato_zig!D:D,"Antecipação")</f>
        <v/>
      </c>
      <c r="C482" s="3">
        <f>SUMIFS(df_extrato_zig!E:E,df_extrato_zig!L:L,Conciliacao!A482,df_extrato_zig!F:F,"DINHEIRO")</f>
        <v/>
      </c>
      <c r="D482" s="3">
        <f>SUMIFS(view_parc_agrup!H:H,view_parc_agrup!G:G,Conciliacao!A482)</f>
        <v/>
      </c>
      <c r="E482" s="3">
        <f>SUMIFS(df_eventos!F:F,df_eventos!H:H,Conciliacao!A482)</f>
        <v/>
      </c>
      <c r="F482" s="3">
        <f>SUMIFS(df_mutuos!M:M,df_mutuos!B:B,Conciliacao!A482)</f>
        <v/>
      </c>
      <c r="G482" s="6">
        <f>SUMIFS(df_bloqueios_judiciais!G:G,df_bloqueios_judiciais!D:D,Conciliacao!A482,df_bloqueios_judiciais!G:G,"&gt;0")</f>
        <v/>
      </c>
      <c r="H482" s="7">
        <f>SUMIFS(df_extratos!I:I,df_extratos!F:F,Conciliacao!BE482,df_extratos!G:G,"CREDITO")+SUMIFS(df_extratos!I:I,df_extratos!F:F,Conciliacao!A482,df_extratos!G:G,"CREDITO")+SUMIFS(df_extratos!I:I,df_extratos!F:F,Conciliacao!BF482,df_extratos!G:G,"CREDITO")+SUMIFS(df_extratos!I:I,df_extratos!F:F,Conciliacao!BG482,df_extratos!G:G,"CREDITO")+SUMIFS(df_extratos!I:I,df_extratos!F:F,Conciliacao!BH482,df_extratos!G:G,"CREDITO")</f>
        <v/>
      </c>
      <c r="I482" s="9">
        <f>H482-SUM(B482:G482)</f>
        <v/>
      </c>
      <c r="J482" s="4">
        <f>SUMIFS(df_blueme_sem_parcelamento!E:E,df_blueme_sem_parcelamento!H:H,Conciliacao!A482)*(-1)</f>
        <v/>
      </c>
      <c r="K482" s="4">
        <f>SUMIFS(df_blueme_com_parcelamento!J:J,df_blueme_com_parcelamento!M:M,Conciliacao!A482)*(-1)</f>
        <v/>
      </c>
      <c r="L482" s="4">
        <f>SUMIFS(df_mutuos!N:N,df_mutuos!B:B,Conciliacao!A482)*(-1)</f>
        <v/>
      </c>
      <c r="M482" s="8">
        <f>SUMIFS(df_bloqueios_judiciais!G:G,df_bloqueios_judiciais!D:D,Conciliacao!A482,df_bloqueios_judiciais!G:G,"&lt;0")</f>
        <v/>
      </c>
      <c r="N482" s="10">
        <f>SUMIFS(df_extratos!I:I,df_extratos!F:F,Conciliacao!BE482,df_extratos!G:G,"DEBITO")+SUMIFS(df_extratos!I:I,df_extratos!F:F,Conciliacao!A482,df_extratos!G:G,"DEBITO")+SUMIFS(df_extratos!I:I,df_extratos!F:F,Conciliacao!BF482,df_extratos!G:G,"DEBITO")+SUMIFS(df_extratos!I:I,df_extratos!F:F,Conciliacao!BG482,df_extratos!G:G,"DEBITO")+SUMIFS(df_extratos!I:I,df_extratos!F:F,Conciliacao!BH482,df_extratos!G:G,"DEBITO")</f>
        <v/>
      </c>
      <c r="O482" s="11">
        <f>N482-SUM(J482:M482)</f>
        <v/>
      </c>
      <c r="P482" s="25">
        <f>SUMIFS(df_ajustes_conciliaco!D:D,df_ajustes_conciliaco!C:C,Conciliacao!A482)</f>
        <v/>
      </c>
      <c r="Q482" s="22">
        <f>O482+I482-P482</f>
        <v/>
      </c>
      <c r="BE482" s="20" t="n">
        <v>46138.5</v>
      </c>
      <c r="BF482" s="20" t="n">
        <v>46138.125</v>
      </c>
      <c r="BG482" s="20" t="n">
        <v>46138.5416666088</v>
      </c>
      <c r="BH482" s="20" t="n">
        <v>46138.625</v>
      </c>
    </row>
    <row r="483">
      <c r="A483" s="5">
        <f>A482+1</f>
        <v/>
      </c>
      <c r="B483" s="3">
        <f>-SUMIFS(df_extrato_zig!G:G,df_extrato_zig!E:E,Conciliacao!A483,df_extrato_zig!D:D,"Saque")-SUMIFS(df_extrato_zig!G:G,df_extrato_zig!E:E,Conciliacao!A483,df_extrato_zig!D:D,"Antecipação")</f>
        <v/>
      </c>
      <c r="C483" s="3">
        <f>SUMIFS(df_extrato_zig!E:E,df_extrato_zig!L:L,Conciliacao!A483,df_extrato_zig!F:F,"DINHEIRO")</f>
        <v/>
      </c>
      <c r="D483" s="3">
        <f>SUMIFS(view_parc_agrup!H:H,view_parc_agrup!G:G,Conciliacao!A483)</f>
        <v/>
      </c>
      <c r="E483" s="3">
        <f>SUMIFS(df_eventos!F:F,df_eventos!H:H,Conciliacao!A483)</f>
        <v/>
      </c>
      <c r="F483" s="3">
        <f>SUMIFS(df_mutuos!M:M,df_mutuos!B:B,Conciliacao!A483)</f>
        <v/>
      </c>
      <c r="G483" s="6">
        <f>SUMIFS(df_bloqueios_judiciais!G:G,df_bloqueios_judiciais!D:D,Conciliacao!A483,df_bloqueios_judiciais!G:G,"&gt;0")</f>
        <v/>
      </c>
      <c r="H483" s="7">
        <f>SUMIFS(df_extratos!I:I,df_extratos!F:F,Conciliacao!BE483,df_extratos!G:G,"CREDITO")+SUMIFS(df_extratos!I:I,df_extratos!F:F,Conciliacao!A483,df_extratos!G:G,"CREDITO")+SUMIFS(df_extratos!I:I,df_extratos!F:F,Conciliacao!BF483,df_extratos!G:G,"CREDITO")+SUMIFS(df_extratos!I:I,df_extratos!F:F,Conciliacao!BG483,df_extratos!G:G,"CREDITO")+SUMIFS(df_extratos!I:I,df_extratos!F:F,Conciliacao!BH483,df_extratos!G:G,"CREDITO")</f>
        <v/>
      </c>
      <c r="I483" s="9">
        <f>H483-SUM(B483:G483)</f>
        <v/>
      </c>
      <c r="J483" s="4">
        <f>SUMIFS(df_blueme_sem_parcelamento!E:E,df_blueme_sem_parcelamento!H:H,Conciliacao!A483)*(-1)</f>
        <v/>
      </c>
      <c r="K483" s="4">
        <f>SUMIFS(df_blueme_com_parcelamento!J:J,df_blueme_com_parcelamento!M:M,Conciliacao!A483)*(-1)</f>
        <v/>
      </c>
      <c r="L483" s="4">
        <f>SUMIFS(df_mutuos!N:N,df_mutuos!B:B,Conciliacao!A483)*(-1)</f>
        <v/>
      </c>
      <c r="M483" s="8">
        <f>SUMIFS(df_bloqueios_judiciais!G:G,df_bloqueios_judiciais!D:D,Conciliacao!A483,df_bloqueios_judiciais!G:G,"&lt;0")</f>
        <v/>
      </c>
      <c r="N483" s="10">
        <f>SUMIFS(df_extratos!I:I,df_extratos!F:F,Conciliacao!BE483,df_extratos!G:G,"DEBITO")+SUMIFS(df_extratos!I:I,df_extratos!F:F,Conciliacao!A483,df_extratos!G:G,"DEBITO")+SUMIFS(df_extratos!I:I,df_extratos!F:F,Conciliacao!BF483,df_extratos!G:G,"DEBITO")+SUMIFS(df_extratos!I:I,df_extratos!F:F,Conciliacao!BG483,df_extratos!G:G,"DEBITO")+SUMIFS(df_extratos!I:I,df_extratos!F:F,Conciliacao!BH483,df_extratos!G:G,"DEBITO")</f>
        <v/>
      </c>
      <c r="O483" s="11">
        <f>N483-SUM(J483:M483)</f>
        <v/>
      </c>
      <c r="P483" s="25">
        <f>SUMIFS(df_ajustes_conciliaco!D:D,df_ajustes_conciliaco!C:C,Conciliacao!A483)</f>
        <v/>
      </c>
      <c r="Q483" s="22">
        <f>O483+I483-P483</f>
        <v/>
      </c>
      <c r="BE483" s="20" t="n">
        <v>46139.5</v>
      </c>
      <c r="BF483" s="20" t="n">
        <v>46139.125</v>
      </c>
      <c r="BG483" s="20" t="n">
        <v>46139.5416666088</v>
      </c>
      <c r="BH483" s="20" t="n">
        <v>46139.625</v>
      </c>
    </row>
    <row r="484">
      <c r="A484" s="5">
        <f>A483+1</f>
        <v/>
      </c>
      <c r="B484" s="3">
        <f>-SUMIFS(df_extrato_zig!G:G,df_extrato_zig!E:E,Conciliacao!A484,df_extrato_zig!D:D,"Saque")-SUMIFS(df_extrato_zig!G:G,df_extrato_zig!E:E,Conciliacao!A484,df_extrato_zig!D:D,"Antecipação")</f>
        <v/>
      </c>
      <c r="C484" s="3">
        <f>SUMIFS(df_extrato_zig!E:E,df_extrato_zig!L:L,Conciliacao!A484,df_extrato_zig!F:F,"DINHEIRO")</f>
        <v/>
      </c>
      <c r="D484" s="3">
        <f>SUMIFS(view_parc_agrup!H:H,view_parc_agrup!G:G,Conciliacao!A484)</f>
        <v/>
      </c>
      <c r="E484" s="3">
        <f>SUMIFS(df_eventos!F:F,df_eventos!H:H,Conciliacao!A484)</f>
        <v/>
      </c>
      <c r="F484" s="3">
        <f>SUMIFS(df_mutuos!M:M,df_mutuos!B:B,Conciliacao!A484)</f>
        <v/>
      </c>
      <c r="G484" s="6">
        <f>SUMIFS(df_bloqueios_judiciais!G:G,df_bloqueios_judiciais!D:D,Conciliacao!A484,df_bloqueios_judiciais!G:G,"&gt;0")</f>
        <v/>
      </c>
      <c r="H484" s="7">
        <f>SUMIFS(df_extratos!I:I,df_extratos!F:F,Conciliacao!BE484,df_extratos!G:G,"CREDITO")+SUMIFS(df_extratos!I:I,df_extratos!F:F,Conciliacao!A484,df_extratos!G:G,"CREDITO")+SUMIFS(df_extratos!I:I,df_extratos!F:F,Conciliacao!BF484,df_extratos!G:G,"CREDITO")+SUMIFS(df_extratos!I:I,df_extratos!F:F,Conciliacao!BG484,df_extratos!G:G,"CREDITO")+SUMIFS(df_extratos!I:I,df_extratos!F:F,Conciliacao!BH484,df_extratos!G:G,"CREDITO")</f>
        <v/>
      </c>
      <c r="I484" s="9">
        <f>H484-SUM(B484:G484)</f>
        <v/>
      </c>
      <c r="J484" s="4">
        <f>SUMIFS(df_blueme_sem_parcelamento!E:E,df_blueme_sem_parcelamento!H:H,Conciliacao!A484)*(-1)</f>
        <v/>
      </c>
      <c r="K484" s="4">
        <f>SUMIFS(df_blueme_com_parcelamento!J:J,df_blueme_com_parcelamento!M:M,Conciliacao!A484)*(-1)</f>
        <v/>
      </c>
      <c r="L484" s="4">
        <f>SUMIFS(df_mutuos!N:N,df_mutuos!B:B,Conciliacao!A484)*(-1)</f>
        <v/>
      </c>
      <c r="M484" s="8">
        <f>SUMIFS(df_bloqueios_judiciais!G:G,df_bloqueios_judiciais!D:D,Conciliacao!A484,df_bloqueios_judiciais!G:G,"&lt;0")</f>
        <v/>
      </c>
      <c r="N484" s="10">
        <f>SUMIFS(df_extratos!I:I,df_extratos!F:F,Conciliacao!BE484,df_extratos!G:G,"DEBITO")+SUMIFS(df_extratos!I:I,df_extratos!F:F,Conciliacao!A484,df_extratos!G:G,"DEBITO")+SUMIFS(df_extratos!I:I,df_extratos!F:F,Conciliacao!BF484,df_extratos!G:G,"DEBITO")+SUMIFS(df_extratos!I:I,df_extratos!F:F,Conciliacao!BG484,df_extratos!G:G,"DEBITO")+SUMIFS(df_extratos!I:I,df_extratos!F:F,Conciliacao!BH484,df_extratos!G:G,"DEBITO")</f>
        <v/>
      </c>
      <c r="O484" s="11">
        <f>N484-SUM(J484:M484)</f>
        <v/>
      </c>
      <c r="P484" s="25">
        <f>SUMIFS(df_ajustes_conciliaco!D:D,df_ajustes_conciliaco!C:C,Conciliacao!A484)</f>
        <v/>
      </c>
      <c r="Q484" s="22">
        <f>O484+I484-P484</f>
        <v/>
      </c>
      <c r="BE484" s="20" t="n">
        <v>46140.5</v>
      </c>
      <c r="BF484" s="20" t="n">
        <v>46140.125</v>
      </c>
      <c r="BG484" s="20" t="n">
        <v>46140.5416666088</v>
      </c>
      <c r="BH484" s="20" t="n">
        <v>46140.625</v>
      </c>
    </row>
    <row r="485">
      <c r="A485" s="5">
        <f>A484+1</f>
        <v/>
      </c>
      <c r="B485" s="3">
        <f>-SUMIFS(df_extrato_zig!G:G,df_extrato_zig!E:E,Conciliacao!A485,df_extrato_zig!D:D,"Saque")-SUMIFS(df_extrato_zig!G:G,df_extrato_zig!E:E,Conciliacao!A485,df_extrato_zig!D:D,"Antecipação")</f>
        <v/>
      </c>
      <c r="C485" s="3">
        <f>SUMIFS(df_extrato_zig!E:E,df_extrato_zig!L:L,Conciliacao!A485,df_extrato_zig!F:F,"DINHEIRO")</f>
        <v/>
      </c>
      <c r="D485" s="3">
        <f>SUMIFS(view_parc_agrup!H:H,view_parc_agrup!G:G,Conciliacao!A485)</f>
        <v/>
      </c>
      <c r="E485" s="3">
        <f>SUMIFS(df_eventos!F:F,df_eventos!H:H,Conciliacao!A485)</f>
        <v/>
      </c>
      <c r="F485" s="3">
        <f>SUMIFS(df_mutuos!M:M,df_mutuos!B:B,Conciliacao!A485)</f>
        <v/>
      </c>
      <c r="G485" s="6">
        <f>SUMIFS(df_bloqueios_judiciais!G:G,df_bloqueios_judiciais!D:D,Conciliacao!A485,df_bloqueios_judiciais!G:G,"&gt;0")</f>
        <v/>
      </c>
      <c r="H485" s="7">
        <f>SUMIFS(df_extratos!I:I,df_extratos!F:F,Conciliacao!BE485,df_extratos!G:G,"CREDITO")+SUMIFS(df_extratos!I:I,df_extratos!F:F,Conciliacao!A485,df_extratos!G:G,"CREDITO")+SUMIFS(df_extratos!I:I,df_extratos!F:F,Conciliacao!BF485,df_extratos!G:G,"CREDITO")+SUMIFS(df_extratos!I:I,df_extratos!F:F,Conciliacao!BG485,df_extratos!G:G,"CREDITO")+SUMIFS(df_extratos!I:I,df_extratos!F:F,Conciliacao!BH485,df_extratos!G:G,"CREDITO")</f>
        <v/>
      </c>
      <c r="I485" s="9">
        <f>H485-SUM(B485:G485)</f>
        <v/>
      </c>
      <c r="J485" s="4">
        <f>SUMIFS(df_blueme_sem_parcelamento!E:E,df_blueme_sem_parcelamento!H:H,Conciliacao!A485)*(-1)</f>
        <v/>
      </c>
      <c r="K485" s="4">
        <f>SUMIFS(df_blueme_com_parcelamento!J:J,df_blueme_com_parcelamento!M:M,Conciliacao!A485)*(-1)</f>
        <v/>
      </c>
      <c r="L485" s="4">
        <f>SUMIFS(df_mutuos!N:N,df_mutuos!B:B,Conciliacao!A485)*(-1)</f>
        <v/>
      </c>
      <c r="M485" s="8">
        <f>SUMIFS(df_bloqueios_judiciais!G:G,df_bloqueios_judiciais!D:D,Conciliacao!A485,df_bloqueios_judiciais!G:G,"&lt;0")</f>
        <v/>
      </c>
      <c r="N485" s="10">
        <f>SUMIFS(df_extratos!I:I,df_extratos!F:F,Conciliacao!BE485,df_extratos!G:G,"DEBITO")+SUMIFS(df_extratos!I:I,df_extratos!F:F,Conciliacao!A485,df_extratos!G:G,"DEBITO")+SUMIFS(df_extratos!I:I,df_extratos!F:F,Conciliacao!BF485,df_extratos!G:G,"DEBITO")+SUMIFS(df_extratos!I:I,df_extratos!F:F,Conciliacao!BG485,df_extratos!G:G,"DEBITO")+SUMIFS(df_extratos!I:I,df_extratos!F:F,Conciliacao!BH485,df_extratos!G:G,"DEBITO")</f>
        <v/>
      </c>
      <c r="O485" s="11">
        <f>N485-SUM(J485:M485)</f>
        <v/>
      </c>
      <c r="P485" s="25">
        <f>SUMIFS(df_ajustes_conciliaco!D:D,df_ajustes_conciliaco!C:C,Conciliacao!A485)</f>
        <v/>
      </c>
      <c r="Q485" s="22">
        <f>O485+I485-P485</f>
        <v/>
      </c>
      <c r="BE485" s="20" t="n">
        <v>46141.5</v>
      </c>
      <c r="BF485" s="20" t="n">
        <v>46141.125</v>
      </c>
      <c r="BG485" s="20" t="n">
        <v>46141.5416666088</v>
      </c>
      <c r="BH485" s="20" t="n">
        <v>46141.625</v>
      </c>
    </row>
    <row r="486">
      <c r="A486" s="5">
        <f>A485+1</f>
        <v/>
      </c>
      <c r="B486" s="3">
        <f>-SUMIFS(df_extrato_zig!G:G,df_extrato_zig!E:E,Conciliacao!A486,df_extrato_zig!D:D,"Saque")-SUMIFS(df_extrato_zig!G:G,df_extrato_zig!E:E,Conciliacao!A486,df_extrato_zig!D:D,"Antecipação")</f>
        <v/>
      </c>
      <c r="C486" s="3">
        <f>SUMIFS(df_extrato_zig!E:E,df_extrato_zig!L:L,Conciliacao!A486,df_extrato_zig!F:F,"DINHEIRO")</f>
        <v/>
      </c>
      <c r="D486" s="3">
        <f>SUMIFS(view_parc_agrup!H:H,view_parc_agrup!G:G,Conciliacao!A486)</f>
        <v/>
      </c>
      <c r="E486" s="3">
        <f>SUMIFS(df_eventos!F:F,df_eventos!H:H,Conciliacao!A486)</f>
        <v/>
      </c>
      <c r="F486" s="3">
        <f>SUMIFS(df_mutuos!M:M,df_mutuos!B:B,Conciliacao!A486)</f>
        <v/>
      </c>
      <c r="G486" s="6">
        <f>SUMIFS(df_bloqueios_judiciais!G:G,df_bloqueios_judiciais!D:D,Conciliacao!A486,df_bloqueios_judiciais!G:G,"&gt;0")</f>
        <v/>
      </c>
      <c r="H486" s="7">
        <f>SUMIFS(df_extratos!I:I,df_extratos!F:F,Conciliacao!BE486,df_extratos!G:G,"CREDITO")+SUMIFS(df_extratos!I:I,df_extratos!F:F,Conciliacao!A486,df_extratos!G:G,"CREDITO")+SUMIFS(df_extratos!I:I,df_extratos!F:F,Conciliacao!BF486,df_extratos!G:G,"CREDITO")+SUMIFS(df_extratos!I:I,df_extratos!F:F,Conciliacao!BG486,df_extratos!G:G,"CREDITO")+SUMIFS(df_extratos!I:I,df_extratos!F:F,Conciliacao!BH486,df_extratos!G:G,"CREDITO")</f>
        <v/>
      </c>
      <c r="I486" s="9">
        <f>H486-SUM(B486:G486)</f>
        <v/>
      </c>
      <c r="J486" s="4">
        <f>SUMIFS(df_blueme_sem_parcelamento!E:E,df_blueme_sem_parcelamento!H:H,Conciliacao!A486)*(-1)</f>
        <v/>
      </c>
      <c r="K486" s="4">
        <f>SUMIFS(df_blueme_com_parcelamento!J:J,df_blueme_com_parcelamento!M:M,Conciliacao!A486)*(-1)</f>
        <v/>
      </c>
      <c r="L486" s="4">
        <f>SUMIFS(df_mutuos!N:N,df_mutuos!B:B,Conciliacao!A486)*(-1)</f>
        <v/>
      </c>
      <c r="M486" s="8">
        <f>SUMIFS(df_bloqueios_judiciais!G:G,df_bloqueios_judiciais!D:D,Conciliacao!A486,df_bloqueios_judiciais!G:G,"&lt;0")</f>
        <v/>
      </c>
      <c r="N486" s="10">
        <f>SUMIFS(df_extratos!I:I,df_extratos!F:F,Conciliacao!BE486,df_extratos!G:G,"DEBITO")+SUMIFS(df_extratos!I:I,df_extratos!F:F,Conciliacao!A486,df_extratos!G:G,"DEBITO")+SUMIFS(df_extratos!I:I,df_extratos!F:F,Conciliacao!BF486,df_extratos!G:G,"DEBITO")+SUMIFS(df_extratos!I:I,df_extratos!F:F,Conciliacao!BG486,df_extratos!G:G,"DEBITO")+SUMIFS(df_extratos!I:I,df_extratos!F:F,Conciliacao!BH486,df_extratos!G:G,"DEBITO")</f>
        <v/>
      </c>
      <c r="O486" s="11">
        <f>N486-SUM(J486:M486)</f>
        <v/>
      </c>
      <c r="P486" s="25">
        <f>SUMIFS(df_ajustes_conciliaco!D:D,df_ajustes_conciliaco!C:C,Conciliacao!A486)</f>
        <v/>
      </c>
      <c r="Q486" s="22">
        <f>O486+I486-P486</f>
        <v/>
      </c>
      <c r="BE486" s="20" t="n">
        <v>46142.5</v>
      </c>
      <c r="BF486" s="20" t="n">
        <v>46142.125</v>
      </c>
      <c r="BG486" s="20" t="n">
        <v>46142.5416666088</v>
      </c>
      <c r="BH486" s="20" t="n">
        <v>46142.625</v>
      </c>
    </row>
    <row r="487">
      <c r="A487" s="5">
        <f>A486+1</f>
        <v/>
      </c>
      <c r="B487" s="3">
        <f>-SUMIFS(df_extrato_zig!G:G,df_extrato_zig!E:E,Conciliacao!A487,df_extrato_zig!D:D,"Saque")-SUMIFS(df_extrato_zig!G:G,df_extrato_zig!E:E,Conciliacao!A487,df_extrato_zig!D:D,"Antecipação")</f>
        <v/>
      </c>
      <c r="C487" s="3">
        <f>SUMIFS(df_extrato_zig!E:E,df_extrato_zig!L:L,Conciliacao!A487,df_extrato_zig!F:F,"DINHEIRO")</f>
        <v/>
      </c>
      <c r="D487" s="3">
        <f>SUMIFS(view_parc_agrup!H:H,view_parc_agrup!G:G,Conciliacao!A487)</f>
        <v/>
      </c>
      <c r="E487" s="3">
        <f>SUMIFS(df_eventos!F:F,df_eventos!H:H,Conciliacao!A487)</f>
        <v/>
      </c>
      <c r="F487" s="3">
        <f>SUMIFS(df_mutuos!M:M,df_mutuos!B:B,Conciliacao!A487)</f>
        <v/>
      </c>
      <c r="G487" s="6">
        <f>SUMIFS(df_bloqueios_judiciais!G:G,df_bloqueios_judiciais!D:D,Conciliacao!A487,df_bloqueios_judiciais!G:G,"&gt;0")</f>
        <v/>
      </c>
      <c r="H487" s="7">
        <f>SUMIFS(df_extratos!I:I,df_extratos!F:F,Conciliacao!BE487,df_extratos!G:G,"CREDITO")+SUMIFS(df_extratos!I:I,df_extratos!F:F,Conciliacao!A487,df_extratos!G:G,"CREDITO")+SUMIFS(df_extratos!I:I,df_extratos!F:F,Conciliacao!BF487,df_extratos!G:G,"CREDITO")+SUMIFS(df_extratos!I:I,df_extratos!F:F,Conciliacao!BG487,df_extratos!G:G,"CREDITO")+SUMIFS(df_extratos!I:I,df_extratos!F:F,Conciliacao!BH487,df_extratos!G:G,"CREDITO")</f>
        <v/>
      </c>
      <c r="I487" s="9">
        <f>H487-SUM(B487:G487)</f>
        <v/>
      </c>
      <c r="J487" s="4">
        <f>SUMIFS(df_blueme_sem_parcelamento!E:E,df_blueme_sem_parcelamento!H:H,Conciliacao!A487)*(-1)</f>
        <v/>
      </c>
      <c r="K487" s="4">
        <f>SUMIFS(df_blueme_com_parcelamento!J:J,df_blueme_com_parcelamento!M:M,Conciliacao!A487)*(-1)</f>
        <v/>
      </c>
      <c r="L487" s="4">
        <f>SUMIFS(df_mutuos!N:N,df_mutuos!B:B,Conciliacao!A487)*(-1)</f>
        <v/>
      </c>
      <c r="M487" s="8">
        <f>SUMIFS(df_bloqueios_judiciais!G:G,df_bloqueios_judiciais!D:D,Conciliacao!A487,df_bloqueios_judiciais!G:G,"&lt;0")</f>
        <v/>
      </c>
      <c r="N487" s="10">
        <f>SUMIFS(df_extratos!I:I,df_extratos!F:F,Conciliacao!BE487,df_extratos!G:G,"DEBITO")+SUMIFS(df_extratos!I:I,df_extratos!F:F,Conciliacao!A487,df_extratos!G:G,"DEBITO")+SUMIFS(df_extratos!I:I,df_extratos!F:F,Conciliacao!BF487,df_extratos!G:G,"DEBITO")+SUMIFS(df_extratos!I:I,df_extratos!F:F,Conciliacao!BG487,df_extratos!G:G,"DEBITO")+SUMIFS(df_extratos!I:I,df_extratos!F:F,Conciliacao!BH487,df_extratos!G:G,"DEBITO")</f>
        <v/>
      </c>
      <c r="O487" s="11">
        <f>N487-SUM(J487:M487)</f>
        <v/>
      </c>
      <c r="P487" s="25">
        <f>SUMIFS(df_ajustes_conciliaco!D:D,df_ajustes_conciliaco!C:C,Conciliacao!A487)</f>
        <v/>
      </c>
      <c r="Q487" s="22">
        <f>O487+I487-P487</f>
        <v/>
      </c>
      <c r="BE487" s="20" t="n">
        <v>46143.5</v>
      </c>
      <c r="BF487" s="20" t="n">
        <v>46143.125</v>
      </c>
      <c r="BG487" s="20" t="n">
        <v>46143.5416666088</v>
      </c>
      <c r="BH487" s="20" t="n">
        <v>46143.625</v>
      </c>
    </row>
    <row r="488">
      <c r="A488" s="5">
        <f>A487+1</f>
        <v/>
      </c>
      <c r="B488" s="3">
        <f>-SUMIFS(df_extrato_zig!G:G,df_extrato_zig!E:E,Conciliacao!A488,df_extrato_zig!D:D,"Saque")-SUMIFS(df_extrato_zig!G:G,df_extrato_zig!E:E,Conciliacao!A488,df_extrato_zig!D:D,"Antecipação")</f>
        <v/>
      </c>
      <c r="C488" s="3">
        <f>SUMIFS(df_extrato_zig!E:E,df_extrato_zig!L:L,Conciliacao!A488,df_extrato_zig!F:F,"DINHEIRO")</f>
        <v/>
      </c>
      <c r="D488" s="3">
        <f>SUMIFS(view_parc_agrup!H:H,view_parc_agrup!G:G,Conciliacao!A488)</f>
        <v/>
      </c>
      <c r="E488" s="3">
        <f>SUMIFS(df_eventos!F:F,df_eventos!H:H,Conciliacao!A488)</f>
        <v/>
      </c>
      <c r="F488" s="3">
        <f>SUMIFS(df_mutuos!M:M,df_mutuos!B:B,Conciliacao!A488)</f>
        <v/>
      </c>
      <c r="G488" s="6">
        <f>SUMIFS(df_bloqueios_judiciais!G:G,df_bloqueios_judiciais!D:D,Conciliacao!A488,df_bloqueios_judiciais!G:G,"&gt;0")</f>
        <v/>
      </c>
      <c r="H488" s="7">
        <f>SUMIFS(df_extratos!I:I,df_extratos!F:F,Conciliacao!BE488,df_extratos!G:G,"CREDITO")+SUMIFS(df_extratos!I:I,df_extratos!F:F,Conciliacao!A488,df_extratos!G:G,"CREDITO")+SUMIFS(df_extratos!I:I,df_extratos!F:F,Conciliacao!BF488,df_extratos!G:G,"CREDITO")+SUMIFS(df_extratos!I:I,df_extratos!F:F,Conciliacao!BG488,df_extratos!G:G,"CREDITO")+SUMIFS(df_extratos!I:I,df_extratos!F:F,Conciliacao!BH488,df_extratos!G:G,"CREDITO")</f>
        <v/>
      </c>
      <c r="I488" s="9">
        <f>H488-SUM(B488:G488)</f>
        <v/>
      </c>
      <c r="J488" s="4">
        <f>SUMIFS(df_blueme_sem_parcelamento!E:E,df_blueme_sem_parcelamento!H:H,Conciliacao!A488)*(-1)</f>
        <v/>
      </c>
      <c r="K488" s="4">
        <f>SUMIFS(df_blueme_com_parcelamento!J:J,df_blueme_com_parcelamento!M:M,Conciliacao!A488)*(-1)</f>
        <v/>
      </c>
      <c r="L488" s="4">
        <f>SUMIFS(df_mutuos!N:N,df_mutuos!B:B,Conciliacao!A488)*(-1)</f>
        <v/>
      </c>
      <c r="M488" s="8">
        <f>SUMIFS(df_bloqueios_judiciais!G:G,df_bloqueios_judiciais!D:D,Conciliacao!A488,df_bloqueios_judiciais!G:G,"&lt;0")</f>
        <v/>
      </c>
      <c r="N488" s="10">
        <f>SUMIFS(df_extratos!I:I,df_extratos!F:F,Conciliacao!BE488,df_extratos!G:G,"DEBITO")+SUMIFS(df_extratos!I:I,df_extratos!F:F,Conciliacao!A488,df_extratos!G:G,"DEBITO")+SUMIFS(df_extratos!I:I,df_extratos!F:F,Conciliacao!BF488,df_extratos!G:G,"DEBITO")+SUMIFS(df_extratos!I:I,df_extratos!F:F,Conciliacao!BG488,df_extratos!G:G,"DEBITO")+SUMIFS(df_extratos!I:I,df_extratos!F:F,Conciliacao!BH488,df_extratos!G:G,"DEBITO")</f>
        <v/>
      </c>
      <c r="O488" s="11">
        <f>N488-SUM(J488:M488)</f>
        <v/>
      </c>
      <c r="P488" s="25">
        <f>SUMIFS(df_ajustes_conciliaco!D:D,df_ajustes_conciliaco!C:C,Conciliacao!A488)</f>
        <v/>
      </c>
      <c r="Q488" s="22">
        <f>O488+I488-P488</f>
        <v/>
      </c>
      <c r="BE488" s="20" t="n">
        <v>46144.5</v>
      </c>
      <c r="BF488" s="20" t="n">
        <v>46144.125</v>
      </c>
      <c r="BG488" s="20" t="n">
        <v>46144.5416666088</v>
      </c>
      <c r="BH488" s="20" t="n">
        <v>46144.625</v>
      </c>
    </row>
    <row r="489">
      <c r="A489" s="5">
        <f>A488+1</f>
        <v/>
      </c>
      <c r="B489" s="3">
        <f>-SUMIFS(df_extrato_zig!G:G,df_extrato_zig!E:E,Conciliacao!A489,df_extrato_zig!D:D,"Saque")-SUMIFS(df_extrato_zig!G:G,df_extrato_zig!E:E,Conciliacao!A489,df_extrato_zig!D:D,"Antecipação")</f>
        <v/>
      </c>
      <c r="C489" s="3">
        <f>SUMIFS(df_extrato_zig!E:E,df_extrato_zig!L:L,Conciliacao!A489,df_extrato_zig!F:F,"DINHEIRO")</f>
        <v/>
      </c>
      <c r="D489" s="3">
        <f>SUMIFS(view_parc_agrup!H:H,view_parc_agrup!G:G,Conciliacao!A489)</f>
        <v/>
      </c>
      <c r="E489" s="3">
        <f>SUMIFS(df_eventos!F:F,df_eventos!H:H,Conciliacao!A489)</f>
        <v/>
      </c>
      <c r="F489" s="3">
        <f>SUMIFS(df_mutuos!M:M,df_mutuos!B:B,Conciliacao!A489)</f>
        <v/>
      </c>
      <c r="G489" s="6">
        <f>SUMIFS(df_bloqueios_judiciais!G:G,df_bloqueios_judiciais!D:D,Conciliacao!A489,df_bloqueios_judiciais!G:G,"&gt;0")</f>
        <v/>
      </c>
      <c r="H489" s="7">
        <f>SUMIFS(df_extratos!I:I,df_extratos!F:F,Conciliacao!BE489,df_extratos!G:G,"CREDITO")+SUMIFS(df_extratos!I:I,df_extratos!F:F,Conciliacao!A489,df_extratos!G:G,"CREDITO")+SUMIFS(df_extratos!I:I,df_extratos!F:F,Conciliacao!BF489,df_extratos!G:G,"CREDITO")+SUMIFS(df_extratos!I:I,df_extratos!F:F,Conciliacao!BG489,df_extratos!G:G,"CREDITO")+SUMIFS(df_extratos!I:I,df_extratos!F:F,Conciliacao!BH489,df_extratos!G:G,"CREDITO")</f>
        <v/>
      </c>
      <c r="I489" s="9">
        <f>H489-SUM(B489:G489)</f>
        <v/>
      </c>
      <c r="J489" s="4">
        <f>SUMIFS(df_blueme_sem_parcelamento!E:E,df_blueme_sem_parcelamento!H:H,Conciliacao!A489)*(-1)</f>
        <v/>
      </c>
      <c r="K489" s="4">
        <f>SUMIFS(df_blueme_com_parcelamento!J:J,df_blueme_com_parcelamento!M:M,Conciliacao!A489)*(-1)</f>
        <v/>
      </c>
      <c r="L489" s="4">
        <f>SUMIFS(df_mutuos!N:N,df_mutuos!B:B,Conciliacao!A489)*(-1)</f>
        <v/>
      </c>
      <c r="M489" s="8">
        <f>SUMIFS(df_bloqueios_judiciais!G:G,df_bloqueios_judiciais!D:D,Conciliacao!A489,df_bloqueios_judiciais!G:G,"&lt;0")</f>
        <v/>
      </c>
      <c r="N489" s="10">
        <f>SUMIFS(df_extratos!I:I,df_extratos!F:F,Conciliacao!BE489,df_extratos!G:G,"DEBITO")+SUMIFS(df_extratos!I:I,df_extratos!F:F,Conciliacao!A489,df_extratos!G:G,"DEBITO")+SUMIFS(df_extratos!I:I,df_extratos!F:F,Conciliacao!BF489,df_extratos!G:G,"DEBITO")+SUMIFS(df_extratos!I:I,df_extratos!F:F,Conciliacao!BG489,df_extratos!G:G,"DEBITO")+SUMIFS(df_extratos!I:I,df_extratos!F:F,Conciliacao!BH489,df_extratos!G:G,"DEBITO")</f>
        <v/>
      </c>
      <c r="O489" s="11">
        <f>N489-SUM(J489:M489)</f>
        <v/>
      </c>
      <c r="P489" s="25">
        <f>SUMIFS(df_ajustes_conciliaco!D:D,df_ajustes_conciliaco!C:C,Conciliacao!A489)</f>
        <v/>
      </c>
      <c r="Q489" s="22">
        <f>O489+I489-P489</f>
        <v/>
      </c>
      <c r="BE489" s="20" t="n">
        <v>46145.5</v>
      </c>
      <c r="BF489" s="20" t="n">
        <v>46145.125</v>
      </c>
      <c r="BG489" s="20" t="n">
        <v>46145.5416666088</v>
      </c>
      <c r="BH489" s="20" t="n">
        <v>46145.625</v>
      </c>
    </row>
    <row r="490">
      <c r="A490" s="5">
        <f>A489+1</f>
        <v/>
      </c>
      <c r="B490" s="3">
        <f>-SUMIFS(df_extrato_zig!G:G,df_extrato_zig!E:E,Conciliacao!A490,df_extrato_zig!D:D,"Saque")-SUMIFS(df_extrato_zig!G:G,df_extrato_zig!E:E,Conciliacao!A490,df_extrato_zig!D:D,"Antecipação")</f>
        <v/>
      </c>
      <c r="C490" s="3">
        <f>SUMIFS(df_extrato_zig!E:E,df_extrato_zig!L:L,Conciliacao!A490,df_extrato_zig!F:F,"DINHEIRO")</f>
        <v/>
      </c>
      <c r="D490" s="3">
        <f>SUMIFS(view_parc_agrup!H:H,view_parc_agrup!G:G,Conciliacao!A490)</f>
        <v/>
      </c>
      <c r="E490" s="3">
        <f>SUMIFS(df_eventos!F:F,df_eventos!H:H,Conciliacao!A490)</f>
        <v/>
      </c>
      <c r="F490" s="3">
        <f>SUMIFS(df_mutuos!M:M,df_mutuos!B:B,Conciliacao!A490)</f>
        <v/>
      </c>
      <c r="G490" s="6">
        <f>SUMIFS(df_bloqueios_judiciais!G:G,df_bloqueios_judiciais!D:D,Conciliacao!A490,df_bloqueios_judiciais!G:G,"&gt;0")</f>
        <v/>
      </c>
      <c r="H490" s="7">
        <f>SUMIFS(df_extratos!I:I,df_extratos!F:F,Conciliacao!BE490,df_extratos!G:G,"CREDITO")+SUMIFS(df_extratos!I:I,df_extratos!F:F,Conciliacao!A490,df_extratos!G:G,"CREDITO")+SUMIFS(df_extratos!I:I,df_extratos!F:F,Conciliacao!BF490,df_extratos!G:G,"CREDITO")+SUMIFS(df_extratos!I:I,df_extratos!F:F,Conciliacao!BG490,df_extratos!G:G,"CREDITO")+SUMIFS(df_extratos!I:I,df_extratos!F:F,Conciliacao!BH490,df_extratos!G:G,"CREDITO")</f>
        <v/>
      </c>
      <c r="I490" s="9">
        <f>H490-SUM(B490:G490)</f>
        <v/>
      </c>
      <c r="J490" s="4">
        <f>SUMIFS(df_blueme_sem_parcelamento!E:E,df_blueme_sem_parcelamento!H:H,Conciliacao!A490)*(-1)</f>
        <v/>
      </c>
      <c r="K490" s="4">
        <f>SUMIFS(df_blueme_com_parcelamento!J:J,df_blueme_com_parcelamento!M:M,Conciliacao!A490)*(-1)</f>
        <v/>
      </c>
      <c r="L490" s="4">
        <f>SUMIFS(df_mutuos!N:N,df_mutuos!B:B,Conciliacao!A490)*(-1)</f>
        <v/>
      </c>
      <c r="M490" s="8">
        <f>SUMIFS(df_bloqueios_judiciais!G:G,df_bloqueios_judiciais!D:D,Conciliacao!A490,df_bloqueios_judiciais!G:G,"&lt;0")</f>
        <v/>
      </c>
      <c r="N490" s="10">
        <f>SUMIFS(df_extratos!I:I,df_extratos!F:F,Conciliacao!BE490,df_extratos!G:G,"DEBITO")+SUMIFS(df_extratos!I:I,df_extratos!F:F,Conciliacao!A490,df_extratos!G:G,"DEBITO")+SUMIFS(df_extratos!I:I,df_extratos!F:F,Conciliacao!BF490,df_extratos!G:G,"DEBITO")+SUMIFS(df_extratos!I:I,df_extratos!F:F,Conciliacao!BG490,df_extratos!G:G,"DEBITO")+SUMIFS(df_extratos!I:I,df_extratos!F:F,Conciliacao!BH490,df_extratos!G:G,"DEBITO")</f>
        <v/>
      </c>
      <c r="O490" s="11">
        <f>N490-SUM(J490:M490)</f>
        <v/>
      </c>
      <c r="P490" s="25">
        <f>SUMIFS(df_ajustes_conciliaco!D:D,df_ajustes_conciliaco!C:C,Conciliacao!A490)</f>
        <v/>
      </c>
      <c r="Q490" s="22">
        <f>O490+I490-P490</f>
        <v/>
      </c>
      <c r="BE490" s="20" t="n">
        <v>46146.5</v>
      </c>
      <c r="BF490" s="20" t="n">
        <v>46146.125</v>
      </c>
      <c r="BG490" s="20" t="n">
        <v>46146.5416666088</v>
      </c>
      <c r="BH490" s="20" t="n">
        <v>46146.625</v>
      </c>
    </row>
    <row r="491">
      <c r="A491" s="5">
        <f>A490+1</f>
        <v/>
      </c>
      <c r="B491" s="3">
        <f>-SUMIFS(df_extrato_zig!G:G,df_extrato_zig!E:E,Conciliacao!A491,df_extrato_zig!D:D,"Saque")-SUMIFS(df_extrato_zig!G:G,df_extrato_zig!E:E,Conciliacao!A491,df_extrato_zig!D:D,"Antecipação")</f>
        <v/>
      </c>
      <c r="C491" s="3">
        <f>SUMIFS(df_extrato_zig!E:E,df_extrato_zig!L:L,Conciliacao!A491,df_extrato_zig!F:F,"DINHEIRO")</f>
        <v/>
      </c>
      <c r="D491" s="3">
        <f>SUMIFS(view_parc_agrup!H:H,view_parc_agrup!G:G,Conciliacao!A491)</f>
        <v/>
      </c>
      <c r="E491" s="3">
        <f>SUMIFS(df_eventos!F:F,df_eventos!H:H,Conciliacao!A491)</f>
        <v/>
      </c>
      <c r="F491" s="3">
        <f>SUMIFS(df_mutuos!M:M,df_mutuos!B:B,Conciliacao!A491)</f>
        <v/>
      </c>
      <c r="G491" s="6">
        <f>SUMIFS(df_bloqueios_judiciais!G:G,df_bloqueios_judiciais!D:D,Conciliacao!A491,df_bloqueios_judiciais!G:G,"&gt;0")</f>
        <v/>
      </c>
      <c r="H491" s="7">
        <f>SUMIFS(df_extratos!I:I,df_extratos!F:F,Conciliacao!BE491,df_extratos!G:G,"CREDITO")+SUMIFS(df_extratos!I:I,df_extratos!F:F,Conciliacao!A491,df_extratos!G:G,"CREDITO")+SUMIFS(df_extratos!I:I,df_extratos!F:F,Conciliacao!BF491,df_extratos!G:G,"CREDITO")+SUMIFS(df_extratos!I:I,df_extratos!F:F,Conciliacao!BG491,df_extratos!G:G,"CREDITO")+SUMIFS(df_extratos!I:I,df_extratos!F:F,Conciliacao!BH491,df_extratos!G:G,"CREDITO")</f>
        <v/>
      </c>
      <c r="I491" s="9">
        <f>H491-SUM(B491:G491)</f>
        <v/>
      </c>
      <c r="J491" s="4">
        <f>SUMIFS(df_blueme_sem_parcelamento!E:E,df_blueme_sem_parcelamento!H:H,Conciliacao!A491)*(-1)</f>
        <v/>
      </c>
      <c r="K491" s="4">
        <f>SUMIFS(df_blueme_com_parcelamento!J:J,df_blueme_com_parcelamento!M:M,Conciliacao!A491)*(-1)</f>
        <v/>
      </c>
      <c r="L491" s="4">
        <f>SUMIFS(df_mutuos!N:N,df_mutuos!B:B,Conciliacao!A491)*(-1)</f>
        <v/>
      </c>
      <c r="M491" s="8">
        <f>SUMIFS(df_bloqueios_judiciais!G:G,df_bloqueios_judiciais!D:D,Conciliacao!A491,df_bloqueios_judiciais!G:G,"&lt;0")</f>
        <v/>
      </c>
      <c r="N491" s="10">
        <f>SUMIFS(df_extratos!I:I,df_extratos!F:F,Conciliacao!BE491,df_extratos!G:G,"DEBITO")+SUMIFS(df_extratos!I:I,df_extratos!F:F,Conciliacao!A491,df_extratos!G:G,"DEBITO")+SUMIFS(df_extratos!I:I,df_extratos!F:F,Conciliacao!BF491,df_extratos!G:G,"DEBITO")+SUMIFS(df_extratos!I:I,df_extratos!F:F,Conciliacao!BG491,df_extratos!G:G,"DEBITO")+SUMIFS(df_extratos!I:I,df_extratos!F:F,Conciliacao!BH491,df_extratos!G:G,"DEBITO")</f>
        <v/>
      </c>
      <c r="O491" s="11">
        <f>N491-SUM(J491:M491)</f>
        <v/>
      </c>
      <c r="P491" s="25">
        <f>SUMIFS(df_ajustes_conciliaco!D:D,df_ajustes_conciliaco!C:C,Conciliacao!A491)</f>
        <v/>
      </c>
      <c r="Q491" s="22">
        <f>O491+I491-P491</f>
        <v/>
      </c>
      <c r="BE491" s="20" t="n">
        <v>46147.5</v>
      </c>
      <c r="BF491" s="20" t="n">
        <v>46147.125</v>
      </c>
      <c r="BG491" s="20" t="n">
        <v>46147.5416666088</v>
      </c>
      <c r="BH491" s="20" t="n">
        <v>46147.625</v>
      </c>
    </row>
    <row r="492">
      <c r="A492" s="5">
        <f>A491+1</f>
        <v/>
      </c>
      <c r="B492" s="3">
        <f>-SUMIFS(df_extrato_zig!G:G,df_extrato_zig!E:E,Conciliacao!A492,df_extrato_zig!D:D,"Saque")-SUMIFS(df_extrato_zig!G:G,df_extrato_zig!E:E,Conciliacao!A492,df_extrato_zig!D:D,"Antecipação")</f>
        <v/>
      </c>
      <c r="C492" s="3">
        <f>SUMIFS(df_extrato_zig!E:E,df_extrato_zig!L:L,Conciliacao!A492,df_extrato_zig!F:F,"DINHEIRO")</f>
        <v/>
      </c>
      <c r="D492" s="3">
        <f>SUMIFS(view_parc_agrup!H:H,view_parc_agrup!G:G,Conciliacao!A492)</f>
        <v/>
      </c>
      <c r="E492" s="3">
        <f>SUMIFS(df_eventos!F:F,df_eventos!H:H,Conciliacao!A492)</f>
        <v/>
      </c>
      <c r="F492" s="3">
        <f>SUMIFS(df_mutuos!M:M,df_mutuos!B:B,Conciliacao!A492)</f>
        <v/>
      </c>
      <c r="G492" s="6">
        <f>SUMIFS(df_bloqueios_judiciais!G:G,df_bloqueios_judiciais!D:D,Conciliacao!A492,df_bloqueios_judiciais!G:G,"&gt;0")</f>
        <v/>
      </c>
      <c r="H492" s="7">
        <f>SUMIFS(df_extratos!I:I,df_extratos!F:F,Conciliacao!BE492,df_extratos!G:G,"CREDITO")+SUMIFS(df_extratos!I:I,df_extratos!F:F,Conciliacao!A492,df_extratos!G:G,"CREDITO")+SUMIFS(df_extratos!I:I,df_extratos!F:F,Conciliacao!BF492,df_extratos!G:G,"CREDITO")+SUMIFS(df_extratos!I:I,df_extratos!F:F,Conciliacao!BG492,df_extratos!G:G,"CREDITO")+SUMIFS(df_extratos!I:I,df_extratos!F:F,Conciliacao!BH492,df_extratos!G:G,"CREDITO")</f>
        <v/>
      </c>
      <c r="I492" s="9">
        <f>H492-SUM(B492:G492)</f>
        <v/>
      </c>
      <c r="J492" s="4">
        <f>SUMIFS(df_blueme_sem_parcelamento!E:E,df_blueme_sem_parcelamento!H:H,Conciliacao!A492)*(-1)</f>
        <v/>
      </c>
      <c r="K492" s="4">
        <f>SUMIFS(df_blueme_com_parcelamento!J:J,df_blueme_com_parcelamento!M:M,Conciliacao!A492)*(-1)</f>
        <v/>
      </c>
      <c r="L492" s="4">
        <f>SUMIFS(df_mutuos!N:N,df_mutuos!B:B,Conciliacao!A492)*(-1)</f>
        <v/>
      </c>
      <c r="M492" s="8">
        <f>SUMIFS(df_bloqueios_judiciais!G:G,df_bloqueios_judiciais!D:D,Conciliacao!A492,df_bloqueios_judiciais!G:G,"&lt;0")</f>
        <v/>
      </c>
      <c r="N492" s="10">
        <f>SUMIFS(df_extratos!I:I,df_extratos!F:F,Conciliacao!BE492,df_extratos!G:G,"DEBITO")+SUMIFS(df_extratos!I:I,df_extratos!F:F,Conciliacao!A492,df_extratos!G:G,"DEBITO")+SUMIFS(df_extratos!I:I,df_extratos!F:F,Conciliacao!BF492,df_extratos!G:G,"DEBITO")+SUMIFS(df_extratos!I:I,df_extratos!F:F,Conciliacao!BG492,df_extratos!G:G,"DEBITO")+SUMIFS(df_extratos!I:I,df_extratos!F:F,Conciliacao!BH492,df_extratos!G:G,"DEBITO")</f>
        <v/>
      </c>
      <c r="O492" s="11">
        <f>N492-SUM(J492:M492)</f>
        <v/>
      </c>
      <c r="P492" s="25">
        <f>SUMIFS(df_ajustes_conciliaco!D:D,df_ajustes_conciliaco!C:C,Conciliacao!A492)</f>
        <v/>
      </c>
      <c r="Q492" s="22">
        <f>O492+I492-P492</f>
        <v/>
      </c>
      <c r="BE492" s="20" t="n">
        <v>46148.5</v>
      </c>
      <c r="BF492" s="20" t="n">
        <v>46148.125</v>
      </c>
      <c r="BG492" s="20" t="n">
        <v>46148.5416666088</v>
      </c>
      <c r="BH492" s="20" t="n">
        <v>46148.625</v>
      </c>
    </row>
    <row r="493">
      <c r="A493" s="5">
        <f>A492+1</f>
        <v/>
      </c>
      <c r="B493" s="3">
        <f>-SUMIFS(df_extrato_zig!G:G,df_extrato_zig!E:E,Conciliacao!A493,df_extrato_zig!D:D,"Saque")-SUMIFS(df_extrato_zig!G:G,df_extrato_zig!E:E,Conciliacao!A493,df_extrato_zig!D:D,"Antecipação")</f>
        <v/>
      </c>
      <c r="C493" s="3">
        <f>SUMIFS(df_extrato_zig!E:E,df_extrato_zig!L:L,Conciliacao!A493,df_extrato_zig!F:F,"DINHEIRO")</f>
        <v/>
      </c>
      <c r="D493" s="3">
        <f>SUMIFS(view_parc_agrup!H:H,view_parc_agrup!G:G,Conciliacao!A493)</f>
        <v/>
      </c>
      <c r="E493" s="3">
        <f>SUMIFS(df_eventos!F:F,df_eventos!H:H,Conciliacao!A493)</f>
        <v/>
      </c>
      <c r="F493" s="3">
        <f>SUMIFS(df_mutuos!M:M,df_mutuos!B:B,Conciliacao!A493)</f>
        <v/>
      </c>
      <c r="G493" s="6">
        <f>SUMIFS(df_bloqueios_judiciais!G:G,df_bloqueios_judiciais!D:D,Conciliacao!A493,df_bloqueios_judiciais!G:G,"&gt;0")</f>
        <v/>
      </c>
      <c r="H493" s="7">
        <f>SUMIFS(df_extratos!I:I,df_extratos!F:F,Conciliacao!BE493,df_extratos!G:G,"CREDITO")+SUMIFS(df_extratos!I:I,df_extratos!F:F,Conciliacao!A493,df_extratos!G:G,"CREDITO")+SUMIFS(df_extratos!I:I,df_extratos!F:F,Conciliacao!BF493,df_extratos!G:G,"CREDITO")+SUMIFS(df_extratos!I:I,df_extratos!F:F,Conciliacao!BG493,df_extratos!G:G,"CREDITO")+SUMIFS(df_extratos!I:I,df_extratos!F:F,Conciliacao!BH493,df_extratos!G:G,"CREDITO")</f>
        <v/>
      </c>
      <c r="I493" s="9">
        <f>H493-SUM(B493:G493)</f>
        <v/>
      </c>
      <c r="J493" s="4">
        <f>SUMIFS(df_blueme_sem_parcelamento!E:E,df_blueme_sem_parcelamento!H:H,Conciliacao!A493)*(-1)</f>
        <v/>
      </c>
      <c r="K493" s="4">
        <f>SUMIFS(df_blueme_com_parcelamento!J:J,df_blueme_com_parcelamento!M:M,Conciliacao!A493)*(-1)</f>
        <v/>
      </c>
      <c r="L493" s="4">
        <f>SUMIFS(df_mutuos!N:N,df_mutuos!B:B,Conciliacao!A493)*(-1)</f>
        <v/>
      </c>
      <c r="M493" s="8">
        <f>SUMIFS(df_bloqueios_judiciais!G:G,df_bloqueios_judiciais!D:D,Conciliacao!A493,df_bloqueios_judiciais!G:G,"&lt;0")</f>
        <v/>
      </c>
      <c r="N493" s="10">
        <f>SUMIFS(df_extratos!I:I,df_extratos!F:F,Conciliacao!BE493,df_extratos!G:G,"DEBITO")+SUMIFS(df_extratos!I:I,df_extratos!F:F,Conciliacao!A493,df_extratos!G:G,"DEBITO")+SUMIFS(df_extratos!I:I,df_extratos!F:F,Conciliacao!BF493,df_extratos!G:G,"DEBITO")+SUMIFS(df_extratos!I:I,df_extratos!F:F,Conciliacao!BG493,df_extratos!G:G,"DEBITO")+SUMIFS(df_extratos!I:I,df_extratos!F:F,Conciliacao!BH493,df_extratos!G:G,"DEBITO")</f>
        <v/>
      </c>
      <c r="O493" s="11">
        <f>N493-SUM(J493:M493)</f>
        <v/>
      </c>
      <c r="P493" s="25">
        <f>SUMIFS(df_ajustes_conciliaco!D:D,df_ajustes_conciliaco!C:C,Conciliacao!A493)</f>
        <v/>
      </c>
      <c r="Q493" s="22">
        <f>O493+I493-P493</f>
        <v/>
      </c>
      <c r="BE493" s="20" t="n">
        <v>46149.5</v>
      </c>
      <c r="BF493" s="20" t="n">
        <v>46149.125</v>
      </c>
      <c r="BG493" s="20" t="n">
        <v>46149.5416666088</v>
      </c>
      <c r="BH493" s="20" t="n">
        <v>46149.625</v>
      </c>
    </row>
    <row r="494">
      <c r="A494" s="5">
        <f>A493+1</f>
        <v/>
      </c>
      <c r="B494" s="3">
        <f>-SUMIFS(df_extrato_zig!G:G,df_extrato_zig!E:E,Conciliacao!A494,df_extrato_zig!D:D,"Saque")-SUMIFS(df_extrato_zig!G:G,df_extrato_zig!E:E,Conciliacao!A494,df_extrato_zig!D:D,"Antecipação")</f>
        <v/>
      </c>
      <c r="C494" s="3">
        <f>SUMIFS(df_extrato_zig!E:E,df_extrato_zig!L:L,Conciliacao!A494,df_extrato_zig!F:F,"DINHEIRO")</f>
        <v/>
      </c>
      <c r="D494" s="3">
        <f>SUMIFS(view_parc_agrup!H:H,view_parc_agrup!G:G,Conciliacao!A494)</f>
        <v/>
      </c>
      <c r="E494" s="3">
        <f>SUMIFS(df_eventos!F:F,df_eventos!H:H,Conciliacao!A494)</f>
        <v/>
      </c>
      <c r="F494" s="3">
        <f>SUMIFS(df_mutuos!M:M,df_mutuos!B:B,Conciliacao!A494)</f>
        <v/>
      </c>
      <c r="G494" s="6">
        <f>SUMIFS(df_bloqueios_judiciais!G:G,df_bloqueios_judiciais!D:D,Conciliacao!A494,df_bloqueios_judiciais!G:G,"&gt;0")</f>
        <v/>
      </c>
      <c r="H494" s="7">
        <f>SUMIFS(df_extratos!I:I,df_extratos!F:F,Conciliacao!BE494,df_extratos!G:G,"CREDITO")+SUMIFS(df_extratos!I:I,df_extratos!F:F,Conciliacao!A494,df_extratos!G:G,"CREDITO")+SUMIFS(df_extratos!I:I,df_extratos!F:F,Conciliacao!BF494,df_extratos!G:G,"CREDITO")+SUMIFS(df_extratos!I:I,df_extratos!F:F,Conciliacao!BG494,df_extratos!G:G,"CREDITO")+SUMIFS(df_extratos!I:I,df_extratos!F:F,Conciliacao!BH494,df_extratos!G:G,"CREDITO")</f>
        <v/>
      </c>
      <c r="I494" s="9">
        <f>H494-SUM(B494:G494)</f>
        <v/>
      </c>
      <c r="J494" s="4">
        <f>SUMIFS(df_blueme_sem_parcelamento!E:E,df_blueme_sem_parcelamento!H:H,Conciliacao!A494)*(-1)</f>
        <v/>
      </c>
      <c r="K494" s="4">
        <f>SUMIFS(df_blueme_com_parcelamento!J:J,df_blueme_com_parcelamento!M:M,Conciliacao!A494)*(-1)</f>
        <v/>
      </c>
      <c r="L494" s="4">
        <f>SUMIFS(df_mutuos!N:N,df_mutuos!B:B,Conciliacao!A494)*(-1)</f>
        <v/>
      </c>
      <c r="M494" s="8">
        <f>SUMIFS(df_bloqueios_judiciais!G:G,df_bloqueios_judiciais!D:D,Conciliacao!A494,df_bloqueios_judiciais!G:G,"&lt;0")</f>
        <v/>
      </c>
      <c r="N494" s="10">
        <f>SUMIFS(df_extratos!I:I,df_extratos!F:F,Conciliacao!BE494,df_extratos!G:G,"DEBITO")+SUMIFS(df_extratos!I:I,df_extratos!F:F,Conciliacao!A494,df_extratos!G:G,"DEBITO")+SUMIFS(df_extratos!I:I,df_extratos!F:F,Conciliacao!BF494,df_extratos!G:G,"DEBITO")+SUMIFS(df_extratos!I:I,df_extratos!F:F,Conciliacao!BG494,df_extratos!G:G,"DEBITO")+SUMIFS(df_extratos!I:I,df_extratos!F:F,Conciliacao!BH494,df_extratos!G:G,"DEBITO")</f>
        <v/>
      </c>
      <c r="O494" s="11">
        <f>N494-SUM(J494:M494)</f>
        <v/>
      </c>
      <c r="P494" s="25">
        <f>SUMIFS(df_ajustes_conciliaco!D:D,df_ajustes_conciliaco!C:C,Conciliacao!A494)</f>
        <v/>
      </c>
      <c r="Q494" s="22">
        <f>O494+I494-P494</f>
        <v/>
      </c>
      <c r="BE494" s="20" t="n">
        <v>46150.5</v>
      </c>
      <c r="BF494" s="20" t="n">
        <v>46150.125</v>
      </c>
      <c r="BG494" s="20" t="n">
        <v>46150.5416666088</v>
      </c>
      <c r="BH494" s="20" t="n">
        <v>46150.625</v>
      </c>
    </row>
    <row r="495">
      <c r="A495" s="5">
        <f>A494+1</f>
        <v/>
      </c>
      <c r="B495" s="3">
        <f>-SUMIFS(df_extrato_zig!G:G,df_extrato_zig!E:E,Conciliacao!A495,df_extrato_zig!D:D,"Saque")-SUMIFS(df_extrato_zig!G:G,df_extrato_zig!E:E,Conciliacao!A495,df_extrato_zig!D:D,"Antecipação")</f>
        <v/>
      </c>
      <c r="C495" s="3">
        <f>SUMIFS(df_extrato_zig!E:E,df_extrato_zig!L:L,Conciliacao!A495,df_extrato_zig!F:F,"DINHEIRO")</f>
        <v/>
      </c>
      <c r="D495" s="3">
        <f>SUMIFS(view_parc_agrup!H:H,view_parc_agrup!G:G,Conciliacao!A495)</f>
        <v/>
      </c>
      <c r="E495" s="3">
        <f>SUMIFS(df_eventos!F:F,df_eventos!H:H,Conciliacao!A495)</f>
        <v/>
      </c>
      <c r="F495" s="3">
        <f>SUMIFS(df_mutuos!M:M,df_mutuos!B:B,Conciliacao!A495)</f>
        <v/>
      </c>
      <c r="G495" s="6">
        <f>SUMIFS(df_bloqueios_judiciais!G:G,df_bloqueios_judiciais!D:D,Conciliacao!A495,df_bloqueios_judiciais!G:G,"&gt;0")</f>
        <v/>
      </c>
      <c r="H495" s="7">
        <f>SUMIFS(df_extratos!I:I,df_extratos!F:F,Conciliacao!BE495,df_extratos!G:G,"CREDITO")+SUMIFS(df_extratos!I:I,df_extratos!F:F,Conciliacao!A495,df_extratos!G:G,"CREDITO")+SUMIFS(df_extratos!I:I,df_extratos!F:F,Conciliacao!BF495,df_extratos!G:G,"CREDITO")+SUMIFS(df_extratos!I:I,df_extratos!F:F,Conciliacao!BG495,df_extratos!G:G,"CREDITO")+SUMIFS(df_extratos!I:I,df_extratos!F:F,Conciliacao!BH495,df_extratos!G:G,"CREDITO")</f>
        <v/>
      </c>
      <c r="I495" s="9">
        <f>H495-SUM(B495:G495)</f>
        <v/>
      </c>
      <c r="J495" s="4">
        <f>SUMIFS(df_blueme_sem_parcelamento!E:E,df_blueme_sem_parcelamento!H:H,Conciliacao!A495)*(-1)</f>
        <v/>
      </c>
      <c r="K495" s="4">
        <f>SUMIFS(df_blueme_com_parcelamento!J:J,df_blueme_com_parcelamento!M:M,Conciliacao!A495)*(-1)</f>
        <v/>
      </c>
      <c r="L495" s="4">
        <f>SUMIFS(df_mutuos!N:N,df_mutuos!B:B,Conciliacao!A495)*(-1)</f>
        <v/>
      </c>
      <c r="M495" s="8">
        <f>SUMIFS(df_bloqueios_judiciais!G:G,df_bloqueios_judiciais!D:D,Conciliacao!A495,df_bloqueios_judiciais!G:G,"&lt;0")</f>
        <v/>
      </c>
      <c r="N495" s="10">
        <f>SUMIFS(df_extratos!I:I,df_extratos!F:F,Conciliacao!BE495,df_extratos!G:G,"DEBITO")+SUMIFS(df_extratos!I:I,df_extratos!F:F,Conciliacao!A495,df_extratos!G:G,"DEBITO")+SUMIFS(df_extratos!I:I,df_extratos!F:F,Conciliacao!BF495,df_extratos!G:G,"DEBITO")+SUMIFS(df_extratos!I:I,df_extratos!F:F,Conciliacao!BG495,df_extratos!G:G,"DEBITO")+SUMIFS(df_extratos!I:I,df_extratos!F:F,Conciliacao!BH495,df_extratos!G:G,"DEBITO")</f>
        <v/>
      </c>
      <c r="O495" s="11">
        <f>N495-SUM(J495:M495)</f>
        <v/>
      </c>
      <c r="P495" s="25">
        <f>SUMIFS(df_ajustes_conciliaco!D:D,df_ajustes_conciliaco!C:C,Conciliacao!A495)</f>
        <v/>
      </c>
      <c r="Q495" s="22">
        <f>O495+I495-P495</f>
        <v/>
      </c>
      <c r="BE495" s="20" t="n">
        <v>46151.5</v>
      </c>
      <c r="BF495" s="20" t="n">
        <v>46151.125</v>
      </c>
      <c r="BG495" s="20" t="n">
        <v>46151.5416666088</v>
      </c>
      <c r="BH495" s="20" t="n">
        <v>46151.625</v>
      </c>
    </row>
    <row r="496">
      <c r="A496" s="5">
        <f>A495+1</f>
        <v/>
      </c>
      <c r="B496" s="3">
        <f>-SUMIFS(df_extrato_zig!G:G,df_extrato_zig!E:E,Conciliacao!A496,df_extrato_zig!D:D,"Saque")-SUMIFS(df_extrato_zig!G:G,df_extrato_zig!E:E,Conciliacao!A496,df_extrato_zig!D:D,"Antecipação")</f>
        <v/>
      </c>
      <c r="C496" s="3">
        <f>SUMIFS(df_extrato_zig!E:E,df_extrato_zig!L:L,Conciliacao!A496,df_extrato_zig!F:F,"DINHEIRO")</f>
        <v/>
      </c>
      <c r="D496" s="3">
        <f>SUMIFS(view_parc_agrup!H:H,view_parc_agrup!G:G,Conciliacao!A496)</f>
        <v/>
      </c>
      <c r="E496" s="3">
        <f>SUMIFS(df_eventos!F:F,df_eventos!H:H,Conciliacao!A496)</f>
        <v/>
      </c>
      <c r="F496" s="3">
        <f>SUMIFS(df_mutuos!M:M,df_mutuos!B:B,Conciliacao!A496)</f>
        <v/>
      </c>
      <c r="G496" s="6">
        <f>SUMIFS(df_bloqueios_judiciais!G:G,df_bloqueios_judiciais!D:D,Conciliacao!A496,df_bloqueios_judiciais!G:G,"&gt;0")</f>
        <v/>
      </c>
      <c r="H496" s="7">
        <f>SUMIFS(df_extratos!I:I,df_extratos!F:F,Conciliacao!BE496,df_extratos!G:G,"CREDITO")+SUMIFS(df_extratos!I:I,df_extratos!F:F,Conciliacao!A496,df_extratos!G:G,"CREDITO")+SUMIFS(df_extratos!I:I,df_extratos!F:F,Conciliacao!BF496,df_extratos!G:G,"CREDITO")+SUMIFS(df_extratos!I:I,df_extratos!F:F,Conciliacao!BG496,df_extratos!G:G,"CREDITO")+SUMIFS(df_extratos!I:I,df_extratos!F:F,Conciliacao!BH496,df_extratos!G:G,"CREDITO")</f>
        <v/>
      </c>
      <c r="I496" s="9">
        <f>H496-SUM(B496:G496)</f>
        <v/>
      </c>
      <c r="J496" s="4">
        <f>SUMIFS(df_blueme_sem_parcelamento!E:E,df_blueme_sem_parcelamento!H:H,Conciliacao!A496)*(-1)</f>
        <v/>
      </c>
      <c r="K496" s="4">
        <f>SUMIFS(df_blueme_com_parcelamento!J:J,df_blueme_com_parcelamento!M:M,Conciliacao!A496)*(-1)</f>
        <v/>
      </c>
      <c r="L496" s="4">
        <f>SUMIFS(df_mutuos!N:N,df_mutuos!B:B,Conciliacao!A496)*(-1)</f>
        <v/>
      </c>
      <c r="M496" s="8">
        <f>SUMIFS(df_bloqueios_judiciais!G:G,df_bloqueios_judiciais!D:D,Conciliacao!A496,df_bloqueios_judiciais!G:G,"&lt;0")</f>
        <v/>
      </c>
      <c r="N496" s="10">
        <f>SUMIFS(df_extratos!I:I,df_extratos!F:F,Conciliacao!BE496,df_extratos!G:G,"DEBITO")+SUMIFS(df_extratos!I:I,df_extratos!F:F,Conciliacao!A496,df_extratos!G:G,"DEBITO")+SUMIFS(df_extratos!I:I,df_extratos!F:F,Conciliacao!BF496,df_extratos!G:G,"DEBITO")+SUMIFS(df_extratos!I:I,df_extratos!F:F,Conciliacao!BG496,df_extratos!G:G,"DEBITO")+SUMIFS(df_extratos!I:I,df_extratos!F:F,Conciliacao!BH496,df_extratos!G:G,"DEBITO")</f>
        <v/>
      </c>
      <c r="O496" s="11">
        <f>N496-SUM(J496:M496)</f>
        <v/>
      </c>
      <c r="P496" s="25">
        <f>SUMIFS(df_ajustes_conciliaco!D:D,df_ajustes_conciliaco!C:C,Conciliacao!A496)</f>
        <v/>
      </c>
      <c r="Q496" s="22">
        <f>O496+I496-P496</f>
        <v/>
      </c>
      <c r="BE496" s="20" t="n">
        <v>46152.5</v>
      </c>
      <c r="BF496" s="20" t="n">
        <v>46152.125</v>
      </c>
      <c r="BG496" s="20" t="n">
        <v>46152.5416666088</v>
      </c>
      <c r="BH496" s="20" t="n">
        <v>46152.625</v>
      </c>
    </row>
    <row r="497">
      <c r="A497" s="5">
        <f>A496+1</f>
        <v/>
      </c>
      <c r="B497" s="3">
        <f>-SUMIFS(df_extrato_zig!G:G,df_extrato_zig!E:E,Conciliacao!A497,df_extrato_zig!D:D,"Saque")-SUMIFS(df_extrato_zig!G:G,df_extrato_zig!E:E,Conciliacao!A497,df_extrato_zig!D:D,"Antecipação")</f>
        <v/>
      </c>
      <c r="C497" s="3">
        <f>SUMIFS(df_extrato_zig!E:E,df_extrato_zig!L:L,Conciliacao!A497,df_extrato_zig!F:F,"DINHEIRO")</f>
        <v/>
      </c>
      <c r="D497" s="3">
        <f>SUMIFS(view_parc_agrup!H:H,view_parc_agrup!G:G,Conciliacao!A497)</f>
        <v/>
      </c>
      <c r="E497" s="3">
        <f>SUMIFS(df_eventos!F:F,df_eventos!H:H,Conciliacao!A497)</f>
        <v/>
      </c>
      <c r="F497" s="3">
        <f>SUMIFS(df_mutuos!M:M,df_mutuos!B:B,Conciliacao!A497)</f>
        <v/>
      </c>
      <c r="G497" s="6">
        <f>SUMIFS(df_bloqueios_judiciais!G:G,df_bloqueios_judiciais!D:D,Conciliacao!A497,df_bloqueios_judiciais!G:G,"&gt;0")</f>
        <v/>
      </c>
      <c r="H497" s="7">
        <f>SUMIFS(df_extratos!I:I,df_extratos!F:F,Conciliacao!BE497,df_extratos!G:G,"CREDITO")+SUMIFS(df_extratos!I:I,df_extratos!F:F,Conciliacao!A497,df_extratos!G:G,"CREDITO")+SUMIFS(df_extratos!I:I,df_extratos!F:F,Conciliacao!BF497,df_extratos!G:G,"CREDITO")+SUMIFS(df_extratos!I:I,df_extratos!F:F,Conciliacao!BG497,df_extratos!G:G,"CREDITO")+SUMIFS(df_extratos!I:I,df_extratos!F:F,Conciliacao!BH497,df_extratos!G:G,"CREDITO")</f>
        <v/>
      </c>
      <c r="I497" s="9">
        <f>H497-SUM(B497:G497)</f>
        <v/>
      </c>
      <c r="J497" s="4">
        <f>SUMIFS(df_blueme_sem_parcelamento!E:E,df_blueme_sem_parcelamento!H:H,Conciliacao!A497)*(-1)</f>
        <v/>
      </c>
      <c r="K497" s="4">
        <f>SUMIFS(df_blueme_com_parcelamento!J:J,df_blueme_com_parcelamento!M:M,Conciliacao!A497)*(-1)</f>
        <v/>
      </c>
      <c r="L497" s="4">
        <f>SUMIFS(df_mutuos!N:N,df_mutuos!B:B,Conciliacao!A497)*(-1)</f>
        <v/>
      </c>
      <c r="M497" s="8">
        <f>SUMIFS(df_bloqueios_judiciais!G:G,df_bloqueios_judiciais!D:D,Conciliacao!A497,df_bloqueios_judiciais!G:G,"&lt;0")</f>
        <v/>
      </c>
      <c r="N497" s="10">
        <f>SUMIFS(df_extratos!I:I,df_extratos!F:F,Conciliacao!BE497,df_extratos!G:G,"DEBITO")+SUMIFS(df_extratos!I:I,df_extratos!F:F,Conciliacao!A497,df_extratos!G:G,"DEBITO")+SUMIFS(df_extratos!I:I,df_extratos!F:F,Conciliacao!BF497,df_extratos!G:G,"DEBITO")+SUMIFS(df_extratos!I:I,df_extratos!F:F,Conciliacao!BG497,df_extratos!G:G,"DEBITO")+SUMIFS(df_extratos!I:I,df_extratos!F:F,Conciliacao!BH497,df_extratos!G:G,"DEBITO")</f>
        <v/>
      </c>
      <c r="O497" s="11">
        <f>N497-SUM(J497:M497)</f>
        <v/>
      </c>
      <c r="P497" s="25">
        <f>SUMIFS(df_ajustes_conciliaco!D:D,df_ajustes_conciliaco!C:C,Conciliacao!A497)</f>
        <v/>
      </c>
      <c r="Q497" s="22">
        <f>O497+I497-P497</f>
        <v/>
      </c>
      <c r="BE497" s="20" t="n">
        <v>46153.5</v>
      </c>
      <c r="BF497" s="20" t="n">
        <v>46153.125</v>
      </c>
      <c r="BG497" s="20" t="n">
        <v>46153.5416666088</v>
      </c>
      <c r="BH497" s="20" t="n">
        <v>46153.625</v>
      </c>
    </row>
    <row r="498">
      <c r="A498" s="5">
        <f>A497+1</f>
        <v/>
      </c>
      <c r="B498" s="3">
        <f>-SUMIFS(df_extrato_zig!G:G,df_extrato_zig!E:E,Conciliacao!A498,df_extrato_zig!D:D,"Saque")-SUMIFS(df_extrato_zig!G:G,df_extrato_zig!E:E,Conciliacao!A498,df_extrato_zig!D:D,"Antecipação")</f>
        <v/>
      </c>
      <c r="C498" s="3">
        <f>SUMIFS(df_extrato_zig!E:E,df_extrato_zig!L:L,Conciliacao!A498,df_extrato_zig!F:F,"DINHEIRO")</f>
        <v/>
      </c>
      <c r="D498" s="3">
        <f>SUMIFS(view_parc_agrup!H:H,view_parc_agrup!G:G,Conciliacao!A498)</f>
        <v/>
      </c>
      <c r="E498" s="3">
        <f>SUMIFS(df_eventos!F:F,df_eventos!H:H,Conciliacao!A498)</f>
        <v/>
      </c>
      <c r="F498" s="3">
        <f>SUMIFS(df_mutuos!M:M,df_mutuos!B:B,Conciliacao!A498)</f>
        <v/>
      </c>
      <c r="G498" s="6">
        <f>SUMIFS(df_bloqueios_judiciais!G:G,df_bloqueios_judiciais!D:D,Conciliacao!A498,df_bloqueios_judiciais!G:G,"&gt;0")</f>
        <v/>
      </c>
      <c r="H498" s="7">
        <f>SUMIFS(df_extratos!I:I,df_extratos!F:F,Conciliacao!BE498,df_extratos!G:G,"CREDITO")+SUMIFS(df_extratos!I:I,df_extratos!F:F,Conciliacao!A498,df_extratos!G:G,"CREDITO")+SUMIFS(df_extratos!I:I,df_extratos!F:F,Conciliacao!BF498,df_extratos!G:G,"CREDITO")+SUMIFS(df_extratos!I:I,df_extratos!F:F,Conciliacao!BG498,df_extratos!G:G,"CREDITO")+SUMIFS(df_extratos!I:I,df_extratos!F:F,Conciliacao!BH498,df_extratos!G:G,"CREDITO")</f>
        <v/>
      </c>
      <c r="I498" s="9">
        <f>H498-SUM(B498:G498)</f>
        <v/>
      </c>
      <c r="J498" s="4">
        <f>SUMIFS(df_blueme_sem_parcelamento!E:E,df_blueme_sem_parcelamento!H:H,Conciliacao!A498)*(-1)</f>
        <v/>
      </c>
      <c r="K498" s="4">
        <f>SUMIFS(df_blueme_com_parcelamento!J:J,df_blueme_com_parcelamento!M:M,Conciliacao!A498)*(-1)</f>
        <v/>
      </c>
      <c r="L498" s="4">
        <f>SUMIFS(df_mutuos!N:N,df_mutuos!B:B,Conciliacao!A498)*(-1)</f>
        <v/>
      </c>
      <c r="M498" s="8">
        <f>SUMIFS(df_bloqueios_judiciais!G:G,df_bloqueios_judiciais!D:D,Conciliacao!A498,df_bloqueios_judiciais!G:G,"&lt;0")</f>
        <v/>
      </c>
      <c r="N498" s="10">
        <f>SUMIFS(df_extratos!I:I,df_extratos!F:F,Conciliacao!BE498,df_extratos!G:G,"DEBITO")+SUMIFS(df_extratos!I:I,df_extratos!F:F,Conciliacao!A498,df_extratos!G:G,"DEBITO")+SUMIFS(df_extratos!I:I,df_extratos!F:F,Conciliacao!BF498,df_extratos!G:G,"DEBITO")+SUMIFS(df_extratos!I:I,df_extratos!F:F,Conciliacao!BG498,df_extratos!G:G,"DEBITO")+SUMIFS(df_extratos!I:I,df_extratos!F:F,Conciliacao!BH498,df_extratos!G:G,"DEBITO")</f>
        <v/>
      </c>
      <c r="O498" s="11">
        <f>N498-SUM(J498:M498)</f>
        <v/>
      </c>
      <c r="P498" s="25">
        <f>SUMIFS(df_ajustes_conciliaco!D:D,df_ajustes_conciliaco!C:C,Conciliacao!A498)</f>
        <v/>
      </c>
      <c r="Q498" s="22">
        <f>O498+I498-P498</f>
        <v/>
      </c>
      <c r="BE498" s="20" t="n">
        <v>46154.5</v>
      </c>
      <c r="BF498" s="20" t="n">
        <v>46154.125</v>
      </c>
      <c r="BG498" s="20" t="n">
        <v>46154.5416666088</v>
      </c>
      <c r="BH498" s="20" t="n">
        <v>46154.625</v>
      </c>
    </row>
    <row r="499">
      <c r="A499" s="5">
        <f>A498+1</f>
        <v/>
      </c>
      <c r="B499" s="3">
        <f>-SUMIFS(df_extrato_zig!G:G,df_extrato_zig!E:E,Conciliacao!A499,df_extrato_zig!D:D,"Saque")-SUMIFS(df_extrato_zig!G:G,df_extrato_zig!E:E,Conciliacao!A499,df_extrato_zig!D:D,"Antecipação")</f>
        <v/>
      </c>
      <c r="C499" s="3">
        <f>SUMIFS(df_extrato_zig!E:E,df_extrato_zig!L:L,Conciliacao!A499,df_extrato_zig!F:F,"DINHEIRO")</f>
        <v/>
      </c>
      <c r="D499" s="3">
        <f>SUMIFS(view_parc_agrup!H:H,view_parc_agrup!G:G,Conciliacao!A499)</f>
        <v/>
      </c>
      <c r="E499" s="3">
        <f>SUMIFS(df_eventos!F:F,df_eventos!H:H,Conciliacao!A499)</f>
        <v/>
      </c>
      <c r="F499" s="3">
        <f>SUMIFS(df_mutuos!M:M,df_mutuos!B:B,Conciliacao!A499)</f>
        <v/>
      </c>
      <c r="G499" s="6">
        <f>SUMIFS(df_bloqueios_judiciais!G:G,df_bloqueios_judiciais!D:D,Conciliacao!A499,df_bloqueios_judiciais!G:G,"&gt;0")</f>
        <v/>
      </c>
      <c r="H499" s="7">
        <f>SUMIFS(df_extratos!I:I,df_extratos!F:F,Conciliacao!BE499,df_extratos!G:G,"CREDITO")+SUMIFS(df_extratos!I:I,df_extratos!F:F,Conciliacao!A499,df_extratos!G:G,"CREDITO")+SUMIFS(df_extratos!I:I,df_extratos!F:F,Conciliacao!BF499,df_extratos!G:G,"CREDITO")+SUMIFS(df_extratos!I:I,df_extratos!F:F,Conciliacao!BG499,df_extratos!G:G,"CREDITO")+SUMIFS(df_extratos!I:I,df_extratos!F:F,Conciliacao!BH499,df_extratos!G:G,"CREDITO")</f>
        <v/>
      </c>
      <c r="I499" s="9">
        <f>H499-SUM(B499:G499)</f>
        <v/>
      </c>
      <c r="J499" s="4">
        <f>SUMIFS(df_blueme_sem_parcelamento!E:E,df_blueme_sem_parcelamento!H:H,Conciliacao!A499)*(-1)</f>
        <v/>
      </c>
      <c r="K499" s="4">
        <f>SUMIFS(df_blueme_com_parcelamento!J:J,df_blueme_com_parcelamento!M:M,Conciliacao!A499)*(-1)</f>
        <v/>
      </c>
      <c r="L499" s="4">
        <f>SUMIFS(df_mutuos!N:N,df_mutuos!B:B,Conciliacao!A499)*(-1)</f>
        <v/>
      </c>
      <c r="M499" s="8">
        <f>SUMIFS(df_bloqueios_judiciais!G:G,df_bloqueios_judiciais!D:D,Conciliacao!A499,df_bloqueios_judiciais!G:G,"&lt;0")</f>
        <v/>
      </c>
      <c r="N499" s="10">
        <f>SUMIFS(df_extratos!I:I,df_extratos!F:F,Conciliacao!BE499,df_extratos!G:G,"DEBITO")+SUMIFS(df_extratos!I:I,df_extratos!F:F,Conciliacao!A499,df_extratos!G:G,"DEBITO")+SUMIFS(df_extratos!I:I,df_extratos!F:F,Conciliacao!BF499,df_extratos!G:G,"DEBITO")+SUMIFS(df_extratos!I:I,df_extratos!F:F,Conciliacao!BG499,df_extratos!G:G,"DEBITO")+SUMIFS(df_extratos!I:I,df_extratos!F:F,Conciliacao!BH499,df_extratos!G:G,"DEBITO")</f>
        <v/>
      </c>
      <c r="O499" s="11">
        <f>N499-SUM(J499:M499)</f>
        <v/>
      </c>
      <c r="P499" s="25">
        <f>SUMIFS(df_ajustes_conciliaco!D:D,df_ajustes_conciliaco!C:C,Conciliacao!A499)</f>
        <v/>
      </c>
      <c r="Q499" s="22">
        <f>O499+I499-P499</f>
        <v/>
      </c>
      <c r="BE499" s="20" t="n">
        <v>46155.5</v>
      </c>
      <c r="BF499" s="20" t="n">
        <v>46155.125</v>
      </c>
      <c r="BG499" s="20" t="n">
        <v>46155.5416666088</v>
      </c>
      <c r="BH499" s="20" t="n">
        <v>46155.625</v>
      </c>
    </row>
    <row r="500">
      <c r="A500" s="5">
        <f>A499+1</f>
        <v/>
      </c>
      <c r="B500" s="3">
        <f>-SUMIFS(df_extrato_zig!G:G,df_extrato_zig!E:E,Conciliacao!A500,df_extrato_zig!D:D,"Saque")-SUMIFS(df_extrato_zig!G:G,df_extrato_zig!E:E,Conciliacao!A500,df_extrato_zig!D:D,"Antecipação")</f>
        <v/>
      </c>
      <c r="C500" s="3">
        <f>SUMIFS(df_extrato_zig!E:E,df_extrato_zig!L:L,Conciliacao!A500,df_extrato_zig!F:F,"DINHEIRO")</f>
        <v/>
      </c>
      <c r="D500" s="3">
        <f>SUMIFS(view_parc_agrup!H:H,view_parc_agrup!G:G,Conciliacao!A500)</f>
        <v/>
      </c>
      <c r="E500" s="3">
        <f>SUMIFS(df_eventos!F:F,df_eventos!H:H,Conciliacao!A500)</f>
        <v/>
      </c>
      <c r="F500" s="3">
        <f>SUMIFS(df_mutuos!M:M,df_mutuos!B:B,Conciliacao!A500)</f>
        <v/>
      </c>
      <c r="G500" s="6">
        <f>SUMIFS(df_bloqueios_judiciais!G:G,df_bloqueios_judiciais!D:D,Conciliacao!A500,df_bloqueios_judiciais!G:G,"&gt;0")</f>
        <v/>
      </c>
      <c r="H500" s="7">
        <f>SUMIFS(df_extratos!I:I,df_extratos!F:F,Conciliacao!BE500,df_extratos!G:G,"CREDITO")+SUMIFS(df_extratos!I:I,df_extratos!F:F,Conciliacao!A500,df_extratos!G:G,"CREDITO")+SUMIFS(df_extratos!I:I,df_extratos!F:F,Conciliacao!BF500,df_extratos!G:G,"CREDITO")+SUMIFS(df_extratos!I:I,df_extratos!F:F,Conciliacao!BG500,df_extratos!G:G,"CREDITO")+SUMIFS(df_extratos!I:I,df_extratos!F:F,Conciliacao!BH500,df_extratos!G:G,"CREDITO")</f>
        <v/>
      </c>
      <c r="I500" s="9">
        <f>H500-SUM(B500:G500)</f>
        <v/>
      </c>
      <c r="J500" s="4">
        <f>SUMIFS(df_blueme_sem_parcelamento!E:E,df_blueme_sem_parcelamento!H:H,Conciliacao!A500)*(-1)</f>
        <v/>
      </c>
      <c r="K500" s="4">
        <f>SUMIFS(df_blueme_com_parcelamento!J:J,df_blueme_com_parcelamento!M:M,Conciliacao!A500)*(-1)</f>
        <v/>
      </c>
      <c r="L500" s="4">
        <f>SUMIFS(df_mutuos!N:N,df_mutuos!B:B,Conciliacao!A500)*(-1)</f>
        <v/>
      </c>
      <c r="M500" s="8">
        <f>SUMIFS(df_bloqueios_judiciais!G:G,df_bloqueios_judiciais!D:D,Conciliacao!A500,df_bloqueios_judiciais!G:G,"&lt;0")</f>
        <v/>
      </c>
      <c r="N500" s="10">
        <f>SUMIFS(df_extratos!I:I,df_extratos!F:F,Conciliacao!BE500,df_extratos!G:G,"DEBITO")+SUMIFS(df_extratos!I:I,df_extratos!F:F,Conciliacao!A500,df_extratos!G:G,"DEBITO")+SUMIFS(df_extratos!I:I,df_extratos!F:F,Conciliacao!BF500,df_extratos!G:G,"DEBITO")+SUMIFS(df_extratos!I:I,df_extratos!F:F,Conciliacao!BG500,df_extratos!G:G,"DEBITO")+SUMIFS(df_extratos!I:I,df_extratos!F:F,Conciliacao!BH500,df_extratos!G:G,"DEBITO")</f>
        <v/>
      </c>
      <c r="O500" s="11">
        <f>N500-SUM(J500:M500)</f>
        <v/>
      </c>
      <c r="P500" s="25">
        <f>SUMIFS(df_ajustes_conciliaco!D:D,df_ajustes_conciliaco!C:C,Conciliacao!A500)</f>
        <v/>
      </c>
      <c r="Q500" s="22">
        <f>O500+I500-P500</f>
        <v/>
      </c>
      <c r="BE500" s="20" t="n">
        <v>46156.5</v>
      </c>
      <c r="BF500" s="20" t="n">
        <v>46156.125</v>
      </c>
      <c r="BG500" s="20" t="n">
        <v>46156.5416666088</v>
      </c>
      <c r="BH500" s="20" t="n">
        <v>46156.625</v>
      </c>
    </row>
    <row r="501">
      <c r="A501" s="5">
        <f>A500+1</f>
        <v/>
      </c>
      <c r="B501" s="3">
        <f>-SUMIFS(df_extrato_zig!G:G,df_extrato_zig!E:E,Conciliacao!A501,df_extrato_zig!D:D,"Saque")-SUMIFS(df_extrato_zig!G:G,df_extrato_zig!E:E,Conciliacao!A501,df_extrato_zig!D:D,"Antecipação")</f>
        <v/>
      </c>
      <c r="C501" s="3">
        <f>SUMIFS(df_extrato_zig!E:E,df_extrato_zig!L:L,Conciliacao!A501,df_extrato_zig!F:F,"DINHEIRO")</f>
        <v/>
      </c>
      <c r="D501" s="3">
        <f>SUMIFS(view_parc_agrup!H:H,view_parc_agrup!G:G,Conciliacao!A501)</f>
        <v/>
      </c>
      <c r="E501" s="3">
        <f>SUMIFS(df_eventos!F:F,df_eventos!H:H,Conciliacao!A501)</f>
        <v/>
      </c>
      <c r="F501" s="3">
        <f>SUMIFS(df_mutuos!M:M,df_mutuos!B:B,Conciliacao!A501)</f>
        <v/>
      </c>
      <c r="G501" s="6">
        <f>SUMIFS(df_bloqueios_judiciais!G:G,df_bloqueios_judiciais!D:D,Conciliacao!A501,df_bloqueios_judiciais!G:G,"&gt;0")</f>
        <v/>
      </c>
      <c r="H501" s="7">
        <f>SUMIFS(df_extratos!I:I,df_extratos!F:F,Conciliacao!BE501,df_extratos!G:G,"CREDITO")+SUMIFS(df_extratos!I:I,df_extratos!F:F,Conciliacao!A501,df_extratos!G:G,"CREDITO")+SUMIFS(df_extratos!I:I,df_extratos!F:F,Conciliacao!BF501,df_extratos!G:G,"CREDITO")+SUMIFS(df_extratos!I:I,df_extratos!F:F,Conciliacao!BG501,df_extratos!G:G,"CREDITO")+SUMIFS(df_extratos!I:I,df_extratos!F:F,Conciliacao!BH501,df_extratos!G:G,"CREDITO")</f>
        <v/>
      </c>
      <c r="I501" s="9">
        <f>H501-SUM(B501:G501)</f>
        <v/>
      </c>
      <c r="J501" s="4">
        <f>SUMIFS(df_blueme_sem_parcelamento!E:E,df_blueme_sem_parcelamento!H:H,Conciliacao!A501)*(-1)</f>
        <v/>
      </c>
      <c r="K501" s="4">
        <f>SUMIFS(df_blueme_com_parcelamento!J:J,df_blueme_com_parcelamento!M:M,Conciliacao!A501)*(-1)</f>
        <v/>
      </c>
      <c r="L501" s="4">
        <f>SUMIFS(df_mutuos!N:N,df_mutuos!B:B,Conciliacao!A501)*(-1)</f>
        <v/>
      </c>
      <c r="M501" s="8">
        <f>SUMIFS(df_bloqueios_judiciais!G:G,df_bloqueios_judiciais!D:D,Conciliacao!A501,df_bloqueios_judiciais!G:G,"&lt;0")</f>
        <v/>
      </c>
      <c r="N501" s="10">
        <f>SUMIFS(df_extratos!I:I,df_extratos!F:F,Conciliacao!BE501,df_extratos!G:G,"DEBITO")+SUMIFS(df_extratos!I:I,df_extratos!F:F,Conciliacao!A501,df_extratos!G:G,"DEBITO")+SUMIFS(df_extratos!I:I,df_extratos!F:F,Conciliacao!BF501,df_extratos!G:G,"DEBITO")+SUMIFS(df_extratos!I:I,df_extratos!F:F,Conciliacao!BG501,df_extratos!G:G,"DEBITO")+SUMIFS(df_extratos!I:I,df_extratos!F:F,Conciliacao!BH501,df_extratos!G:G,"DEBITO")</f>
        <v/>
      </c>
      <c r="O501" s="11">
        <f>N501-SUM(J501:M501)</f>
        <v/>
      </c>
      <c r="P501" s="25">
        <f>SUMIFS(df_ajustes_conciliaco!D:D,df_ajustes_conciliaco!C:C,Conciliacao!A501)</f>
        <v/>
      </c>
      <c r="Q501" s="22">
        <f>O501+I501-P501</f>
        <v/>
      </c>
      <c r="BE501" s="20" t="n">
        <v>46157.5</v>
      </c>
      <c r="BF501" s="20" t="n">
        <v>46157.125</v>
      </c>
      <c r="BG501" s="20" t="n">
        <v>46157.5416666088</v>
      </c>
      <c r="BH501" s="20" t="n">
        <v>46157.625</v>
      </c>
    </row>
    <row r="502">
      <c r="A502" s="5">
        <f>A501+1</f>
        <v/>
      </c>
      <c r="B502" s="3">
        <f>-SUMIFS(df_extrato_zig!G:G,df_extrato_zig!E:E,Conciliacao!A502,df_extrato_zig!D:D,"Saque")-SUMIFS(df_extrato_zig!G:G,df_extrato_zig!E:E,Conciliacao!A502,df_extrato_zig!D:D,"Antecipação")</f>
        <v/>
      </c>
      <c r="C502" s="3">
        <f>SUMIFS(df_extrato_zig!E:E,df_extrato_zig!L:L,Conciliacao!A502,df_extrato_zig!F:F,"DINHEIRO")</f>
        <v/>
      </c>
      <c r="D502" s="3">
        <f>SUMIFS(view_parc_agrup!H:H,view_parc_agrup!G:G,Conciliacao!A502)</f>
        <v/>
      </c>
      <c r="E502" s="3">
        <f>SUMIFS(df_eventos!F:F,df_eventos!H:H,Conciliacao!A502)</f>
        <v/>
      </c>
      <c r="F502" s="3">
        <f>SUMIFS(df_mutuos!M:M,df_mutuos!B:B,Conciliacao!A502)</f>
        <v/>
      </c>
      <c r="G502" s="6">
        <f>SUMIFS(df_bloqueios_judiciais!G:G,df_bloqueios_judiciais!D:D,Conciliacao!A502,df_bloqueios_judiciais!G:G,"&gt;0")</f>
        <v/>
      </c>
      <c r="H502" s="7">
        <f>SUMIFS(df_extratos!I:I,df_extratos!F:F,Conciliacao!BE502,df_extratos!G:G,"CREDITO")+SUMIFS(df_extratos!I:I,df_extratos!F:F,Conciliacao!A502,df_extratos!G:G,"CREDITO")+SUMIFS(df_extratos!I:I,df_extratos!F:F,Conciliacao!BF502,df_extratos!G:G,"CREDITO")+SUMIFS(df_extratos!I:I,df_extratos!F:F,Conciliacao!BG502,df_extratos!G:G,"CREDITO")+SUMIFS(df_extratos!I:I,df_extratos!F:F,Conciliacao!BH502,df_extratos!G:G,"CREDITO")</f>
        <v/>
      </c>
      <c r="I502" s="9">
        <f>H502-SUM(B502:G502)</f>
        <v/>
      </c>
      <c r="J502" s="4">
        <f>SUMIFS(df_blueme_sem_parcelamento!E:E,df_blueme_sem_parcelamento!H:H,Conciliacao!A502)*(-1)</f>
        <v/>
      </c>
      <c r="K502" s="4">
        <f>SUMIFS(df_blueme_com_parcelamento!J:J,df_blueme_com_parcelamento!M:M,Conciliacao!A502)*(-1)</f>
        <v/>
      </c>
      <c r="L502" s="4">
        <f>SUMIFS(df_mutuos!N:N,df_mutuos!B:B,Conciliacao!A502)*(-1)</f>
        <v/>
      </c>
      <c r="M502" s="8">
        <f>SUMIFS(df_bloqueios_judiciais!G:G,df_bloqueios_judiciais!D:D,Conciliacao!A502,df_bloqueios_judiciais!G:G,"&lt;0")</f>
        <v/>
      </c>
      <c r="N502" s="10">
        <f>SUMIFS(df_extratos!I:I,df_extratos!F:F,Conciliacao!BE502,df_extratos!G:G,"DEBITO")+SUMIFS(df_extratos!I:I,df_extratos!F:F,Conciliacao!A502,df_extratos!G:G,"DEBITO")+SUMIFS(df_extratos!I:I,df_extratos!F:F,Conciliacao!BF502,df_extratos!G:G,"DEBITO")+SUMIFS(df_extratos!I:I,df_extratos!F:F,Conciliacao!BG502,df_extratos!G:G,"DEBITO")+SUMIFS(df_extratos!I:I,df_extratos!F:F,Conciliacao!BH502,df_extratos!G:G,"DEBITO")</f>
        <v/>
      </c>
      <c r="O502" s="11">
        <f>N502-SUM(J502:M502)</f>
        <v/>
      </c>
      <c r="P502" s="25">
        <f>SUMIFS(df_ajustes_conciliaco!D:D,df_ajustes_conciliaco!C:C,Conciliacao!A502)</f>
        <v/>
      </c>
      <c r="Q502" s="22">
        <f>O502+I502-P502</f>
        <v/>
      </c>
      <c r="BE502" s="20" t="n">
        <v>46158.5</v>
      </c>
      <c r="BF502" s="20" t="n">
        <v>46158.125</v>
      </c>
      <c r="BG502" s="20" t="n">
        <v>46158.5416666088</v>
      </c>
      <c r="BH502" s="20" t="n">
        <v>46158.625</v>
      </c>
    </row>
    <row r="503">
      <c r="A503" s="5">
        <f>A502+1</f>
        <v/>
      </c>
      <c r="B503" s="3">
        <f>-SUMIFS(df_extrato_zig!G:G,df_extrato_zig!E:E,Conciliacao!A503,df_extrato_zig!D:D,"Saque")-SUMIFS(df_extrato_zig!G:G,df_extrato_zig!E:E,Conciliacao!A503,df_extrato_zig!D:D,"Antecipação")</f>
        <v/>
      </c>
      <c r="C503" s="3">
        <f>SUMIFS(df_extrato_zig!E:E,df_extrato_zig!L:L,Conciliacao!A503,df_extrato_zig!F:F,"DINHEIRO")</f>
        <v/>
      </c>
      <c r="D503" s="3">
        <f>SUMIFS(view_parc_agrup!H:H,view_parc_agrup!G:G,Conciliacao!A503)</f>
        <v/>
      </c>
      <c r="E503" s="3">
        <f>SUMIFS(df_eventos!F:F,df_eventos!H:H,Conciliacao!A503)</f>
        <v/>
      </c>
      <c r="F503" s="3">
        <f>SUMIFS(df_mutuos!M:M,df_mutuos!B:B,Conciliacao!A503)</f>
        <v/>
      </c>
      <c r="G503" s="6">
        <f>SUMIFS(df_bloqueios_judiciais!G:G,df_bloqueios_judiciais!D:D,Conciliacao!A503,df_bloqueios_judiciais!G:G,"&gt;0")</f>
        <v/>
      </c>
      <c r="H503" s="7">
        <f>SUMIFS(df_extratos!I:I,df_extratos!F:F,Conciliacao!BE503,df_extratos!G:G,"CREDITO")+SUMIFS(df_extratos!I:I,df_extratos!F:F,Conciliacao!A503,df_extratos!G:G,"CREDITO")+SUMIFS(df_extratos!I:I,df_extratos!F:F,Conciliacao!BF503,df_extratos!G:G,"CREDITO")+SUMIFS(df_extratos!I:I,df_extratos!F:F,Conciliacao!BG503,df_extratos!G:G,"CREDITO")+SUMIFS(df_extratos!I:I,df_extratos!F:F,Conciliacao!BH503,df_extratos!G:G,"CREDITO")</f>
        <v/>
      </c>
      <c r="I503" s="9">
        <f>H503-SUM(B503:G503)</f>
        <v/>
      </c>
      <c r="J503" s="4">
        <f>SUMIFS(df_blueme_sem_parcelamento!E:E,df_blueme_sem_parcelamento!H:H,Conciliacao!A503)*(-1)</f>
        <v/>
      </c>
      <c r="K503" s="4">
        <f>SUMIFS(df_blueme_com_parcelamento!J:J,df_blueme_com_parcelamento!M:M,Conciliacao!A503)*(-1)</f>
        <v/>
      </c>
      <c r="L503" s="4">
        <f>SUMIFS(df_mutuos!N:N,df_mutuos!B:B,Conciliacao!A503)*(-1)</f>
        <v/>
      </c>
      <c r="M503" s="8">
        <f>SUMIFS(df_bloqueios_judiciais!G:G,df_bloqueios_judiciais!D:D,Conciliacao!A503,df_bloqueios_judiciais!G:G,"&lt;0")</f>
        <v/>
      </c>
      <c r="N503" s="10">
        <f>SUMIFS(df_extratos!I:I,df_extratos!F:F,Conciliacao!BE503,df_extratos!G:G,"DEBITO")+SUMIFS(df_extratos!I:I,df_extratos!F:F,Conciliacao!A503,df_extratos!G:G,"DEBITO")+SUMIFS(df_extratos!I:I,df_extratos!F:F,Conciliacao!BF503,df_extratos!G:G,"DEBITO")+SUMIFS(df_extratos!I:I,df_extratos!F:F,Conciliacao!BG503,df_extratos!G:G,"DEBITO")+SUMIFS(df_extratos!I:I,df_extratos!F:F,Conciliacao!BH503,df_extratos!G:G,"DEBITO")</f>
        <v/>
      </c>
      <c r="O503" s="11">
        <f>N503-SUM(J503:M503)</f>
        <v/>
      </c>
      <c r="P503" s="25">
        <f>SUMIFS(df_ajustes_conciliaco!D:D,df_ajustes_conciliaco!C:C,Conciliacao!A503)</f>
        <v/>
      </c>
      <c r="Q503" s="22">
        <f>O503+I503-P503</f>
        <v/>
      </c>
      <c r="BE503" s="20" t="n">
        <v>46159.5</v>
      </c>
      <c r="BF503" s="20" t="n">
        <v>46159.125</v>
      </c>
      <c r="BG503" s="20" t="n">
        <v>46159.5416666088</v>
      </c>
      <c r="BH503" s="20" t="n">
        <v>46159.625</v>
      </c>
    </row>
    <row r="504">
      <c r="A504" s="5">
        <f>A503+1</f>
        <v/>
      </c>
      <c r="B504" s="3">
        <f>-SUMIFS(df_extrato_zig!G:G,df_extrato_zig!E:E,Conciliacao!A504,df_extrato_zig!D:D,"Saque")-SUMIFS(df_extrato_zig!G:G,df_extrato_zig!E:E,Conciliacao!A504,df_extrato_zig!D:D,"Antecipação")</f>
        <v/>
      </c>
      <c r="C504" s="3">
        <f>SUMIFS(df_extrato_zig!E:E,df_extrato_zig!L:L,Conciliacao!A504,df_extrato_zig!F:F,"DINHEIRO")</f>
        <v/>
      </c>
      <c r="D504" s="3">
        <f>SUMIFS(view_parc_agrup!H:H,view_parc_agrup!G:G,Conciliacao!A504)</f>
        <v/>
      </c>
      <c r="E504" s="3">
        <f>SUMIFS(df_eventos!F:F,df_eventos!H:H,Conciliacao!A504)</f>
        <v/>
      </c>
      <c r="F504" s="3">
        <f>SUMIFS(df_mutuos!M:M,df_mutuos!B:B,Conciliacao!A504)</f>
        <v/>
      </c>
      <c r="G504" s="6">
        <f>SUMIFS(df_bloqueios_judiciais!G:G,df_bloqueios_judiciais!D:D,Conciliacao!A504,df_bloqueios_judiciais!G:G,"&gt;0")</f>
        <v/>
      </c>
      <c r="H504" s="7">
        <f>SUMIFS(df_extratos!I:I,df_extratos!F:F,Conciliacao!BE504,df_extratos!G:G,"CREDITO")+SUMIFS(df_extratos!I:I,df_extratos!F:F,Conciliacao!A504,df_extratos!G:G,"CREDITO")+SUMIFS(df_extratos!I:I,df_extratos!F:F,Conciliacao!BF504,df_extratos!G:G,"CREDITO")+SUMIFS(df_extratos!I:I,df_extratos!F:F,Conciliacao!BG504,df_extratos!G:G,"CREDITO")+SUMIFS(df_extratos!I:I,df_extratos!F:F,Conciliacao!BH504,df_extratos!G:G,"CREDITO")</f>
        <v/>
      </c>
      <c r="I504" s="9">
        <f>H504-SUM(B504:G504)</f>
        <v/>
      </c>
      <c r="J504" s="4">
        <f>SUMIFS(df_blueme_sem_parcelamento!E:E,df_blueme_sem_parcelamento!H:H,Conciliacao!A504)*(-1)</f>
        <v/>
      </c>
      <c r="K504" s="4">
        <f>SUMIFS(df_blueme_com_parcelamento!J:J,df_blueme_com_parcelamento!M:M,Conciliacao!A504)*(-1)</f>
        <v/>
      </c>
      <c r="L504" s="4">
        <f>SUMIFS(df_mutuos!N:N,df_mutuos!B:B,Conciliacao!A504)*(-1)</f>
        <v/>
      </c>
      <c r="M504" s="8">
        <f>SUMIFS(df_bloqueios_judiciais!G:G,df_bloqueios_judiciais!D:D,Conciliacao!A504,df_bloqueios_judiciais!G:G,"&lt;0")</f>
        <v/>
      </c>
      <c r="N504" s="10">
        <f>SUMIFS(df_extratos!I:I,df_extratos!F:F,Conciliacao!BE504,df_extratos!G:G,"DEBITO")+SUMIFS(df_extratos!I:I,df_extratos!F:F,Conciliacao!A504,df_extratos!G:G,"DEBITO")+SUMIFS(df_extratos!I:I,df_extratos!F:F,Conciliacao!BF504,df_extratos!G:G,"DEBITO")+SUMIFS(df_extratos!I:I,df_extratos!F:F,Conciliacao!BG504,df_extratos!G:G,"DEBITO")+SUMIFS(df_extratos!I:I,df_extratos!F:F,Conciliacao!BH504,df_extratos!G:G,"DEBITO")</f>
        <v/>
      </c>
      <c r="O504" s="11">
        <f>N504-SUM(J504:M504)</f>
        <v/>
      </c>
      <c r="P504" s="25">
        <f>SUMIFS(df_ajustes_conciliaco!D:D,df_ajustes_conciliaco!C:C,Conciliacao!A504)</f>
        <v/>
      </c>
      <c r="Q504" s="22">
        <f>O504+I504-P504</f>
        <v/>
      </c>
      <c r="BE504" s="20" t="n">
        <v>46160.5</v>
      </c>
      <c r="BF504" s="20" t="n">
        <v>46160.125</v>
      </c>
      <c r="BG504" s="20" t="n">
        <v>46160.5416666088</v>
      </c>
      <c r="BH504" s="20" t="n">
        <v>46160.625</v>
      </c>
    </row>
    <row r="505">
      <c r="A505" s="5">
        <f>A504+1</f>
        <v/>
      </c>
      <c r="B505" s="3">
        <f>-SUMIFS(df_extrato_zig!G:G,df_extrato_zig!E:E,Conciliacao!A505,df_extrato_zig!D:D,"Saque")-SUMIFS(df_extrato_zig!G:G,df_extrato_zig!E:E,Conciliacao!A505,df_extrato_zig!D:D,"Antecipação")</f>
        <v/>
      </c>
      <c r="C505" s="3">
        <f>SUMIFS(df_extrato_zig!E:E,df_extrato_zig!L:L,Conciliacao!A505,df_extrato_zig!F:F,"DINHEIRO")</f>
        <v/>
      </c>
      <c r="D505" s="3">
        <f>SUMIFS(view_parc_agrup!H:H,view_parc_agrup!G:G,Conciliacao!A505)</f>
        <v/>
      </c>
      <c r="E505" s="3">
        <f>SUMIFS(df_eventos!F:F,df_eventos!H:H,Conciliacao!A505)</f>
        <v/>
      </c>
      <c r="F505" s="3">
        <f>SUMIFS(df_mutuos!M:M,df_mutuos!B:B,Conciliacao!A505)</f>
        <v/>
      </c>
      <c r="G505" s="6">
        <f>SUMIFS(df_bloqueios_judiciais!G:G,df_bloqueios_judiciais!D:D,Conciliacao!A505,df_bloqueios_judiciais!G:G,"&gt;0")</f>
        <v/>
      </c>
      <c r="H505" s="7">
        <f>SUMIFS(df_extratos!I:I,df_extratos!F:F,Conciliacao!BE505,df_extratos!G:G,"CREDITO")+SUMIFS(df_extratos!I:I,df_extratos!F:F,Conciliacao!A505,df_extratos!G:G,"CREDITO")+SUMIFS(df_extratos!I:I,df_extratos!F:F,Conciliacao!BF505,df_extratos!G:G,"CREDITO")+SUMIFS(df_extratos!I:I,df_extratos!F:F,Conciliacao!BG505,df_extratos!G:G,"CREDITO")+SUMIFS(df_extratos!I:I,df_extratos!F:F,Conciliacao!BH505,df_extratos!G:G,"CREDITO")</f>
        <v/>
      </c>
      <c r="I505" s="9">
        <f>H505-SUM(B505:G505)</f>
        <v/>
      </c>
      <c r="J505" s="4">
        <f>SUMIFS(df_blueme_sem_parcelamento!E:E,df_blueme_sem_parcelamento!H:H,Conciliacao!A505)*(-1)</f>
        <v/>
      </c>
      <c r="K505" s="4">
        <f>SUMIFS(df_blueme_com_parcelamento!J:J,df_blueme_com_parcelamento!M:M,Conciliacao!A505)*(-1)</f>
        <v/>
      </c>
      <c r="L505" s="4">
        <f>SUMIFS(df_mutuos!N:N,df_mutuos!B:B,Conciliacao!A505)*(-1)</f>
        <v/>
      </c>
      <c r="M505" s="8">
        <f>SUMIFS(df_bloqueios_judiciais!G:G,df_bloqueios_judiciais!D:D,Conciliacao!A505,df_bloqueios_judiciais!G:G,"&lt;0")</f>
        <v/>
      </c>
      <c r="N505" s="10">
        <f>SUMIFS(df_extratos!I:I,df_extratos!F:F,Conciliacao!BE505,df_extratos!G:G,"DEBITO")+SUMIFS(df_extratos!I:I,df_extratos!F:F,Conciliacao!A505,df_extratos!G:G,"DEBITO")+SUMIFS(df_extratos!I:I,df_extratos!F:F,Conciliacao!BF505,df_extratos!G:G,"DEBITO")+SUMIFS(df_extratos!I:I,df_extratos!F:F,Conciliacao!BG505,df_extratos!G:G,"DEBITO")+SUMIFS(df_extratos!I:I,df_extratos!F:F,Conciliacao!BH505,df_extratos!G:G,"DEBITO")</f>
        <v/>
      </c>
      <c r="O505" s="11">
        <f>N505-SUM(J505:M505)</f>
        <v/>
      </c>
      <c r="P505" s="25">
        <f>SUMIFS(df_ajustes_conciliaco!D:D,df_ajustes_conciliaco!C:C,Conciliacao!A505)</f>
        <v/>
      </c>
      <c r="Q505" s="22">
        <f>O505+I505-P505</f>
        <v/>
      </c>
      <c r="BE505" s="20" t="n">
        <v>46161.5</v>
      </c>
      <c r="BF505" s="20" t="n">
        <v>46161.125</v>
      </c>
      <c r="BG505" s="20" t="n">
        <v>46161.5416666088</v>
      </c>
      <c r="BH505" s="20" t="n">
        <v>46161.625</v>
      </c>
    </row>
    <row r="506">
      <c r="A506" s="5">
        <f>A505+1</f>
        <v/>
      </c>
      <c r="B506" s="3">
        <f>-SUMIFS(df_extrato_zig!G:G,df_extrato_zig!E:E,Conciliacao!A506,df_extrato_zig!D:D,"Saque")-SUMIFS(df_extrato_zig!G:G,df_extrato_zig!E:E,Conciliacao!A506,df_extrato_zig!D:D,"Antecipação")</f>
        <v/>
      </c>
      <c r="C506" s="3">
        <f>SUMIFS(df_extrato_zig!E:E,df_extrato_zig!L:L,Conciliacao!A506,df_extrato_zig!F:F,"DINHEIRO")</f>
        <v/>
      </c>
      <c r="D506" s="3">
        <f>SUMIFS(view_parc_agrup!H:H,view_parc_agrup!G:G,Conciliacao!A506)</f>
        <v/>
      </c>
      <c r="E506" s="3">
        <f>SUMIFS(df_eventos!F:F,df_eventos!H:H,Conciliacao!A506)</f>
        <v/>
      </c>
      <c r="F506" s="3">
        <f>SUMIFS(df_mutuos!M:M,df_mutuos!B:B,Conciliacao!A506)</f>
        <v/>
      </c>
      <c r="G506" s="6">
        <f>SUMIFS(df_bloqueios_judiciais!G:G,df_bloqueios_judiciais!D:D,Conciliacao!A506,df_bloqueios_judiciais!G:G,"&gt;0")</f>
        <v/>
      </c>
      <c r="H506" s="7">
        <f>SUMIFS(df_extratos!I:I,df_extratos!F:F,Conciliacao!BE506,df_extratos!G:G,"CREDITO")+SUMIFS(df_extratos!I:I,df_extratos!F:F,Conciliacao!A506,df_extratos!G:G,"CREDITO")+SUMIFS(df_extratos!I:I,df_extratos!F:F,Conciliacao!BF506,df_extratos!G:G,"CREDITO")+SUMIFS(df_extratos!I:I,df_extratos!F:F,Conciliacao!BG506,df_extratos!G:G,"CREDITO")+SUMIFS(df_extratos!I:I,df_extratos!F:F,Conciliacao!BH506,df_extratos!G:G,"CREDITO")</f>
        <v/>
      </c>
      <c r="I506" s="9">
        <f>H506-SUM(B506:G506)</f>
        <v/>
      </c>
      <c r="J506" s="4">
        <f>SUMIFS(df_blueme_sem_parcelamento!E:E,df_blueme_sem_parcelamento!H:H,Conciliacao!A506)*(-1)</f>
        <v/>
      </c>
      <c r="K506" s="4">
        <f>SUMIFS(df_blueme_com_parcelamento!J:J,df_blueme_com_parcelamento!M:M,Conciliacao!A506)*(-1)</f>
        <v/>
      </c>
      <c r="L506" s="4">
        <f>SUMIFS(df_mutuos!N:N,df_mutuos!B:B,Conciliacao!A506)*(-1)</f>
        <v/>
      </c>
      <c r="M506" s="8">
        <f>SUMIFS(df_bloqueios_judiciais!G:G,df_bloqueios_judiciais!D:D,Conciliacao!A506,df_bloqueios_judiciais!G:G,"&lt;0")</f>
        <v/>
      </c>
      <c r="N506" s="10">
        <f>SUMIFS(df_extratos!I:I,df_extratos!F:F,Conciliacao!BE506,df_extratos!G:G,"DEBITO")+SUMIFS(df_extratos!I:I,df_extratos!F:F,Conciliacao!A506,df_extratos!G:G,"DEBITO")+SUMIFS(df_extratos!I:I,df_extratos!F:F,Conciliacao!BF506,df_extratos!G:G,"DEBITO")+SUMIFS(df_extratos!I:I,df_extratos!F:F,Conciliacao!BG506,df_extratos!G:G,"DEBITO")+SUMIFS(df_extratos!I:I,df_extratos!F:F,Conciliacao!BH506,df_extratos!G:G,"DEBITO")</f>
        <v/>
      </c>
      <c r="O506" s="11">
        <f>N506-SUM(J506:M506)</f>
        <v/>
      </c>
      <c r="P506" s="25">
        <f>SUMIFS(df_ajustes_conciliaco!D:D,df_ajustes_conciliaco!C:C,Conciliacao!A506)</f>
        <v/>
      </c>
      <c r="Q506" s="22">
        <f>O506+I506-P506</f>
        <v/>
      </c>
      <c r="BE506" s="20" t="n">
        <v>46162.5</v>
      </c>
      <c r="BF506" s="20" t="n">
        <v>46162.125</v>
      </c>
      <c r="BG506" s="20" t="n">
        <v>46162.5416666088</v>
      </c>
      <c r="BH506" s="20" t="n">
        <v>46162.625</v>
      </c>
    </row>
    <row r="507">
      <c r="A507" s="5">
        <f>A506+1</f>
        <v/>
      </c>
      <c r="B507" s="3">
        <f>-SUMIFS(df_extrato_zig!G:G,df_extrato_zig!E:E,Conciliacao!A507,df_extrato_zig!D:D,"Saque")-SUMIFS(df_extrato_zig!G:G,df_extrato_zig!E:E,Conciliacao!A507,df_extrato_zig!D:D,"Antecipação")</f>
        <v/>
      </c>
      <c r="C507" s="3">
        <f>SUMIFS(df_extrato_zig!E:E,df_extrato_zig!L:L,Conciliacao!A507,df_extrato_zig!F:F,"DINHEIRO")</f>
        <v/>
      </c>
      <c r="D507" s="3">
        <f>SUMIFS(view_parc_agrup!H:H,view_parc_agrup!G:G,Conciliacao!A507)</f>
        <v/>
      </c>
      <c r="E507" s="3">
        <f>SUMIFS(df_eventos!F:F,df_eventos!H:H,Conciliacao!A507)</f>
        <v/>
      </c>
      <c r="F507" s="3">
        <f>SUMIFS(df_mutuos!M:M,df_mutuos!B:B,Conciliacao!A507)</f>
        <v/>
      </c>
      <c r="G507" s="6">
        <f>SUMIFS(df_bloqueios_judiciais!G:G,df_bloqueios_judiciais!D:D,Conciliacao!A507,df_bloqueios_judiciais!G:G,"&gt;0")</f>
        <v/>
      </c>
      <c r="H507" s="7">
        <f>SUMIFS(df_extratos!I:I,df_extratos!F:F,Conciliacao!BE507,df_extratos!G:G,"CREDITO")+SUMIFS(df_extratos!I:I,df_extratos!F:F,Conciliacao!A507,df_extratos!G:G,"CREDITO")+SUMIFS(df_extratos!I:I,df_extratos!F:F,Conciliacao!BF507,df_extratos!G:G,"CREDITO")+SUMIFS(df_extratos!I:I,df_extratos!F:F,Conciliacao!BG507,df_extratos!G:G,"CREDITO")+SUMIFS(df_extratos!I:I,df_extratos!F:F,Conciliacao!BH507,df_extratos!G:G,"CREDITO")</f>
        <v/>
      </c>
      <c r="I507" s="9">
        <f>H507-SUM(B507:G507)</f>
        <v/>
      </c>
      <c r="J507" s="4">
        <f>SUMIFS(df_blueme_sem_parcelamento!E:E,df_blueme_sem_parcelamento!H:H,Conciliacao!A507)*(-1)</f>
        <v/>
      </c>
      <c r="K507" s="4">
        <f>SUMIFS(df_blueme_com_parcelamento!J:J,df_blueme_com_parcelamento!M:M,Conciliacao!A507)*(-1)</f>
        <v/>
      </c>
      <c r="L507" s="4">
        <f>SUMIFS(df_mutuos!N:N,df_mutuos!B:B,Conciliacao!A507)*(-1)</f>
        <v/>
      </c>
      <c r="M507" s="8">
        <f>SUMIFS(df_bloqueios_judiciais!G:G,df_bloqueios_judiciais!D:D,Conciliacao!A507,df_bloqueios_judiciais!G:G,"&lt;0")</f>
        <v/>
      </c>
      <c r="N507" s="10">
        <f>SUMIFS(df_extratos!I:I,df_extratos!F:F,Conciliacao!BE507,df_extratos!G:G,"DEBITO")+SUMIFS(df_extratos!I:I,df_extratos!F:F,Conciliacao!A507,df_extratos!G:G,"DEBITO")+SUMIFS(df_extratos!I:I,df_extratos!F:F,Conciliacao!BF507,df_extratos!G:G,"DEBITO")+SUMIFS(df_extratos!I:I,df_extratos!F:F,Conciliacao!BG507,df_extratos!G:G,"DEBITO")+SUMIFS(df_extratos!I:I,df_extratos!F:F,Conciliacao!BH507,df_extratos!G:G,"DEBITO")</f>
        <v/>
      </c>
      <c r="O507" s="11">
        <f>N507-SUM(J507:M507)</f>
        <v/>
      </c>
      <c r="P507" s="25">
        <f>SUMIFS(df_ajustes_conciliaco!D:D,df_ajustes_conciliaco!C:C,Conciliacao!A507)</f>
        <v/>
      </c>
      <c r="Q507" s="22">
        <f>O507+I507-P507</f>
        <v/>
      </c>
      <c r="BE507" s="20" t="n">
        <v>46163.5</v>
      </c>
      <c r="BF507" s="20" t="n">
        <v>46163.125</v>
      </c>
      <c r="BG507" s="20" t="n">
        <v>46163.5416666088</v>
      </c>
      <c r="BH507" s="20" t="n">
        <v>46163.625</v>
      </c>
    </row>
    <row r="508">
      <c r="A508" s="5">
        <f>A507+1</f>
        <v/>
      </c>
      <c r="B508" s="3">
        <f>-SUMIFS(df_extrato_zig!G:G,df_extrato_zig!E:E,Conciliacao!A508,df_extrato_zig!D:D,"Saque")-SUMIFS(df_extrato_zig!G:G,df_extrato_zig!E:E,Conciliacao!A508,df_extrato_zig!D:D,"Antecipação")</f>
        <v/>
      </c>
      <c r="C508" s="3">
        <f>SUMIFS(df_extrato_zig!E:E,df_extrato_zig!L:L,Conciliacao!A508,df_extrato_zig!F:F,"DINHEIRO")</f>
        <v/>
      </c>
      <c r="D508" s="3">
        <f>SUMIFS(view_parc_agrup!H:H,view_parc_agrup!G:G,Conciliacao!A508)</f>
        <v/>
      </c>
      <c r="E508" s="3">
        <f>SUMIFS(df_eventos!F:F,df_eventos!H:H,Conciliacao!A508)</f>
        <v/>
      </c>
      <c r="F508" s="3">
        <f>SUMIFS(df_mutuos!M:M,df_mutuos!B:B,Conciliacao!A508)</f>
        <v/>
      </c>
      <c r="G508" s="6">
        <f>SUMIFS(df_bloqueios_judiciais!G:G,df_bloqueios_judiciais!D:D,Conciliacao!A508,df_bloqueios_judiciais!G:G,"&gt;0")</f>
        <v/>
      </c>
      <c r="H508" s="7">
        <f>SUMIFS(df_extratos!I:I,df_extratos!F:F,Conciliacao!BE508,df_extratos!G:G,"CREDITO")+SUMIFS(df_extratos!I:I,df_extratos!F:F,Conciliacao!A508,df_extratos!G:G,"CREDITO")+SUMIFS(df_extratos!I:I,df_extratos!F:F,Conciliacao!BF508,df_extratos!G:G,"CREDITO")+SUMIFS(df_extratos!I:I,df_extratos!F:F,Conciliacao!BG508,df_extratos!G:G,"CREDITO")+SUMIFS(df_extratos!I:I,df_extratos!F:F,Conciliacao!BH508,df_extratos!G:G,"CREDITO")</f>
        <v/>
      </c>
      <c r="I508" s="9">
        <f>H508-SUM(B508:G508)</f>
        <v/>
      </c>
      <c r="J508" s="4">
        <f>SUMIFS(df_blueme_sem_parcelamento!E:E,df_blueme_sem_parcelamento!H:H,Conciliacao!A508)*(-1)</f>
        <v/>
      </c>
      <c r="K508" s="4">
        <f>SUMIFS(df_blueme_com_parcelamento!J:J,df_blueme_com_parcelamento!M:M,Conciliacao!A508)*(-1)</f>
        <v/>
      </c>
      <c r="L508" s="4">
        <f>SUMIFS(df_mutuos!N:N,df_mutuos!B:B,Conciliacao!A508)*(-1)</f>
        <v/>
      </c>
      <c r="M508" s="8">
        <f>SUMIFS(df_bloqueios_judiciais!G:G,df_bloqueios_judiciais!D:D,Conciliacao!A508,df_bloqueios_judiciais!G:G,"&lt;0")</f>
        <v/>
      </c>
      <c r="N508" s="10">
        <f>SUMIFS(df_extratos!I:I,df_extratos!F:F,Conciliacao!BE508,df_extratos!G:G,"DEBITO")+SUMIFS(df_extratos!I:I,df_extratos!F:F,Conciliacao!A508,df_extratos!G:G,"DEBITO")+SUMIFS(df_extratos!I:I,df_extratos!F:F,Conciliacao!BF508,df_extratos!G:G,"DEBITO")+SUMIFS(df_extratos!I:I,df_extratos!F:F,Conciliacao!BG508,df_extratos!G:G,"DEBITO")+SUMIFS(df_extratos!I:I,df_extratos!F:F,Conciliacao!BH508,df_extratos!G:G,"DEBITO")</f>
        <v/>
      </c>
      <c r="O508" s="11">
        <f>N508-SUM(J508:M508)</f>
        <v/>
      </c>
      <c r="P508" s="25">
        <f>SUMIFS(df_ajustes_conciliaco!D:D,df_ajustes_conciliaco!C:C,Conciliacao!A508)</f>
        <v/>
      </c>
      <c r="Q508" s="22">
        <f>O508+I508-P508</f>
        <v/>
      </c>
      <c r="BE508" s="20" t="n">
        <v>46164.5</v>
      </c>
      <c r="BF508" s="20" t="n">
        <v>46164.125</v>
      </c>
      <c r="BG508" s="20" t="n">
        <v>46164.5416666088</v>
      </c>
      <c r="BH508" s="20" t="n">
        <v>46164.625</v>
      </c>
    </row>
    <row r="509">
      <c r="A509" s="5">
        <f>A508+1</f>
        <v/>
      </c>
      <c r="B509" s="3">
        <f>-SUMIFS(df_extrato_zig!G:G,df_extrato_zig!E:E,Conciliacao!A509,df_extrato_zig!D:D,"Saque")-SUMIFS(df_extrato_zig!G:G,df_extrato_zig!E:E,Conciliacao!A509,df_extrato_zig!D:D,"Antecipação")</f>
        <v/>
      </c>
      <c r="C509" s="3">
        <f>SUMIFS(df_extrato_zig!E:E,df_extrato_zig!L:L,Conciliacao!A509,df_extrato_zig!F:F,"DINHEIRO")</f>
        <v/>
      </c>
      <c r="D509" s="3">
        <f>SUMIFS(view_parc_agrup!H:H,view_parc_agrup!G:G,Conciliacao!A509)</f>
        <v/>
      </c>
      <c r="E509" s="3">
        <f>SUMIFS(df_eventos!F:F,df_eventos!H:H,Conciliacao!A509)</f>
        <v/>
      </c>
      <c r="F509" s="3">
        <f>SUMIFS(df_mutuos!M:M,df_mutuos!B:B,Conciliacao!A509)</f>
        <v/>
      </c>
      <c r="G509" s="6">
        <f>SUMIFS(df_bloqueios_judiciais!G:G,df_bloqueios_judiciais!D:D,Conciliacao!A509,df_bloqueios_judiciais!G:G,"&gt;0")</f>
        <v/>
      </c>
      <c r="H509" s="7">
        <f>SUMIFS(df_extratos!I:I,df_extratos!F:F,Conciliacao!BE509,df_extratos!G:G,"CREDITO")+SUMIFS(df_extratos!I:I,df_extratos!F:F,Conciliacao!A509,df_extratos!G:G,"CREDITO")+SUMIFS(df_extratos!I:I,df_extratos!F:F,Conciliacao!BF509,df_extratos!G:G,"CREDITO")+SUMIFS(df_extratos!I:I,df_extratos!F:F,Conciliacao!BG509,df_extratos!G:G,"CREDITO")+SUMIFS(df_extratos!I:I,df_extratos!F:F,Conciliacao!BH509,df_extratos!G:G,"CREDITO")</f>
        <v/>
      </c>
      <c r="I509" s="9">
        <f>H509-SUM(B509:G509)</f>
        <v/>
      </c>
      <c r="J509" s="4">
        <f>SUMIFS(df_blueme_sem_parcelamento!E:E,df_blueme_sem_parcelamento!H:H,Conciliacao!A509)*(-1)</f>
        <v/>
      </c>
      <c r="K509" s="4">
        <f>SUMIFS(df_blueme_com_parcelamento!J:J,df_blueme_com_parcelamento!M:M,Conciliacao!A509)*(-1)</f>
        <v/>
      </c>
      <c r="L509" s="4">
        <f>SUMIFS(df_mutuos!N:N,df_mutuos!B:B,Conciliacao!A509)*(-1)</f>
        <v/>
      </c>
      <c r="M509" s="8">
        <f>SUMIFS(df_bloqueios_judiciais!G:G,df_bloqueios_judiciais!D:D,Conciliacao!A509,df_bloqueios_judiciais!G:G,"&lt;0")</f>
        <v/>
      </c>
      <c r="N509" s="10">
        <f>SUMIFS(df_extratos!I:I,df_extratos!F:F,Conciliacao!BE509,df_extratos!G:G,"DEBITO")+SUMIFS(df_extratos!I:I,df_extratos!F:F,Conciliacao!A509,df_extratos!G:G,"DEBITO")+SUMIFS(df_extratos!I:I,df_extratos!F:F,Conciliacao!BF509,df_extratos!G:G,"DEBITO")+SUMIFS(df_extratos!I:I,df_extratos!F:F,Conciliacao!BG509,df_extratos!G:G,"DEBITO")+SUMIFS(df_extratos!I:I,df_extratos!F:F,Conciliacao!BH509,df_extratos!G:G,"DEBITO")</f>
        <v/>
      </c>
      <c r="O509" s="11">
        <f>N509-SUM(J509:M509)</f>
        <v/>
      </c>
      <c r="P509" s="25">
        <f>SUMIFS(df_ajustes_conciliaco!D:D,df_ajustes_conciliaco!C:C,Conciliacao!A509)</f>
        <v/>
      </c>
      <c r="Q509" s="22">
        <f>O509+I509-P509</f>
        <v/>
      </c>
      <c r="BE509" s="20" t="n">
        <v>46165.5</v>
      </c>
      <c r="BF509" s="20" t="n">
        <v>46165.125</v>
      </c>
      <c r="BG509" s="20" t="n">
        <v>46165.5416666088</v>
      </c>
      <c r="BH509" s="20" t="n">
        <v>46165.625</v>
      </c>
    </row>
    <row r="510">
      <c r="A510" s="5">
        <f>A509+1</f>
        <v/>
      </c>
      <c r="B510" s="3">
        <f>-SUMIFS(df_extrato_zig!G:G,df_extrato_zig!E:E,Conciliacao!A510,df_extrato_zig!D:D,"Saque")-SUMIFS(df_extrato_zig!G:G,df_extrato_zig!E:E,Conciliacao!A510,df_extrato_zig!D:D,"Antecipação")</f>
        <v/>
      </c>
      <c r="C510" s="3">
        <f>SUMIFS(df_extrato_zig!E:E,df_extrato_zig!L:L,Conciliacao!A510,df_extrato_zig!F:F,"DINHEIRO")</f>
        <v/>
      </c>
      <c r="D510" s="3">
        <f>SUMIFS(view_parc_agrup!H:H,view_parc_agrup!G:G,Conciliacao!A510)</f>
        <v/>
      </c>
      <c r="E510" s="3">
        <f>SUMIFS(df_eventos!F:F,df_eventos!H:H,Conciliacao!A510)</f>
        <v/>
      </c>
      <c r="F510" s="3">
        <f>SUMIFS(df_mutuos!M:M,df_mutuos!B:B,Conciliacao!A510)</f>
        <v/>
      </c>
      <c r="G510" s="6">
        <f>SUMIFS(df_bloqueios_judiciais!G:G,df_bloqueios_judiciais!D:D,Conciliacao!A510,df_bloqueios_judiciais!G:G,"&gt;0")</f>
        <v/>
      </c>
      <c r="H510" s="7">
        <f>SUMIFS(df_extratos!I:I,df_extratos!F:F,Conciliacao!BE510,df_extratos!G:G,"CREDITO")+SUMIFS(df_extratos!I:I,df_extratos!F:F,Conciliacao!A510,df_extratos!G:G,"CREDITO")+SUMIFS(df_extratos!I:I,df_extratos!F:F,Conciliacao!BF510,df_extratos!G:G,"CREDITO")+SUMIFS(df_extratos!I:I,df_extratos!F:F,Conciliacao!BG510,df_extratos!G:G,"CREDITO")+SUMIFS(df_extratos!I:I,df_extratos!F:F,Conciliacao!BH510,df_extratos!G:G,"CREDITO")</f>
        <v/>
      </c>
      <c r="I510" s="9">
        <f>H510-SUM(B510:G510)</f>
        <v/>
      </c>
      <c r="J510" s="4">
        <f>SUMIFS(df_blueme_sem_parcelamento!E:E,df_blueme_sem_parcelamento!H:H,Conciliacao!A510)*(-1)</f>
        <v/>
      </c>
      <c r="K510" s="4">
        <f>SUMIFS(df_blueme_com_parcelamento!J:J,df_blueme_com_parcelamento!M:M,Conciliacao!A510)*(-1)</f>
        <v/>
      </c>
      <c r="L510" s="4">
        <f>SUMIFS(df_mutuos!N:N,df_mutuos!B:B,Conciliacao!A510)*(-1)</f>
        <v/>
      </c>
      <c r="M510" s="8">
        <f>SUMIFS(df_bloqueios_judiciais!G:G,df_bloqueios_judiciais!D:D,Conciliacao!A510,df_bloqueios_judiciais!G:G,"&lt;0")</f>
        <v/>
      </c>
      <c r="N510" s="10">
        <f>SUMIFS(df_extratos!I:I,df_extratos!F:F,Conciliacao!BE510,df_extratos!G:G,"DEBITO")+SUMIFS(df_extratos!I:I,df_extratos!F:F,Conciliacao!A510,df_extratos!G:G,"DEBITO")+SUMIFS(df_extratos!I:I,df_extratos!F:F,Conciliacao!BF510,df_extratos!G:G,"DEBITO")+SUMIFS(df_extratos!I:I,df_extratos!F:F,Conciliacao!BG510,df_extratos!G:G,"DEBITO")+SUMIFS(df_extratos!I:I,df_extratos!F:F,Conciliacao!BH510,df_extratos!G:G,"DEBITO")</f>
        <v/>
      </c>
      <c r="O510" s="11">
        <f>N510-SUM(J510:M510)</f>
        <v/>
      </c>
      <c r="P510" s="25">
        <f>SUMIFS(df_ajustes_conciliaco!D:D,df_ajustes_conciliaco!C:C,Conciliacao!A510)</f>
        <v/>
      </c>
      <c r="Q510" s="22">
        <f>O510+I510-P510</f>
        <v/>
      </c>
      <c r="BE510" s="20" t="n">
        <v>46166.5</v>
      </c>
      <c r="BF510" s="20" t="n">
        <v>46166.125</v>
      </c>
      <c r="BG510" s="20" t="n">
        <v>46166.5416666088</v>
      </c>
      <c r="BH510" s="20" t="n">
        <v>46166.625</v>
      </c>
    </row>
    <row r="511">
      <c r="A511" s="5">
        <f>A510+1</f>
        <v/>
      </c>
      <c r="B511" s="3">
        <f>-SUMIFS(df_extrato_zig!G:G,df_extrato_zig!E:E,Conciliacao!A511,df_extrato_zig!D:D,"Saque")-SUMIFS(df_extrato_zig!G:G,df_extrato_zig!E:E,Conciliacao!A511,df_extrato_zig!D:D,"Antecipação")</f>
        <v/>
      </c>
      <c r="C511" s="3">
        <f>SUMIFS(df_extrato_zig!E:E,df_extrato_zig!L:L,Conciliacao!A511,df_extrato_zig!F:F,"DINHEIRO")</f>
        <v/>
      </c>
      <c r="D511" s="3">
        <f>SUMIFS(view_parc_agrup!H:H,view_parc_agrup!G:G,Conciliacao!A511)</f>
        <v/>
      </c>
      <c r="E511" s="3">
        <f>SUMIFS(df_eventos!F:F,df_eventos!H:H,Conciliacao!A511)</f>
        <v/>
      </c>
      <c r="F511" s="3">
        <f>SUMIFS(df_mutuos!M:M,df_mutuos!B:B,Conciliacao!A511)</f>
        <v/>
      </c>
      <c r="G511" s="6">
        <f>SUMIFS(df_bloqueios_judiciais!G:G,df_bloqueios_judiciais!D:D,Conciliacao!A511,df_bloqueios_judiciais!G:G,"&gt;0")</f>
        <v/>
      </c>
      <c r="H511" s="7">
        <f>SUMIFS(df_extratos!I:I,df_extratos!F:F,Conciliacao!BE511,df_extratos!G:G,"CREDITO")+SUMIFS(df_extratos!I:I,df_extratos!F:F,Conciliacao!A511,df_extratos!G:G,"CREDITO")+SUMIFS(df_extratos!I:I,df_extratos!F:F,Conciliacao!BF511,df_extratos!G:G,"CREDITO")+SUMIFS(df_extratos!I:I,df_extratos!F:F,Conciliacao!BG511,df_extratos!G:G,"CREDITO")+SUMIFS(df_extratos!I:I,df_extratos!F:F,Conciliacao!BH511,df_extratos!G:G,"CREDITO")</f>
        <v/>
      </c>
      <c r="I511" s="9">
        <f>H511-SUM(B511:G511)</f>
        <v/>
      </c>
      <c r="J511" s="4">
        <f>SUMIFS(df_blueme_sem_parcelamento!E:E,df_blueme_sem_parcelamento!H:H,Conciliacao!A511)*(-1)</f>
        <v/>
      </c>
      <c r="K511" s="4">
        <f>SUMIFS(df_blueme_com_parcelamento!J:J,df_blueme_com_parcelamento!M:M,Conciliacao!A511)*(-1)</f>
        <v/>
      </c>
      <c r="L511" s="4">
        <f>SUMIFS(df_mutuos!N:N,df_mutuos!B:B,Conciliacao!A511)*(-1)</f>
        <v/>
      </c>
      <c r="M511" s="8">
        <f>SUMIFS(df_bloqueios_judiciais!G:G,df_bloqueios_judiciais!D:D,Conciliacao!A511,df_bloqueios_judiciais!G:G,"&lt;0")</f>
        <v/>
      </c>
      <c r="N511" s="10">
        <f>SUMIFS(df_extratos!I:I,df_extratos!F:F,Conciliacao!BE511,df_extratos!G:G,"DEBITO")+SUMIFS(df_extratos!I:I,df_extratos!F:F,Conciliacao!A511,df_extratos!G:G,"DEBITO")+SUMIFS(df_extratos!I:I,df_extratos!F:F,Conciliacao!BF511,df_extratos!G:G,"DEBITO")+SUMIFS(df_extratos!I:I,df_extratos!F:F,Conciliacao!BG511,df_extratos!G:G,"DEBITO")+SUMIFS(df_extratos!I:I,df_extratos!F:F,Conciliacao!BH511,df_extratos!G:G,"DEBITO")</f>
        <v/>
      </c>
      <c r="O511" s="11">
        <f>N511-SUM(J511:M511)</f>
        <v/>
      </c>
      <c r="P511" s="25">
        <f>SUMIFS(df_ajustes_conciliaco!D:D,df_ajustes_conciliaco!C:C,Conciliacao!A511)</f>
        <v/>
      </c>
      <c r="Q511" s="22">
        <f>O511+I511-P511</f>
        <v/>
      </c>
      <c r="BE511" s="20" t="n">
        <v>46167.5</v>
      </c>
      <c r="BF511" s="20" t="n">
        <v>46167.125</v>
      </c>
      <c r="BG511" s="20" t="n">
        <v>46167.5416666088</v>
      </c>
      <c r="BH511" s="20" t="n">
        <v>46167.625</v>
      </c>
    </row>
    <row r="512">
      <c r="A512" s="5">
        <f>A511+1</f>
        <v/>
      </c>
      <c r="B512" s="3">
        <f>-SUMIFS(df_extrato_zig!G:G,df_extrato_zig!E:E,Conciliacao!A512,df_extrato_zig!D:D,"Saque")-SUMIFS(df_extrato_zig!G:G,df_extrato_zig!E:E,Conciliacao!A512,df_extrato_zig!D:D,"Antecipação")</f>
        <v/>
      </c>
      <c r="C512" s="3">
        <f>SUMIFS(df_extrato_zig!E:E,df_extrato_zig!L:L,Conciliacao!A512,df_extrato_zig!F:F,"DINHEIRO")</f>
        <v/>
      </c>
      <c r="D512" s="3">
        <f>SUMIFS(view_parc_agrup!H:H,view_parc_agrup!G:G,Conciliacao!A512)</f>
        <v/>
      </c>
      <c r="E512" s="3">
        <f>SUMIFS(df_eventos!F:F,df_eventos!H:H,Conciliacao!A512)</f>
        <v/>
      </c>
      <c r="F512" s="3">
        <f>SUMIFS(df_mutuos!M:M,df_mutuos!B:B,Conciliacao!A512)</f>
        <v/>
      </c>
      <c r="G512" s="6">
        <f>SUMIFS(df_bloqueios_judiciais!G:G,df_bloqueios_judiciais!D:D,Conciliacao!A512,df_bloqueios_judiciais!G:G,"&gt;0")</f>
        <v/>
      </c>
      <c r="H512" s="7">
        <f>SUMIFS(df_extratos!I:I,df_extratos!F:F,Conciliacao!BE512,df_extratos!G:G,"CREDITO")+SUMIFS(df_extratos!I:I,df_extratos!F:F,Conciliacao!A512,df_extratos!G:G,"CREDITO")+SUMIFS(df_extratos!I:I,df_extratos!F:F,Conciliacao!BF512,df_extratos!G:G,"CREDITO")+SUMIFS(df_extratos!I:I,df_extratos!F:F,Conciliacao!BG512,df_extratos!G:G,"CREDITO")+SUMIFS(df_extratos!I:I,df_extratos!F:F,Conciliacao!BH512,df_extratos!G:G,"CREDITO")</f>
        <v/>
      </c>
      <c r="I512" s="9">
        <f>H512-SUM(B512:G512)</f>
        <v/>
      </c>
      <c r="J512" s="4">
        <f>SUMIFS(df_blueme_sem_parcelamento!E:E,df_blueme_sem_parcelamento!H:H,Conciliacao!A512)*(-1)</f>
        <v/>
      </c>
      <c r="K512" s="4">
        <f>SUMIFS(df_blueme_com_parcelamento!J:J,df_blueme_com_parcelamento!M:M,Conciliacao!A512)*(-1)</f>
        <v/>
      </c>
      <c r="L512" s="4">
        <f>SUMIFS(df_mutuos!N:N,df_mutuos!B:B,Conciliacao!A512)*(-1)</f>
        <v/>
      </c>
      <c r="M512" s="8">
        <f>SUMIFS(df_bloqueios_judiciais!G:G,df_bloqueios_judiciais!D:D,Conciliacao!A512,df_bloqueios_judiciais!G:G,"&lt;0")</f>
        <v/>
      </c>
      <c r="N512" s="10">
        <f>SUMIFS(df_extratos!I:I,df_extratos!F:F,Conciliacao!BE512,df_extratos!G:G,"DEBITO")+SUMIFS(df_extratos!I:I,df_extratos!F:F,Conciliacao!A512,df_extratos!G:G,"DEBITO")+SUMIFS(df_extratos!I:I,df_extratos!F:F,Conciliacao!BF512,df_extratos!G:G,"DEBITO")+SUMIFS(df_extratos!I:I,df_extratos!F:F,Conciliacao!BG512,df_extratos!G:G,"DEBITO")+SUMIFS(df_extratos!I:I,df_extratos!F:F,Conciliacao!BH512,df_extratos!G:G,"DEBITO")</f>
        <v/>
      </c>
      <c r="O512" s="11">
        <f>N512-SUM(J512:M512)</f>
        <v/>
      </c>
      <c r="P512" s="25">
        <f>SUMIFS(df_ajustes_conciliaco!D:D,df_ajustes_conciliaco!C:C,Conciliacao!A512)</f>
        <v/>
      </c>
      <c r="Q512" s="22">
        <f>O512+I512-P512</f>
        <v/>
      </c>
      <c r="BE512" s="20" t="n">
        <v>46168.5</v>
      </c>
      <c r="BF512" s="20" t="n">
        <v>46168.125</v>
      </c>
      <c r="BG512" s="20" t="n">
        <v>46168.5416666088</v>
      </c>
      <c r="BH512" s="20" t="n">
        <v>46168.625</v>
      </c>
    </row>
    <row r="513">
      <c r="A513" s="5">
        <f>A512+1</f>
        <v/>
      </c>
      <c r="B513" s="3">
        <f>-SUMIFS(df_extrato_zig!G:G,df_extrato_zig!E:E,Conciliacao!A513,df_extrato_zig!D:D,"Saque")-SUMIFS(df_extrato_zig!G:G,df_extrato_zig!E:E,Conciliacao!A513,df_extrato_zig!D:D,"Antecipação")</f>
        <v/>
      </c>
      <c r="C513" s="3">
        <f>SUMIFS(df_extrato_zig!E:E,df_extrato_zig!L:L,Conciliacao!A513,df_extrato_zig!F:F,"DINHEIRO")</f>
        <v/>
      </c>
      <c r="D513" s="3">
        <f>SUMIFS(view_parc_agrup!H:H,view_parc_agrup!G:G,Conciliacao!A513)</f>
        <v/>
      </c>
      <c r="E513" s="3">
        <f>SUMIFS(df_eventos!F:F,df_eventos!H:H,Conciliacao!A513)</f>
        <v/>
      </c>
      <c r="F513" s="3">
        <f>SUMIFS(df_mutuos!M:M,df_mutuos!B:B,Conciliacao!A513)</f>
        <v/>
      </c>
      <c r="G513" s="6">
        <f>SUMIFS(df_bloqueios_judiciais!G:G,df_bloqueios_judiciais!D:D,Conciliacao!A513,df_bloqueios_judiciais!G:G,"&gt;0")</f>
        <v/>
      </c>
      <c r="H513" s="7">
        <f>SUMIFS(df_extratos!I:I,df_extratos!F:F,Conciliacao!BE513,df_extratos!G:G,"CREDITO")+SUMIFS(df_extratos!I:I,df_extratos!F:F,Conciliacao!A513,df_extratos!G:G,"CREDITO")+SUMIFS(df_extratos!I:I,df_extratos!F:F,Conciliacao!BF513,df_extratos!G:G,"CREDITO")+SUMIFS(df_extratos!I:I,df_extratos!F:F,Conciliacao!BG513,df_extratos!G:G,"CREDITO")+SUMIFS(df_extratos!I:I,df_extratos!F:F,Conciliacao!BH513,df_extratos!G:G,"CREDITO")</f>
        <v/>
      </c>
      <c r="I513" s="9">
        <f>H513-SUM(B513:G513)</f>
        <v/>
      </c>
      <c r="J513" s="4">
        <f>SUMIFS(df_blueme_sem_parcelamento!E:E,df_blueme_sem_parcelamento!H:H,Conciliacao!A513)*(-1)</f>
        <v/>
      </c>
      <c r="K513" s="4">
        <f>SUMIFS(df_blueme_com_parcelamento!J:J,df_blueme_com_parcelamento!M:M,Conciliacao!A513)*(-1)</f>
        <v/>
      </c>
      <c r="L513" s="4">
        <f>SUMIFS(df_mutuos!N:N,df_mutuos!B:B,Conciliacao!A513)*(-1)</f>
        <v/>
      </c>
      <c r="M513" s="8">
        <f>SUMIFS(df_bloqueios_judiciais!G:G,df_bloqueios_judiciais!D:D,Conciliacao!A513,df_bloqueios_judiciais!G:G,"&lt;0")</f>
        <v/>
      </c>
      <c r="N513" s="10">
        <f>SUMIFS(df_extratos!I:I,df_extratos!F:F,Conciliacao!BE513,df_extratos!G:G,"DEBITO")+SUMIFS(df_extratos!I:I,df_extratos!F:F,Conciliacao!A513,df_extratos!G:G,"DEBITO")+SUMIFS(df_extratos!I:I,df_extratos!F:F,Conciliacao!BF513,df_extratos!G:G,"DEBITO")+SUMIFS(df_extratos!I:I,df_extratos!F:F,Conciliacao!BG513,df_extratos!G:G,"DEBITO")+SUMIFS(df_extratos!I:I,df_extratos!F:F,Conciliacao!BH513,df_extratos!G:G,"DEBITO")</f>
        <v/>
      </c>
      <c r="O513" s="11">
        <f>N513-SUM(J513:M513)</f>
        <v/>
      </c>
      <c r="P513" s="25">
        <f>SUMIFS(df_ajustes_conciliaco!D:D,df_ajustes_conciliaco!C:C,Conciliacao!A513)</f>
        <v/>
      </c>
      <c r="Q513" s="22">
        <f>O513+I513-P513</f>
        <v/>
      </c>
      <c r="BE513" s="20" t="n">
        <v>46169.5</v>
      </c>
      <c r="BF513" s="20" t="n">
        <v>46169.125</v>
      </c>
      <c r="BG513" s="20" t="n">
        <v>46169.5416666088</v>
      </c>
      <c r="BH513" s="20" t="n">
        <v>46169.625</v>
      </c>
    </row>
    <row r="514">
      <c r="A514" s="5">
        <f>A513+1</f>
        <v/>
      </c>
      <c r="B514" s="3">
        <f>-SUMIFS(df_extrato_zig!G:G,df_extrato_zig!E:E,Conciliacao!A514,df_extrato_zig!D:D,"Saque")-SUMIFS(df_extrato_zig!G:G,df_extrato_zig!E:E,Conciliacao!A514,df_extrato_zig!D:D,"Antecipação")</f>
        <v/>
      </c>
      <c r="C514" s="3">
        <f>SUMIFS(df_extrato_zig!E:E,df_extrato_zig!L:L,Conciliacao!A514,df_extrato_zig!F:F,"DINHEIRO")</f>
        <v/>
      </c>
      <c r="D514" s="3">
        <f>SUMIFS(view_parc_agrup!H:H,view_parc_agrup!G:G,Conciliacao!A514)</f>
        <v/>
      </c>
      <c r="E514" s="3">
        <f>SUMIFS(df_eventos!F:F,df_eventos!H:H,Conciliacao!A514)</f>
        <v/>
      </c>
      <c r="F514" s="3">
        <f>SUMIFS(df_mutuos!M:M,df_mutuos!B:B,Conciliacao!A514)</f>
        <v/>
      </c>
      <c r="G514" s="6">
        <f>SUMIFS(df_bloqueios_judiciais!G:G,df_bloqueios_judiciais!D:D,Conciliacao!A514,df_bloqueios_judiciais!G:G,"&gt;0")</f>
        <v/>
      </c>
      <c r="H514" s="7">
        <f>SUMIFS(df_extratos!I:I,df_extratos!F:F,Conciliacao!BE514,df_extratos!G:G,"CREDITO")+SUMIFS(df_extratos!I:I,df_extratos!F:F,Conciliacao!A514,df_extratos!G:G,"CREDITO")+SUMIFS(df_extratos!I:I,df_extratos!F:F,Conciliacao!BF514,df_extratos!G:G,"CREDITO")+SUMIFS(df_extratos!I:I,df_extratos!F:F,Conciliacao!BG514,df_extratos!G:G,"CREDITO")+SUMIFS(df_extratos!I:I,df_extratos!F:F,Conciliacao!BH514,df_extratos!G:G,"CREDITO")</f>
        <v/>
      </c>
      <c r="I514" s="9">
        <f>H514-SUM(B514:G514)</f>
        <v/>
      </c>
      <c r="J514" s="4">
        <f>SUMIFS(df_blueme_sem_parcelamento!E:E,df_blueme_sem_parcelamento!H:H,Conciliacao!A514)*(-1)</f>
        <v/>
      </c>
      <c r="K514" s="4">
        <f>SUMIFS(df_blueme_com_parcelamento!J:J,df_blueme_com_parcelamento!M:M,Conciliacao!A514)*(-1)</f>
        <v/>
      </c>
      <c r="L514" s="4">
        <f>SUMIFS(df_mutuos!N:N,df_mutuos!B:B,Conciliacao!A514)*(-1)</f>
        <v/>
      </c>
      <c r="M514" s="8">
        <f>SUMIFS(df_bloqueios_judiciais!G:G,df_bloqueios_judiciais!D:D,Conciliacao!A514,df_bloqueios_judiciais!G:G,"&lt;0")</f>
        <v/>
      </c>
      <c r="N514" s="10">
        <f>SUMIFS(df_extratos!I:I,df_extratos!F:F,Conciliacao!BE514,df_extratos!G:G,"DEBITO")+SUMIFS(df_extratos!I:I,df_extratos!F:F,Conciliacao!A514,df_extratos!G:G,"DEBITO")+SUMIFS(df_extratos!I:I,df_extratos!F:F,Conciliacao!BF514,df_extratos!G:G,"DEBITO")+SUMIFS(df_extratos!I:I,df_extratos!F:F,Conciliacao!BG514,df_extratos!G:G,"DEBITO")+SUMIFS(df_extratos!I:I,df_extratos!F:F,Conciliacao!BH514,df_extratos!G:G,"DEBITO")</f>
        <v/>
      </c>
      <c r="O514" s="11">
        <f>N514-SUM(J514:M514)</f>
        <v/>
      </c>
      <c r="P514" s="25">
        <f>SUMIFS(df_ajustes_conciliaco!D:D,df_ajustes_conciliaco!C:C,Conciliacao!A514)</f>
        <v/>
      </c>
      <c r="Q514" s="22">
        <f>O514+I514-P514</f>
        <v/>
      </c>
      <c r="BE514" s="20" t="n">
        <v>46170.5</v>
      </c>
      <c r="BF514" s="20" t="n">
        <v>46170.125</v>
      </c>
      <c r="BG514" s="20" t="n">
        <v>46170.5416666088</v>
      </c>
      <c r="BH514" s="20" t="n">
        <v>46170.625</v>
      </c>
    </row>
    <row r="515">
      <c r="A515" s="5">
        <f>A514+1</f>
        <v/>
      </c>
      <c r="B515" s="3">
        <f>-SUMIFS(df_extrato_zig!G:G,df_extrato_zig!E:E,Conciliacao!A515,df_extrato_zig!D:D,"Saque")-SUMIFS(df_extrato_zig!G:G,df_extrato_zig!E:E,Conciliacao!A515,df_extrato_zig!D:D,"Antecipação")</f>
        <v/>
      </c>
      <c r="C515" s="3">
        <f>SUMIFS(df_extrato_zig!E:E,df_extrato_zig!L:L,Conciliacao!A515,df_extrato_zig!F:F,"DINHEIRO")</f>
        <v/>
      </c>
      <c r="D515" s="3">
        <f>SUMIFS(view_parc_agrup!H:H,view_parc_agrup!G:G,Conciliacao!A515)</f>
        <v/>
      </c>
      <c r="E515" s="3">
        <f>SUMIFS(df_eventos!F:F,df_eventos!H:H,Conciliacao!A515)</f>
        <v/>
      </c>
      <c r="F515" s="3">
        <f>SUMIFS(df_mutuos!M:M,df_mutuos!B:B,Conciliacao!A515)</f>
        <v/>
      </c>
      <c r="G515" s="6">
        <f>SUMIFS(df_bloqueios_judiciais!G:G,df_bloqueios_judiciais!D:D,Conciliacao!A515,df_bloqueios_judiciais!G:G,"&gt;0")</f>
        <v/>
      </c>
      <c r="H515" s="7">
        <f>SUMIFS(df_extratos!I:I,df_extratos!F:F,Conciliacao!BE515,df_extratos!G:G,"CREDITO")+SUMIFS(df_extratos!I:I,df_extratos!F:F,Conciliacao!A515,df_extratos!G:G,"CREDITO")+SUMIFS(df_extratos!I:I,df_extratos!F:F,Conciliacao!BF515,df_extratos!G:G,"CREDITO")+SUMIFS(df_extratos!I:I,df_extratos!F:F,Conciliacao!BG515,df_extratos!G:G,"CREDITO")+SUMIFS(df_extratos!I:I,df_extratos!F:F,Conciliacao!BH515,df_extratos!G:G,"CREDITO")</f>
        <v/>
      </c>
      <c r="I515" s="9">
        <f>H515-SUM(B515:G515)</f>
        <v/>
      </c>
      <c r="J515" s="4">
        <f>SUMIFS(df_blueme_sem_parcelamento!E:E,df_blueme_sem_parcelamento!H:H,Conciliacao!A515)*(-1)</f>
        <v/>
      </c>
      <c r="K515" s="4">
        <f>SUMIFS(df_blueme_com_parcelamento!J:J,df_blueme_com_parcelamento!M:M,Conciliacao!A515)*(-1)</f>
        <v/>
      </c>
      <c r="L515" s="4">
        <f>SUMIFS(df_mutuos!N:N,df_mutuos!B:B,Conciliacao!A515)*(-1)</f>
        <v/>
      </c>
      <c r="M515" s="8">
        <f>SUMIFS(df_bloqueios_judiciais!G:G,df_bloqueios_judiciais!D:D,Conciliacao!A515,df_bloqueios_judiciais!G:G,"&lt;0")</f>
        <v/>
      </c>
      <c r="N515" s="10">
        <f>SUMIFS(df_extratos!I:I,df_extratos!F:F,Conciliacao!BE515,df_extratos!G:G,"DEBITO")+SUMIFS(df_extratos!I:I,df_extratos!F:F,Conciliacao!A515,df_extratos!G:G,"DEBITO")+SUMIFS(df_extratos!I:I,df_extratos!F:F,Conciliacao!BF515,df_extratos!G:G,"DEBITO")+SUMIFS(df_extratos!I:I,df_extratos!F:F,Conciliacao!BG515,df_extratos!G:G,"DEBITO")+SUMIFS(df_extratos!I:I,df_extratos!F:F,Conciliacao!BH515,df_extratos!G:G,"DEBITO")</f>
        <v/>
      </c>
      <c r="O515" s="11">
        <f>N515-SUM(J515:M515)</f>
        <v/>
      </c>
      <c r="P515" s="25">
        <f>SUMIFS(df_ajustes_conciliaco!D:D,df_ajustes_conciliaco!C:C,Conciliacao!A515)</f>
        <v/>
      </c>
      <c r="Q515" s="22">
        <f>O515+I515-P515</f>
        <v/>
      </c>
      <c r="BE515" s="20" t="n">
        <v>46171.5</v>
      </c>
      <c r="BF515" s="20" t="n">
        <v>46171.125</v>
      </c>
      <c r="BG515" s="20" t="n">
        <v>46171.5416666088</v>
      </c>
      <c r="BH515" s="20" t="n">
        <v>46171.625</v>
      </c>
    </row>
    <row r="516">
      <c r="A516" s="5">
        <f>A515+1</f>
        <v/>
      </c>
      <c r="B516" s="3">
        <f>-SUMIFS(df_extrato_zig!G:G,df_extrato_zig!E:E,Conciliacao!A516,df_extrato_zig!D:D,"Saque")-SUMIFS(df_extrato_zig!G:G,df_extrato_zig!E:E,Conciliacao!A516,df_extrato_zig!D:D,"Antecipação")</f>
        <v/>
      </c>
      <c r="C516" s="3">
        <f>SUMIFS(df_extrato_zig!E:E,df_extrato_zig!L:L,Conciliacao!A516,df_extrato_zig!F:F,"DINHEIRO")</f>
        <v/>
      </c>
      <c r="D516" s="3">
        <f>SUMIFS(view_parc_agrup!H:H,view_parc_agrup!G:G,Conciliacao!A516)</f>
        <v/>
      </c>
      <c r="E516" s="3">
        <f>SUMIFS(df_eventos!F:F,df_eventos!H:H,Conciliacao!A516)</f>
        <v/>
      </c>
      <c r="F516" s="3">
        <f>SUMIFS(df_mutuos!M:M,df_mutuos!B:B,Conciliacao!A516)</f>
        <v/>
      </c>
      <c r="G516" s="6">
        <f>SUMIFS(df_bloqueios_judiciais!G:G,df_bloqueios_judiciais!D:D,Conciliacao!A516,df_bloqueios_judiciais!G:G,"&gt;0")</f>
        <v/>
      </c>
      <c r="H516" s="7">
        <f>SUMIFS(df_extratos!I:I,df_extratos!F:F,Conciliacao!BE516,df_extratos!G:G,"CREDITO")+SUMIFS(df_extratos!I:I,df_extratos!F:F,Conciliacao!A516,df_extratos!G:G,"CREDITO")+SUMIFS(df_extratos!I:I,df_extratos!F:F,Conciliacao!BF516,df_extratos!G:G,"CREDITO")+SUMIFS(df_extratos!I:I,df_extratos!F:F,Conciliacao!BG516,df_extratos!G:G,"CREDITO")+SUMIFS(df_extratos!I:I,df_extratos!F:F,Conciliacao!BH516,df_extratos!G:G,"CREDITO")</f>
        <v/>
      </c>
      <c r="I516" s="9">
        <f>H516-SUM(B516:G516)</f>
        <v/>
      </c>
      <c r="J516" s="4">
        <f>SUMIFS(df_blueme_sem_parcelamento!E:E,df_blueme_sem_parcelamento!H:H,Conciliacao!A516)*(-1)</f>
        <v/>
      </c>
      <c r="K516" s="4">
        <f>SUMIFS(df_blueme_com_parcelamento!J:J,df_blueme_com_parcelamento!M:M,Conciliacao!A516)*(-1)</f>
        <v/>
      </c>
      <c r="L516" s="4">
        <f>SUMIFS(df_mutuos!N:N,df_mutuos!B:B,Conciliacao!A516)*(-1)</f>
        <v/>
      </c>
      <c r="M516" s="8">
        <f>SUMIFS(df_bloqueios_judiciais!G:G,df_bloqueios_judiciais!D:D,Conciliacao!A516,df_bloqueios_judiciais!G:G,"&lt;0")</f>
        <v/>
      </c>
      <c r="N516" s="10">
        <f>SUMIFS(df_extratos!I:I,df_extratos!F:F,Conciliacao!BE516,df_extratos!G:G,"DEBITO")+SUMIFS(df_extratos!I:I,df_extratos!F:F,Conciliacao!A516,df_extratos!G:G,"DEBITO")+SUMIFS(df_extratos!I:I,df_extratos!F:F,Conciliacao!BF516,df_extratos!G:G,"DEBITO")+SUMIFS(df_extratos!I:I,df_extratos!F:F,Conciliacao!BG516,df_extratos!G:G,"DEBITO")+SUMIFS(df_extratos!I:I,df_extratos!F:F,Conciliacao!BH516,df_extratos!G:G,"DEBITO")</f>
        <v/>
      </c>
      <c r="O516" s="11">
        <f>N516-SUM(J516:M516)</f>
        <v/>
      </c>
      <c r="P516" s="25">
        <f>SUMIFS(df_ajustes_conciliaco!D:D,df_ajustes_conciliaco!C:C,Conciliacao!A516)</f>
        <v/>
      </c>
      <c r="Q516" s="22">
        <f>O516+I516-P516</f>
        <v/>
      </c>
      <c r="BE516" s="20" t="n">
        <v>46172.5</v>
      </c>
      <c r="BF516" s="20" t="n">
        <v>46172.125</v>
      </c>
      <c r="BG516" s="20" t="n">
        <v>46172.5416666088</v>
      </c>
      <c r="BH516" s="20" t="n">
        <v>46172.625</v>
      </c>
    </row>
    <row r="517">
      <c r="A517" s="5">
        <f>A516+1</f>
        <v/>
      </c>
      <c r="B517" s="3">
        <f>-SUMIFS(df_extrato_zig!G:G,df_extrato_zig!E:E,Conciliacao!A517,df_extrato_zig!D:D,"Saque")-SUMIFS(df_extrato_zig!G:G,df_extrato_zig!E:E,Conciliacao!A517,df_extrato_zig!D:D,"Antecipação")</f>
        <v/>
      </c>
      <c r="C517" s="3">
        <f>SUMIFS(df_extrato_zig!E:E,df_extrato_zig!L:L,Conciliacao!A517,df_extrato_zig!F:F,"DINHEIRO")</f>
        <v/>
      </c>
      <c r="D517" s="3">
        <f>SUMIFS(view_parc_agrup!H:H,view_parc_agrup!G:G,Conciliacao!A517)</f>
        <v/>
      </c>
      <c r="E517" s="3">
        <f>SUMIFS(df_eventos!F:F,df_eventos!H:H,Conciliacao!A517)</f>
        <v/>
      </c>
      <c r="F517" s="3">
        <f>SUMIFS(df_mutuos!M:M,df_mutuos!B:B,Conciliacao!A517)</f>
        <v/>
      </c>
      <c r="G517" s="6">
        <f>SUMIFS(df_bloqueios_judiciais!G:G,df_bloqueios_judiciais!D:D,Conciliacao!A517,df_bloqueios_judiciais!G:G,"&gt;0")</f>
        <v/>
      </c>
      <c r="H517" s="7">
        <f>SUMIFS(df_extratos!I:I,df_extratos!F:F,Conciliacao!BE517,df_extratos!G:G,"CREDITO")+SUMIFS(df_extratos!I:I,df_extratos!F:F,Conciliacao!A517,df_extratos!G:G,"CREDITO")+SUMIFS(df_extratos!I:I,df_extratos!F:F,Conciliacao!BF517,df_extratos!G:G,"CREDITO")+SUMIFS(df_extratos!I:I,df_extratos!F:F,Conciliacao!BG517,df_extratos!G:G,"CREDITO")+SUMIFS(df_extratos!I:I,df_extratos!F:F,Conciliacao!BH517,df_extratos!G:G,"CREDITO")</f>
        <v/>
      </c>
      <c r="I517" s="9">
        <f>H517-SUM(B517:G517)</f>
        <v/>
      </c>
      <c r="J517" s="4">
        <f>SUMIFS(df_blueme_sem_parcelamento!E:E,df_blueme_sem_parcelamento!H:H,Conciliacao!A517)*(-1)</f>
        <v/>
      </c>
      <c r="K517" s="4">
        <f>SUMIFS(df_blueme_com_parcelamento!J:J,df_blueme_com_parcelamento!M:M,Conciliacao!A517)*(-1)</f>
        <v/>
      </c>
      <c r="L517" s="4">
        <f>SUMIFS(df_mutuos!N:N,df_mutuos!B:B,Conciliacao!A517)*(-1)</f>
        <v/>
      </c>
      <c r="M517" s="8">
        <f>SUMIFS(df_bloqueios_judiciais!G:G,df_bloqueios_judiciais!D:D,Conciliacao!A517,df_bloqueios_judiciais!G:G,"&lt;0")</f>
        <v/>
      </c>
      <c r="N517" s="10">
        <f>SUMIFS(df_extratos!I:I,df_extratos!F:F,Conciliacao!BE517,df_extratos!G:G,"DEBITO")+SUMIFS(df_extratos!I:I,df_extratos!F:F,Conciliacao!A517,df_extratos!G:G,"DEBITO")+SUMIFS(df_extratos!I:I,df_extratos!F:F,Conciliacao!BF517,df_extratos!G:G,"DEBITO")+SUMIFS(df_extratos!I:I,df_extratos!F:F,Conciliacao!BG517,df_extratos!G:G,"DEBITO")+SUMIFS(df_extratos!I:I,df_extratos!F:F,Conciliacao!BH517,df_extratos!G:G,"DEBITO")</f>
        <v/>
      </c>
      <c r="O517" s="11">
        <f>N517-SUM(J517:M517)</f>
        <v/>
      </c>
      <c r="P517" s="25">
        <f>SUMIFS(df_ajustes_conciliaco!D:D,df_ajustes_conciliaco!C:C,Conciliacao!A517)</f>
        <v/>
      </c>
      <c r="Q517" s="22">
        <f>O517+I517-P517</f>
        <v/>
      </c>
      <c r="BE517" s="20" t="n">
        <v>46173.5</v>
      </c>
      <c r="BF517" s="20" t="n">
        <v>46173.125</v>
      </c>
      <c r="BG517" s="20" t="n">
        <v>46173.5416666088</v>
      </c>
      <c r="BH517" s="20" t="n">
        <v>46173.625</v>
      </c>
    </row>
    <row r="518">
      <c r="A518" s="5">
        <f>A517+1</f>
        <v/>
      </c>
      <c r="B518" s="3">
        <f>-SUMIFS(df_extrato_zig!G:G,df_extrato_zig!E:E,Conciliacao!A518,df_extrato_zig!D:D,"Saque")-SUMIFS(df_extrato_zig!G:G,df_extrato_zig!E:E,Conciliacao!A518,df_extrato_zig!D:D,"Antecipação")</f>
        <v/>
      </c>
      <c r="C518" s="3">
        <f>SUMIFS(df_extrato_zig!E:E,df_extrato_zig!L:L,Conciliacao!A518,df_extrato_zig!F:F,"DINHEIRO")</f>
        <v/>
      </c>
      <c r="D518" s="3">
        <f>SUMIFS(view_parc_agrup!H:H,view_parc_agrup!G:G,Conciliacao!A518)</f>
        <v/>
      </c>
      <c r="E518" s="3">
        <f>SUMIFS(df_eventos!F:F,df_eventos!H:H,Conciliacao!A518)</f>
        <v/>
      </c>
      <c r="F518" s="3">
        <f>SUMIFS(df_mutuos!M:M,df_mutuos!B:B,Conciliacao!A518)</f>
        <v/>
      </c>
      <c r="G518" s="6">
        <f>SUMIFS(df_bloqueios_judiciais!G:G,df_bloqueios_judiciais!D:D,Conciliacao!A518,df_bloqueios_judiciais!G:G,"&gt;0")</f>
        <v/>
      </c>
      <c r="H518" s="7">
        <f>SUMIFS(df_extratos!I:I,df_extratos!F:F,Conciliacao!BE518,df_extratos!G:G,"CREDITO")+SUMIFS(df_extratos!I:I,df_extratos!F:F,Conciliacao!A518,df_extratos!G:G,"CREDITO")+SUMIFS(df_extratos!I:I,df_extratos!F:F,Conciliacao!BF518,df_extratos!G:G,"CREDITO")+SUMIFS(df_extratos!I:I,df_extratos!F:F,Conciliacao!BG518,df_extratos!G:G,"CREDITO")+SUMIFS(df_extratos!I:I,df_extratos!F:F,Conciliacao!BH518,df_extratos!G:G,"CREDITO")</f>
        <v/>
      </c>
      <c r="I518" s="9">
        <f>H518-SUM(B518:G518)</f>
        <v/>
      </c>
      <c r="J518" s="4">
        <f>SUMIFS(df_blueme_sem_parcelamento!E:E,df_blueme_sem_parcelamento!H:H,Conciliacao!A518)*(-1)</f>
        <v/>
      </c>
      <c r="K518" s="4">
        <f>SUMIFS(df_blueme_com_parcelamento!J:J,df_blueme_com_parcelamento!M:M,Conciliacao!A518)*(-1)</f>
        <v/>
      </c>
      <c r="L518" s="4">
        <f>SUMIFS(df_mutuos!N:N,df_mutuos!B:B,Conciliacao!A518)*(-1)</f>
        <v/>
      </c>
      <c r="M518" s="8">
        <f>SUMIFS(df_bloqueios_judiciais!G:G,df_bloqueios_judiciais!D:D,Conciliacao!A518,df_bloqueios_judiciais!G:G,"&lt;0")</f>
        <v/>
      </c>
      <c r="N518" s="10">
        <f>SUMIFS(df_extratos!I:I,df_extratos!F:F,Conciliacao!BE518,df_extratos!G:G,"DEBITO")+SUMIFS(df_extratos!I:I,df_extratos!F:F,Conciliacao!A518,df_extratos!G:G,"DEBITO")+SUMIFS(df_extratos!I:I,df_extratos!F:F,Conciliacao!BF518,df_extratos!G:G,"DEBITO")+SUMIFS(df_extratos!I:I,df_extratos!F:F,Conciliacao!BG518,df_extratos!G:G,"DEBITO")+SUMIFS(df_extratos!I:I,df_extratos!F:F,Conciliacao!BH518,df_extratos!G:G,"DEBITO")</f>
        <v/>
      </c>
      <c r="O518" s="11">
        <f>N518-SUM(J518:M518)</f>
        <v/>
      </c>
      <c r="P518" s="25">
        <f>SUMIFS(df_ajustes_conciliaco!D:D,df_ajustes_conciliaco!C:C,Conciliacao!A518)</f>
        <v/>
      </c>
      <c r="Q518" s="22">
        <f>O518+I518-P518</f>
        <v/>
      </c>
      <c r="BE518" s="20" t="n">
        <v>46174.5</v>
      </c>
      <c r="BF518" s="20" t="n">
        <v>46174.125</v>
      </c>
      <c r="BG518" s="20" t="n">
        <v>46174.5416666088</v>
      </c>
      <c r="BH518" s="20" t="n">
        <v>46174.625</v>
      </c>
    </row>
    <row r="519">
      <c r="A519" s="5">
        <f>A518+1</f>
        <v/>
      </c>
      <c r="B519" s="3">
        <f>-SUMIFS(df_extrato_zig!G:G,df_extrato_zig!E:E,Conciliacao!A519,df_extrato_zig!D:D,"Saque")-SUMIFS(df_extrato_zig!G:G,df_extrato_zig!E:E,Conciliacao!A519,df_extrato_zig!D:D,"Antecipação")</f>
        <v/>
      </c>
      <c r="C519" s="3">
        <f>SUMIFS(df_extrato_zig!E:E,df_extrato_zig!L:L,Conciliacao!A519,df_extrato_zig!F:F,"DINHEIRO")</f>
        <v/>
      </c>
      <c r="D519" s="3">
        <f>SUMIFS(view_parc_agrup!H:H,view_parc_agrup!G:G,Conciliacao!A519)</f>
        <v/>
      </c>
      <c r="E519" s="3">
        <f>SUMIFS(df_eventos!F:F,df_eventos!H:H,Conciliacao!A519)</f>
        <v/>
      </c>
      <c r="F519" s="3">
        <f>SUMIFS(df_mutuos!M:M,df_mutuos!B:B,Conciliacao!A519)</f>
        <v/>
      </c>
      <c r="G519" s="6">
        <f>SUMIFS(df_bloqueios_judiciais!G:G,df_bloqueios_judiciais!D:D,Conciliacao!A519,df_bloqueios_judiciais!G:G,"&gt;0")</f>
        <v/>
      </c>
      <c r="H519" s="7">
        <f>SUMIFS(df_extratos!I:I,df_extratos!F:F,Conciliacao!BE519,df_extratos!G:G,"CREDITO")+SUMIFS(df_extratos!I:I,df_extratos!F:F,Conciliacao!A519,df_extratos!G:G,"CREDITO")+SUMIFS(df_extratos!I:I,df_extratos!F:F,Conciliacao!BF519,df_extratos!G:G,"CREDITO")+SUMIFS(df_extratos!I:I,df_extratos!F:F,Conciliacao!BG519,df_extratos!G:G,"CREDITO")+SUMIFS(df_extratos!I:I,df_extratos!F:F,Conciliacao!BH519,df_extratos!G:G,"CREDITO")</f>
        <v/>
      </c>
      <c r="I519" s="9">
        <f>H519-SUM(B519:G519)</f>
        <v/>
      </c>
      <c r="J519" s="4">
        <f>SUMIFS(df_blueme_sem_parcelamento!E:E,df_blueme_sem_parcelamento!H:H,Conciliacao!A519)*(-1)</f>
        <v/>
      </c>
      <c r="K519" s="4">
        <f>SUMIFS(df_blueme_com_parcelamento!J:J,df_blueme_com_parcelamento!M:M,Conciliacao!A519)*(-1)</f>
        <v/>
      </c>
      <c r="L519" s="4">
        <f>SUMIFS(df_mutuos!N:N,df_mutuos!B:B,Conciliacao!A519)*(-1)</f>
        <v/>
      </c>
      <c r="M519" s="8">
        <f>SUMIFS(df_bloqueios_judiciais!G:G,df_bloqueios_judiciais!D:D,Conciliacao!A519,df_bloqueios_judiciais!G:G,"&lt;0")</f>
        <v/>
      </c>
      <c r="N519" s="10">
        <f>SUMIFS(df_extratos!I:I,df_extratos!F:F,Conciliacao!BE519,df_extratos!G:G,"DEBITO")+SUMIFS(df_extratos!I:I,df_extratos!F:F,Conciliacao!A519,df_extratos!G:G,"DEBITO")+SUMIFS(df_extratos!I:I,df_extratos!F:F,Conciliacao!BF519,df_extratos!G:G,"DEBITO")+SUMIFS(df_extratos!I:I,df_extratos!F:F,Conciliacao!BG519,df_extratos!G:G,"DEBITO")+SUMIFS(df_extratos!I:I,df_extratos!F:F,Conciliacao!BH519,df_extratos!G:G,"DEBITO")</f>
        <v/>
      </c>
      <c r="O519" s="11">
        <f>N519-SUM(J519:M519)</f>
        <v/>
      </c>
      <c r="P519" s="25">
        <f>SUMIFS(df_ajustes_conciliaco!D:D,df_ajustes_conciliaco!C:C,Conciliacao!A519)</f>
        <v/>
      </c>
      <c r="Q519" s="22">
        <f>O519+I519-P519</f>
        <v/>
      </c>
      <c r="BE519" s="20" t="n">
        <v>46175.5</v>
      </c>
      <c r="BF519" s="20" t="n">
        <v>46175.125</v>
      </c>
      <c r="BG519" s="20" t="n">
        <v>46175.5416666088</v>
      </c>
      <c r="BH519" s="20" t="n">
        <v>46175.625</v>
      </c>
    </row>
    <row r="520">
      <c r="A520" s="5">
        <f>A519+1</f>
        <v/>
      </c>
      <c r="B520" s="3">
        <f>-SUMIFS(df_extrato_zig!G:G,df_extrato_zig!E:E,Conciliacao!A520,df_extrato_zig!D:D,"Saque")-SUMIFS(df_extrato_zig!G:G,df_extrato_zig!E:E,Conciliacao!A520,df_extrato_zig!D:D,"Antecipação")</f>
        <v/>
      </c>
      <c r="C520" s="3">
        <f>SUMIFS(df_extrato_zig!E:E,df_extrato_zig!L:L,Conciliacao!A520,df_extrato_zig!F:F,"DINHEIRO")</f>
        <v/>
      </c>
      <c r="D520" s="3">
        <f>SUMIFS(view_parc_agrup!H:H,view_parc_agrup!G:G,Conciliacao!A520)</f>
        <v/>
      </c>
      <c r="E520" s="3">
        <f>SUMIFS(df_eventos!F:F,df_eventos!H:H,Conciliacao!A520)</f>
        <v/>
      </c>
      <c r="F520" s="3">
        <f>SUMIFS(df_mutuos!M:M,df_mutuos!B:B,Conciliacao!A520)</f>
        <v/>
      </c>
      <c r="G520" s="6">
        <f>SUMIFS(df_bloqueios_judiciais!G:G,df_bloqueios_judiciais!D:D,Conciliacao!A520,df_bloqueios_judiciais!G:G,"&gt;0")</f>
        <v/>
      </c>
      <c r="H520" s="7">
        <f>SUMIFS(df_extratos!I:I,df_extratos!F:F,Conciliacao!BE520,df_extratos!G:G,"CREDITO")+SUMIFS(df_extratos!I:I,df_extratos!F:F,Conciliacao!A520,df_extratos!G:G,"CREDITO")+SUMIFS(df_extratos!I:I,df_extratos!F:F,Conciliacao!BF520,df_extratos!G:G,"CREDITO")+SUMIFS(df_extratos!I:I,df_extratos!F:F,Conciliacao!BG520,df_extratos!G:G,"CREDITO")+SUMIFS(df_extratos!I:I,df_extratos!F:F,Conciliacao!BH520,df_extratos!G:G,"CREDITO")</f>
        <v/>
      </c>
      <c r="I520" s="9">
        <f>H520-SUM(B520:G520)</f>
        <v/>
      </c>
      <c r="J520" s="4">
        <f>SUMIFS(df_blueme_sem_parcelamento!E:E,df_blueme_sem_parcelamento!H:H,Conciliacao!A520)*(-1)</f>
        <v/>
      </c>
      <c r="K520" s="4">
        <f>SUMIFS(df_blueme_com_parcelamento!J:J,df_blueme_com_parcelamento!M:M,Conciliacao!A520)*(-1)</f>
        <v/>
      </c>
      <c r="L520" s="4">
        <f>SUMIFS(df_mutuos!N:N,df_mutuos!B:B,Conciliacao!A520)*(-1)</f>
        <v/>
      </c>
      <c r="M520" s="8">
        <f>SUMIFS(df_bloqueios_judiciais!G:G,df_bloqueios_judiciais!D:D,Conciliacao!A520,df_bloqueios_judiciais!G:G,"&lt;0")</f>
        <v/>
      </c>
      <c r="N520" s="10">
        <f>SUMIFS(df_extratos!I:I,df_extratos!F:F,Conciliacao!BE520,df_extratos!G:G,"DEBITO")+SUMIFS(df_extratos!I:I,df_extratos!F:F,Conciliacao!A520,df_extratos!G:G,"DEBITO")+SUMIFS(df_extratos!I:I,df_extratos!F:F,Conciliacao!BF520,df_extratos!G:G,"DEBITO")+SUMIFS(df_extratos!I:I,df_extratos!F:F,Conciliacao!BG520,df_extratos!G:G,"DEBITO")+SUMIFS(df_extratos!I:I,df_extratos!F:F,Conciliacao!BH520,df_extratos!G:G,"DEBITO")</f>
        <v/>
      </c>
      <c r="O520" s="11">
        <f>N520-SUM(J520:M520)</f>
        <v/>
      </c>
      <c r="P520" s="25">
        <f>SUMIFS(df_ajustes_conciliaco!D:D,df_ajustes_conciliaco!C:C,Conciliacao!A520)</f>
        <v/>
      </c>
      <c r="Q520" s="22">
        <f>O520+I520-P520</f>
        <v/>
      </c>
      <c r="BE520" s="20" t="n">
        <v>46176.5</v>
      </c>
      <c r="BF520" s="20" t="n">
        <v>46176.125</v>
      </c>
      <c r="BG520" s="20" t="n">
        <v>46176.5416666088</v>
      </c>
      <c r="BH520" s="20" t="n">
        <v>46176.625</v>
      </c>
    </row>
    <row r="521">
      <c r="A521" s="5">
        <f>A520+1</f>
        <v/>
      </c>
      <c r="B521" s="3">
        <f>-SUMIFS(df_extrato_zig!G:G,df_extrato_zig!E:E,Conciliacao!A521,df_extrato_zig!D:D,"Saque")-SUMIFS(df_extrato_zig!G:G,df_extrato_zig!E:E,Conciliacao!A521,df_extrato_zig!D:D,"Antecipação")</f>
        <v/>
      </c>
      <c r="C521" s="3">
        <f>SUMIFS(df_extrato_zig!E:E,df_extrato_zig!L:L,Conciliacao!A521,df_extrato_zig!F:F,"DINHEIRO")</f>
        <v/>
      </c>
      <c r="D521" s="3">
        <f>SUMIFS(view_parc_agrup!H:H,view_parc_agrup!G:G,Conciliacao!A521)</f>
        <v/>
      </c>
      <c r="E521" s="3">
        <f>SUMIFS(df_eventos!F:F,df_eventos!H:H,Conciliacao!A521)</f>
        <v/>
      </c>
      <c r="F521" s="3">
        <f>SUMIFS(df_mutuos!M:M,df_mutuos!B:B,Conciliacao!A521)</f>
        <v/>
      </c>
      <c r="G521" s="6">
        <f>SUMIFS(df_bloqueios_judiciais!G:G,df_bloqueios_judiciais!D:D,Conciliacao!A521,df_bloqueios_judiciais!G:G,"&gt;0")</f>
        <v/>
      </c>
      <c r="H521" s="7">
        <f>SUMIFS(df_extratos!I:I,df_extratos!F:F,Conciliacao!BE521,df_extratos!G:G,"CREDITO")+SUMIFS(df_extratos!I:I,df_extratos!F:F,Conciliacao!A521,df_extratos!G:G,"CREDITO")+SUMIFS(df_extratos!I:I,df_extratos!F:F,Conciliacao!BF521,df_extratos!G:G,"CREDITO")+SUMIFS(df_extratos!I:I,df_extratos!F:F,Conciliacao!BG521,df_extratos!G:G,"CREDITO")+SUMIFS(df_extratos!I:I,df_extratos!F:F,Conciliacao!BH521,df_extratos!G:G,"CREDITO")</f>
        <v/>
      </c>
      <c r="I521" s="9">
        <f>H521-SUM(B521:G521)</f>
        <v/>
      </c>
      <c r="J521" s="4">
        <f>SUMIFS(df_blueme_sem_parcelamento!E:E,df_blueme_sem_parcelamento!H:H,Conciliacao!A521)*(-1)</f>
        <v/>
      </c>
      <c r="K521" s="4">
        <f>SUMIFS(df_blueme_com_parcelamento!J:J,df_blueme_com_parcelamento!M:M,Conciliacao!A521)*(-1)</f>
        <v/>
      </c>
      <c r="L521" s="4">
        <f>SUMIFS(df_mutuos!N:N,df_mutuos!B:B,Conciliacao!A521)*(-1)</f>
        <v/>
      </c>
      <c r="M521" s="8">
        <f>SUMIFS(df_bloqueios_judiciais!G:G,df_bloqueios_judiciais!D:D,Conciliacao!A521,df_bloqueios_judiciais!G:G,"&lt;0")</f>
        <v/>
      </c>
      <c r="N521" s="10">
        <f>SUMIFS(df_extratos!I:I,df_extratos!F:F,Conciliacao!BE521,df_extratos!G:G,"DEBITO")+SUMIFS(df_extratos!I:I,df_extratos!F:F,Conciliacao!A521,df_extratos!G:G,"DEBITO")+SUMIFS(df_extratos!I:I,df_extratos!F:F,Conciliacao!BF521,df_extratos!G:G,"DEBITO")+SUMIFS(df_extratos!I:I,df_extratos!F:F,Conciliacao!BG521,df_extratos!G:G,"DEBITO")+SUMIFS(df_extratos!I:I,df_extratos!F:F,Conciliacao!BH521,df_extratos!G:G,"DEBITO")</f>
        <v/>
      </c>
      <c r="O521" s="11">
        <f>N521-SUM(J521:M521)</f>
        <v/>
      </c>
      <c r="P521" s="25">
        <f>SUMIFS(df_ajustes_conciliaco!D:D,df_ajustes_conciliaco!C:C,Conciliacao!A521)</f>
        <v/>
      </c>
      <c r="Q521" s="22">
        <f>O521+I521-P521</f>
        <v/>
      </c>
      <c r="BE521" s="20" t="n">
        <v>46177.5</v>
      </c>
      <c r="BF521" s="20" t="n">
        <v>46177.125</v>
      </c>
      <c r="BG521" s="20" t="n">
        <v>46177.5416666088</v>
      </c>
      <c r="BH521" s="20" t="n">
        <v>46177.625</v>
      </c>
    </row>
    <row r="522">
      <c r="A522" s="5">
        <f>A521+1</f>
        <v/>
      </c>
      <c r="B522" s="3">
        <f>-SUMIFS(df_extrato_zig!G:G,df_extrato_zig!E:E,Conciliacao!A522,df_extrato_zig!D:D,"Saque")-SUMIFS(df_extrato_zig!G:G,df_extrato_zig!E:E,Conciliacao!A522,df_extrato_zig!D:D,"Antecipação")</f>
        <v/>
      </c>
      <c r="C522" s="3">
        <f>SUMIFS(df_extrato_zig!E:E,df_extrato_zig!L:L,Conciliacao!A522,df_extrato_zig!F:F,"DINHEIRO")</f>
        <v/>
      </c>
      <c r="D522" s="3">
        <f>SUMIFS(view_parc_agrup!H:H,view_parc_agrup!G:G,Conciliacao!A522)</f>
        <v/>
      </c>
      <c r="E522" s="3">
        <f>SUMIFS(df_eventos!F:F,df_eventos!H:H,Conciliacao!A522)</f>
        <v/>
      </c>
      <c r="F522" s="3">
        <f>SUMIFS(df_mutuos!M:M,df_mutuos!B:B,Conciliacao!A522)</f>
        <v/>
      </c>
      <c r="G522" s="6">
        <f>SUMIFS(df_bloqueios_judiciais!G:G,df_bloqueios_judiciais!D:D,Conciliacao!A522,df_bloqueios_judiciais!G:G,"&gt;0")</f>
        <v/>
      </c>
      <c r="H522" s="7">
        <f>SUMIFS(df_extratos!I:I,df_extratos!F:F,Conciliacao!BE522,df_extratos!G:G,"CREDITO")+SUMIFS(df_extratos!I:I,df_extratos!F:F,Conciliacao!A522,df_extratos!G:G,"CREDITO")+SUMIFS(df_extratos!I:I,df_extratos!F:F,Conciliacao!BF522,df_extratos!G:G,"CREDITO")+SUMIFS(df_extratos!I:I,df_extratos!F:F,Conciliacao!BG522,df_extratos!G:G,"CREDITO")+SUMIFS(df_extratos!I:I,df_extratos!F:F,Conciliacao!BH522,df_extratos!G:G,"CREDITO")</f>
        <v/>
      </c>
      <c r="I522" s="9">
        <f>H522-SUM(B522:G522)</f>
        <v/>
      </c>
      <c r="J522" s="4">
        <f>SUMIFS(df_blueme_sem_parcelamento!E:E,df_blueme_sem_parcelamento!H:H,Conciliacao!A522)*(-1)</f>
        <v/>
      </c>
      <c r="K522" s="4">
        <f>SUMIFS(df_blueme_com_parcelamento!J:J,df_blueme_com_parcelamento!M:M,Conciliacao!A522)*(-1)</f>
        <v/>
      </c>
      <c r="L522" s="4">
        <f>SUMIFS(df_mutuos!N:N,df_mutuos!B:B,Conciliacao!A522)*(-1)</f>
        <v/>
      </c>
      <c r="M522" s="8">
        <f>SUMIFS(df_bloqueios_judiciais!G:G,df_bloqueios_judiciais!D:D,Conciliacao!A522,df_bloqueios_judiciais!G:G,"&lt;0")</f>
        <v/>
      </c>
      <c r="N522" s="10">
        <f>SUMIFS(df_extratos!I:I,df_extratos!F:F,Conciliacao!BE522,df_extratos!G:G,"DEBITO")+SUMIFS(df_extratos!I:I,df_extratos!F:F,Conciliacao!A522,df_extratos!G:G,"DEBITO")+SUMIFS(df_extratos!I:I,df_extratos!F:F,Conciliacao!BF522,df_extratos!G:G,"DEBITO")+SUMIFS(df_extratos!I:I,df_extratos!F:F,Conciliacao!BG522,df_extratos!G:G,"DEBITO")+SUMIFS(df_extratos!I:I,df_extratos!F:F,Conciliacao!BH522,df_extratos!G:G,"DEBITO")</f>
        <v/>
      </c>
      <c r="O522" s="11">
        <f>N522-SUM(J522:M522)</f>
        <v/>
      </c>
      <c r="P522" s="25">
        <f>SUMIFS(df_ajustes_conciliaco!D:D,df_ajustes_conciliaco!C:C,Conciliacao!A522)</f>
        <v/>
      </c>
      <c r="Q522" s="22">
        <f>O522+I522-P522</f>
        <v/>
      </c>
      <c r="BE522" s="20" t="n">
        <v>46178.5</v>
      </c>
      <c r="BF522" s="20" t="n">
        <v>46178.125</v>
      </c>
      <c r="BG522" s="20" t="n">
        <v>46178.5416666088</v>
      </c>
      <c r="BH522" s="20" t="n">
        <v>46178.625</v>
      </c>
    </row>
    <row r="523">
      <c r="A523" s="5">
        <f>A522+1</f>
        <v/>
      </c>
      <c r="B523" s="3">
        <f>-SUMIFS(df_extrato_zig!G:G,df_extrato_zig!E:E,Conciliacao!A523,df_extrato_zig!D:D,"Saque")-SUMIFS(df_extrato_zig!G:G,df_extrato_zig!E:E,Conciliacao!A523,df_extrato_zig!D:D,"Antecipação")</f>
        <v/>
      </c>
      <c r="C523" s="3">
        <f>SUMIFS(df_extrato_zig!E:E,df_extrato_zig!L:L,Conciliacao!A523,df_extrato_zig!F:F,"DINHEIRO")</f>
        <v/>
      </c>
      <c r="D523" s="3">
        <f>SUMIFS(view_parc_agrup!H:H,view_parc_agrup!G:G,Conciliacao!A523)</f>
        <v/>
      </c>
      <c r="E523" s="3">
        <f>SUMIFS(df_eventos!F:F,df_eventos!H:H,Conciliacao!A523)</f>
        <v/>
      </c>
      <c r="F523" s="3">
        <f>SUMIFS(df_mutuos!M:M,df_mutuos!B:B,Conciliacao!A523)</f>
        <v/>
      </c>
      <c r="G523" s="6">
        <f>SUMIFS(df_bloqueios_judiciais!G:G,df_bloqueios_judiciais!D:D,Conciliacao!A523,df_bloqueios_judiciais!G:G,"&gt;0")</f>
        <v/>
      </c>
      <c r="H523" s="7">
        <f>SUMIFS(df_extratos!I:I,df_extratos!F:F,Conciliacao!BE523,df_extratos!G:G,"CREDITO")+SUMIFS(df_extratos!I:I,df_extratos!F:F,Conciliacao!A523,df_extratos!G:G,"CREDITO")+SUMIFS(df_extratos!I:I,df_extratos!F:F,Conciliacao!BF523,df_extratos!G:G,"CREDITO")+SUMIFS(df_extratos!I:I,df_extratos!F:F,Conciliacao!BG523,df_extratos!G:G,"CREDITO")+SUMIFS(df_extratos!I:I,df_extratos!F:F,Conciliacao!BH523,df_extratos!G:G,"CREDITO")</f>
        <v/>
      </c>
      <c r="I523" s="9">
        <f>H523-SUM(B523:G523)</f>
        <v/>
      </c>
      <c r="J523" s="4">
        <f>SUMIFS(df_blueme_sem_parcelamento!E:E,df_blueme_sem_parcelamento!H:H,Conciliacao!A523)*(-1)</f>
        <v/>
      </c>
      <c r="K523" s="4">
        <f>SUMIFS(df_blueme_com_parcelamento!J:J,df_blueme_com_parcelamento!M:M,Conciliacao!A523)*(-1)</f>
        <v/>
      </c>
      <c r="L523" s="4">
        <f>SUMIFS(df_mutuos!N:N,df_mutuos!B:B,Conciliacao!A523)*(-1)</f>
        <v/>
      </c>
      <c r="M523" s="8">
        <f>SUMIFS(df_bloqueios_judiciais!G:G,df_bloqueios_judiciais!D:D,Conciliacao!A523,df_bloqueios_judiciais!G:G,"&lt;0")</f>
        <v/>
      </c>
      <c r="N523" s="10">
        <f>SUMIFS(df_extratos!I:I,df_extratos!F:F,Conciliacao!BE523,df_extratos!G:G,"DEBITO")+SUMIFS(df_extratos!I:I,df_extratos!F:F,Conciliacao!A523,df_extratos!G:G,"DEBITO")+SUMIFS(df_extratos!I:I,df_extratos!F:F,Conciliacao!BF523,df_extratos!G:G,"DEBITO")+SUMIFS(df_extratos!I:I,df_extratos!F:F,Conciliacao!BG523,df_extratos!G:G,"DEBITO")+SUMIFS(df_extratos!I:I,df_extratos!F:F,Conciliacao!BH523,df_extratos!G:G,"DEBITO")</f>
        <v/>
      </c>
      <c r="O523" s="11">
        <f>N523-SUM(J523:M523)</f>
        <v/>
      </c>
      <c r="P523" s="25">
        <f>SUMIFS(df_ajustes_conciliaco!D:D,df_ajustes_conciliaco!C:C,Conciliacao!A523)</f>
        <v/>
      </c>
      <c r="Q523" s="22">
        <f>O523+I523-P523</f>
        <v/>
      </c>
      <c r="BE523" s="20" t="n">
        <v>46179.5</v>
      </c>
      <c r="BF523" s="20" t="n">
        <v>46179.125</v>
      </c>
      <c r="BG523" s="20" t="n">
        <v>46179.5416666088</v>
      </c>
      <c r="BH523" s="20" t="n">
        <v>46179.625</v>
      </c>
    </row>
    <row r="524">
      <c r="A524" s="5">
        <f>A523+1</f>
        <v/>
      </c>
      <c r="B524" s="3">
        <f>-SUMIFS(df_extrato_zig!G:G,df_extrato_zig!E:E,Conciliacao!A524,df_extrato_zig!D:D,"Saque")-SUMIFS(df_extrato_zig!G:G,df_extrato_zig!E:E,Conciliacao!A524,df_extrato_zig!D:D,"Antecipação")</f>
        <v/>
      </c>
      <c r="C524" s="3">
        <f>SUMIFS(df_extrato_zig!E:E,df_extrato_zig!L:L,Conciliacao!A524,df_extrato_zig!F:F,"DINHEIRO")</f>
        <v/>
      </c>
      <c r="D524" s="3">
        <f>SUMIFS(view_parc_agrup!H:H,view_parc_agrup!G:G,Conciliacao!A524)</f>
        <v/>
      </c>
      <c r="E524" s="3">
        <f>SUMIFS(df_eventos!F:F,df_eventos!H:H,Conciliacao!A524)</f>
        <v/>
      </c>
      <c r="F524" s="3">
        <f>SUMIFS(df_mutuos!M:M,df_mutuos!B:B,Conciliacao!A524)</f>
        <v/>
      </c>
      <c r="G524" s="6">
        <f>SUMIFS(df_bloqueios_judiciais!G:G,df_bloqueios_judiciais!D:D,Conciliacao!A524,df_bloqueios_judiciais!G:G,"&gt;0")</f>
        <v/>
      </c>
      <c r="H524" s="7">
        <f>SUMIFS(df_extratos!I:I,df_extratos!F:F,Conciliacao!BE524,df_extratos!G:G,"CREDITO")+SUMIFS(df_extratos!I:I,df_extratos!F:F,Conciliacao!A524,df_extratos!G:G,"CREDITO")+SUMIFS(df_extratos!I:I,df_extratos!F:F,Conciliacao!BF524,df_extratos!G:G,"CREDITO")+SUMIFS(df_extratos!I:I,df_extratos!F:F,Conciliacao!BG524,df_extratos!G:G,"CREDITO")+SUMIFS(df_extratos!I:I,df_extratos!F:F,Conciliacao!BH524,df_extratos!G:G,"CREDITO")</f>
        <v/>
      </c>
      <c r="I524" s="9">
        <f>H524-SUM(B524:G524)</f>
        <v/>
      </c>
      <c r="J524" s="4">
        <f>SUMIFS(df_blueme_sem_parcelamento!E:E,df_blueme_sem_parcelamento!H:H,Conciliacao!A524)*(-1)</f>
        <v/>
      </c>
      <c r="K524" s="4">
        <f>SUMIFS(df_blueme_com_parcelamento!J:J,df_blueme_com_parcelamento!M:M,Conciliacao!A524)*(-1)</f>
        <v/>
      </c>
      <c r="L524" s="4">
        <f>SUMIFS(df_mutuos!N:N,df_mutuos!B:B,Conciliacao!A524)*(-1)</f>
        <v/>
      </c>
      <c r="M524" s="8">
        <f>SUMIFS(df_bloqueios_judiciais!G:G,df_bloqueios_judiciais!D:D,Conciliacao!A524,df_bloqueios_judiciais!G:G,"&lt;0")</f>
        <v/>
      </c>
      <c r="N524" s="10">
        <f>SUMIFS(df_extratos!I:I,df_extratos!F:F,Conciliacao!BE524,df_extratos!G:G,"DEBITO")+SUMIFS(df_extratos!I:I,df_extratos!F:F,Conciliacao!A524,df_extratos!G:G,"DEBITO")+SUMIFS(df_extratos!I:I,df_extratos!F:F,Conciliacao!BF524,df_extratos!G:G,"DEBITO")+SUMIFS(df_extratos!I:I,df_extratos!F:F,Conciliacao!BG524,df_extratos!G:G,"DEBITO")+SUMIFS(df_extratos!I:I,df_extratos!F:F,Conciliacao!BH524,df_extratos!G:G,"DEBITO")</f>
        <v/>
      </c>
      <c r="O524" s="11">
        <f>N524-SUM(J524:M524)</f>
        <v/>
      </c>
      <c r="P524" s="25">
        <f>SUMIFS(df_ajustes_conciliaco!D:D,df_ajustes_conciliaco!C:C,Conciliacao!A524)</f>
        <v/>
      </c>
      <c r="Q524" s="22">
        <f>O524+I524-P524</f>
        <v/>
      </c>
      <c r="BE524" s="20" t="n">
        <v>46180.5</v>
      </c>
      <c r="BF524" s="20" t="n">
        <v>46180.125</v>
      </c>
      <c r="BG524" s="20" t="n">
        <v>46180.5416666088</v>
      </c>
      <c r="BH524" s="20" t="n">
        <v>46180.625</v>
      </c>
    </row>
    <row r="525">
      <c r="A525" s="5">
        <f>A524+1</f>
        <v/>
      </c>
      <c r="B525" s="3">
        <f>-SUMIFS(df_extrato_zig!G:G,df_extrato_zig!E:E,Conciliacao!A525,df_extrato_zig!D:D,"Saque")-SUMIFS(df_extrato_zig!G:G,df_extrato_zig!E:E,Conciliacao!A525,df_extrato_zig!D:D,"Antecipação")</f>
        <v/>
      </c>
      <c r="C525" s="3">
        <f>SUMIFS(df_extrato_zig!E:E,df_extrato_zig!L:L,Conciliacao!A525,df_extrato_zig!F:F,"DINHEIRO")</f>
        <v/>
      </c>
      <c r="D525" s="3">
        <f>SUMIFS(view_parc_agrup!H:H,view_parc_agrup!G:G,Conciliacao!A525)</f>
        <v/>
      </c>
      <c r="E525" s="3">
        <f>SUMIFS(df_eventos!F:F,df_eventos!H:H,Conciliacao!A525)</f>
        <v/>
      </c>
      <c r="F525" s="3">
        <f>SUMIFS(df_mutuos!M:M,df_mutuos!B:B,Conciliacao!A525)</f>
        <v/>
      </c>
      <c r="G525" s="6">
        <f>SUMIFS(df_bloqueios_judiciais!G:G,df_bloqueios_judiciais!D:D,Conciliacao!A525,df_bloqueios_judiciais!G:G,"&gt;0")</f>
        <v/>
      </c>
      <c r="H525" s="7">
        <f>SUMIFS(df_extratos!I:I,df_extratos!F:F,Conciliacao!BE525,df_extratos!G:G,"CREDITO")+SUMIFS(df_extratos!I:I,df_extratos!F:F,Conciliacao!A525,df_extratos!G:G,"CREDITO")+SUMIFS(df_extratos!I:I,df_extratos!F:F,Conciliacao!BF525,df_extratos!G:G,"CREDITO")+SUMIFS(df_extratos!I:I,df_extratos!F:F,Conciliacao!BG525,df_extratos!G:G,"CREDITO")+SUMIFS(df_extratos!I:I,df_extratos!F:F,Conciliacao!BH525,df_extratos!G:G,"CREDITO")</f>
        <v/>
      </c>
      <c r="I525" s="9">
        <f>H525-SUM(B525:G525)</f>
        <v/>
      </c>
      <c r="J525" s="4">
        <f>SUMIFS(df_blueme_sem_parcelamento!E:E,df_blueme_sem_parcelamento!H:H,Conciliacao!A525)*(-1)</f>
        <v/>
      </c>
      <c r="K525" s="4">
        <f>SUMIFS(df_blueme_com_parcelamento!J:J,df_blueme_com_parcelamento!M:M,Conciliacao!A525)*(-1)</f>
        <v/>
      </c>
      <c r="L525" s="4">
        <f>SUMIFS(df_mutuos!N:N,df_mutuos!B:B,Conciliacao!A525)*(-1)</f>
        <v/>
      </c>
      <c r="M525" s="8">
        <f>SUMIFS(df_bloqueios_judiciais!G:G,df_bloqueios_judiciais!D:D,Conciliacao!A525,df_bloqueios_judiciais!G:G,"&lt;0")</f>
        <v/>
      </c>
      <c r="N525" s="10">
        <f>SUMIFS(df_extratos!I:I,df_extratos!F:F,Conciliacao!BE525,df_extratos!G:G,"DEBITO")+SUMIFS(df_extratos!I:I,df_extratos!F:F,Conciliacao!A525,df_extratos!G:G,"DEBITO")+SUMIFS(df_extratos!I:I,df_extratos!F:F,Conciliacao!BF525,df_extratos!G:G,"DEBITO")+SUMIFS(df_extratos!I:I,df_extratos!F:F,Conciliacao!BG525,df_extratos!G:G,"DEBITO")+SUMIFS(df_extratos!I:I,df_extratos!F:F,Conciliacao!BH525,df_extratos!G:G,"DEBITO")</f>
        <v/>
      </c>
      <c r="O525" s="11">
        <f>N525-SUM(J525:M525)</f>
        <v/>
      </c>
      <c r="P525" s="25">
        <f>SUMIFS(df_ajustes_conciliaco!D:D,df_ajustes_conciliaco!C:C,Conciliacao!A525)</f>
        <v/>
      </c>
      <c r="Q525" s="22">
        <f>O525+I525-P525</f>
        <v/>
      </c>
      <c r="BE525" s="20" t="n">
        <v>46181.5</v>
      </c>
      <c r="BF525" s="20" t="n">
        <v>46181.125</v>
      </c>
      <c r="BG525" s="20" t="n">
        <v>46181.5416666088</v>
      </c>
      <c r="BH525" s="20" t="n">
        <v>46181.625</v>
      </c>
    </row>
    <row r="526">
      <c r="A526" s="5">
        <f>A525+1</f>
        <v/>
      </c>
      <c r="B526" s="3">
        <f>-SUMIFS(df_extrato_zig!G:G,df_extrato_zig!E:E,Conciliacao!A526,df_extrato_zig!D:D,"Saque")-SUMIFS(df_extrato_zig!G:G,df_extrato_zig!E:E,Conciliacao!A526,df_extrato_zig!D:D,"Antecipação")</f>
        <v/>
      </c>
      <c r="C526" s="3">
        <f>SUMIFS(df_extrato_zig!E:E,df_extrato_zig!L:L,Conciliacao!A526,df_extrato_zig!F:F,"DINHEIRO")</f>
        <v/>
      </c>
      <c r="D526" s="3">
        <f>SUMIFS(view_parc_agrup!H:H,view_parc_agrup!G:G,Conciliacao!A526)</f>
        <v/>
      </c>
      <c r="E526" s="3">
        <f>SUMIFS(df_eventos!F:F,df_eventos!H:H,Conciliacao!A526)</f>
        <v/>
      </c>
      <c r="F526" s="3">
        <f>SUMIFS(df_mutuos!M:M,df_mutuos!B:B,Conciliacao!A526)</f>
        <v/>
      </c>
      <c r="G526" s="6">
        <f>SUMIFS(df_bloqueios_judiciais!G:G,df_bloqueios_judiciais!D:D,Conciliacao!A526,df_bloqueios_judiciais!G:G,"&gt;0")</f>
        <v/>
      </c>
      <c r="H526" s="7">
        <f>SUMIFS(df_extratos!I:I,df_extratos!F:F,Conciliacao!BE526,df_extratos!G:G,"CREDITO")+SUMIFS(df_extratos!I:I,df_extratos!F:F,Conciliacao!A526,df_extratos!G:G,"CREDITO")+SUMIFS(df_extratos!I:I,df_extratos!F:F,Conciliacao!BF526,df_extratos!G:G,"CREDITO")+SUMIFS(df_extratos!I:I,df_extratos!F:F,Conciliacao!BG526,df_extratos!G:G,"CREDITO")+SUMIFS(df_extratos!I:I,df_extratos!F:F,Conciliacao!BH526,df_extratos!G:G,"CREDITO")</f>
        <v/>
      </c>
      <c r="I526" s="9">
        <f>H526-SUM(B526:G526)</f>
        <v/>
      </c>
      <c r="J526" s="4">
        <f>SUMIFS(df_blueme_sem_parcelamento!E:E,df_blueme_sem_parcelamento!H:H,Conciliacao!A526)*(-1)</f>
        <v/>
      </c>
      <c r="K526" s="4">
        <f>SUMIFS(df_blueme_com_parcelamento!J:J,df_blueme_com_parcelamento!M:M,Conciliacao!A526)*(-1)</f>
        <v/>
      </c>
      <c r="L526" s="4">
        <f>SUMIFS(df_mutuos!N:N,df_mutuos!B:B,Conciliacao!A526)*(-1)</f>
        <v/>
      </c>
      <c r="M526" s="8">
        <f>SUMIFS(df_bloqueios_judiciais!G:G,df_bloqueios_judiciais!D:D,Conciliacao!A526,df_bloqueios_judiciais!G:G,"&lt;0")</f>
        <v/>
      </c>
      <c r="N526" s="10">
        <f>SUMIFS(df_extratos!I:I,df_extratos!F:F,Conciliacao!BE526,df_extratos!G:G,"DEBITO")+SUMIFS(df_extratos!I:I,df_extratos!F:F,Conciliacao!A526,df_extratos!G:G,"DEBITO")+SUMIFS(df_extratos!I:I,df_extratos!F:F,Conciliacao!BF526,df_extratos!G:G,"DEBITO")+SUMIFS(df_extratos!I:I,df_extratos!F:F,Conciliacao!BG526,df_extratos!G:G,"DEBITO")+SUMIFS(df_extratos!I:I,df_extratos!F:F,Conciliacao!BH526,df_extratos!G:G,"DEBITO")</f>
        <v/>
      </c>
      <c r="O526" s="11">
        <f>N526-SUM(J526:M526)</f>
        <v/>
      </c>
      <c r="P526" s="25">
        <f>SUMIFS(df_ajustes_conciliaco!D:D,df_ajustes_conciliaco!C:C,Conciliacao!A526)</f>
        <v/>
      </c>
      <c r="Q526" s="22">
        <f>O526+I526-P526</f>
        <v/>
      </c>
      <c r="BE526" s="20" t="n">
        <v>46182.5</v>
      </c>
      <c r="BF526" s="20" t="n">
        <v>46182.125</v>
      </c>
      <c r="BG526" s="20" t="n">
        <v>46182.5416666088</v>
      </c>
      <c r="BH526" s="20" t="n">
        <v>46182.625</v>
      </c>
    </row>
    <row r="527">
      <c r="A527" s="5">
        <f>A526+1</f>
        <v/>
      </c>
      <c r="B527" s="3">
        <f>-SUMIFS(df_extrato_zig!G:G,df_extrato_zig!E:E,Conciliacao!A527,df_extrato_zig!D:D,"Saque")-SUMIFS(df_extrato_zig!G:G,df_extrato_zig!E:E,Conciliacao!A527,df_extrato_zig!D:D,"Antecipação")</f>
        <v/>
      </c>
      <c r="C527" s="3">
        <f>SUMIFS(df_extrato_zig!E:E,df_extrato_zig!L:L,Conciliacao!A527,df_extrato_zig!F:F,"DINHEIRO")</f>
        <v/>
      </c>
      <c r="D527" s="3">
        <f>SUMIFS(view_parc_agrup!H:H,view_parc_agrup!G:G,Conciliacao!A527)</f>
        <v/>
      </c>
      <c r="E527" s="3">
        <f>SUMIFS(df_eventos!F:F,df_eventos!H:H,Conciliacao!A527)</f>
        <v/>
      </c>
      <c r="F527" s="3">
        <f>SUMIFS(df_mutuos!M:M,df_mutuos!B:B,Conciliacao!A527)</f>
        <v/>
      </c>
      <c r="G527" s="6">
        <f>SUMIFS(df_bloqueios_judiciais!G:G,df_bloqueios_judiciais!D:D,Conciliacao!A527,df_bloqueios_judiciais!G:G,"&gt;0")</f>
        <v/>
      </c>
      <c r="H527" s="7">
        <f>SUMIFS(df_extratos!I:I,df_extratos!F:F,Conciliacao!BE527,df_extratos!G:G,"CREDITO")+SUMIFS(df_extratos!I:I,df_extratos!F:F,Conciliacao!A527,df_extratos!G:G,"CREDITO")+SUMIFS(df_extratos!I:I,df_extratos!F:F,Conciliacao!BF527,df_extratos!G:G,"CREDITO")+SUMIFS(df_extratos!I:I,df_extratos!F:F,Conciliacao!BG527,df_extratos!G:G,"CREDITO")+SUMIFS(df_extratos!I:I,df_extratos!F:F,Conciliacao!BH527,df_extratos!G:G,"CREDITO")</f>
        <v/>
      </c>
      <c r="I527" s="9">
        <f>H527-SUM(B527:G527)</f>
        <v/>
      </c>
      <c r="J527" s="4">
        <f>SUMIFS(df_blueme_sem_parcelamento!E:E,df_blueme_sem_parcelamento!H:H,Conciliacao!A527)*(-1)</f>
        <v/>
      </c>
      <c r="K527" s="4">
        <f>SUMIFS(df_blueme_com_parcelamento!J:J,df_blueme_com_parcelamento!M:M,Conciliacao!A527)*(-1)</f>
        <v/>
      </c>
      <c r="L527" s="4">
        <f>SUMIFS(df_mutuos!N:N,df_mutuos!B:B,Conciliacao!A527)*(-1)</f>
        <v/>
      </c>
      <c r="M527" s="8">
        <f>SUMIFS(df_bloqueios_judiciais!G:G,df_bloqueios_judiciais!D:D,Conciliacao!A527,df_bloqueios_judiciais!G:G,"&lt;0")</f>
        <v/>
      </c>
      <c r="N527" s="10">
        <f>SUMIFS(df_extratos!I:I,df_extratos!F:F,Conciliacao!BE527,df_extratos!G:G,"DEBITO")+SUMIFS(df_extratos!I:I,df_extratos!F:F,Conciliacao!A527,df_extratos!G:G,"DEBITO")+SUMIFS(df_extratos!I:I,df_extratos!F:F,Conciliacao!BF527,df_extratos!G:G,"DEBITO")+SUMIFS(df_extratos!I:I,df_extratos!F:F,Conciliacao!BG527,df_extratos!G:G,"DEBITO")+SUMIFS(df_extratos!I:I,df_extratos!F:F,Conciliacao!BH527,df_extratos!G:G,"DEBITO")</f>
        <v/>
      </c>
      <c r="O527" s="11">
        <f>N527-SUM(J527:M527)</f>
        <v/>
      </c>
      <c r="P527" s="25">
        <f>SUMIFS(df_ajustes_conciliaco!D:D,df_ajustes_conciliaco!C:C,Conciliacao!A527)</f>
        <v/>
      </c>
      <c r="Q527" s="22">
        <f>O527+I527-P527</f>
        <v/>
      </c>
      <c r="BE527" s="20" t="n">
        <v>46183.5</v>
      </c>
      <c r="BF527" s="20" t="n">
        <v>46183.125</v>
      </c>
      <c r="BG527" s="20" t="n">
        <v>46183.5416666088</v>
      </c>
      <c r="BH527" s="20" t="n">
        <v>46183.625</v>
      </c>
    </row>
    <row r="528">
      <c r="A528" s="5">
        <f>A527+1</f>
        <v/>
      </c>
      <c r="B528" s="3">
        <f>-SUMIFS(df_extrato_zig!G:G,df_extrato_zig!E:E,Conciliacao!A528,df_extrato_zig!D:D,"Saque")-SUMIFS(df_extrato_zig!G:G,df_extrato_zig!E:E,Conciliacao!A528,df_extrato_zig!D:D,"Antecipação")</f>
        <v/>
      </c>
      <c r="C528" s="3">
        <f>SUMIFS(df_extrato_zig!E:E,df_extrato_zig!L:L,Conciliacao!A528,df_extrato_zig!F:F,"DINHEIRO")</f>
        <v/>
      </c>
      <c r="D528" s="3">
        <f>SUMIFS(view_parc_agrup!H:H,view_parc_agrup!G:G,Conciliacao!A528)</f>
        <v/>
      </c>
      <c r="E528" s="3">
        <f>SUMIFS(df_eventos!F:F,df_eventos!H:H,Conciliacao!A528)</f>
        <v/>
      </c>
      <c r="F528" s="3">
        <f>SUMIFS(df_mutuos!M:M,df_mutuos!B:B,Conciliacao!A528)</f>
        <v/>
      </c>
      <c r="G528" s="6">
        <f>SUMIFS(df_bloqueios_judiciais!G:G,df_bloqueios_judiciais!D:D,Conciliacao!A528,df_bloqueios_judiciais!G:G,"&gt;0")</f>
        <v/>
      </c>
      <c r="H528" s="7">
        <f>SUMIFS(df_extratos!I:I,df_extratos!F:F,Conciliacao!BE528,df_extratos!G:G,"CREDITO")+SUMIFS(df_extratos!I:I,df_extratos!F:F,Conciliacao!A528,df_extratos!G:G,"CREDITO")+SUMIFS(df_extratos!I:I,df_extratos!F:F,Conciliacao!BF528,df_extratos!G:G,"CREDITO")+SUMIFS(df_extratos!I:I,df_extratos!F:F,Conciliacao!BG528,df_extratos!G:G,"CREDITO")+SUMIFS(df_extratos!I:I,df_extratos!F:F,Conciliacao!BH528,df_extratos!G:G,"CREDITO")</f>
        <v/>
      </c>
      <c r="I528" s="9">
        <f>H528-SUM(B528:G528)</f>
        <v/>
      </c>
      <c r="J528" s="4">
        <f>SUMIFS(df_blueme_sem_parcelamento!E:E,df_blueme_sem_parcelamento!H:H,Conciliacao!A528)*(-1)</f>
        <v/>
      </c>
      <c r="K528" s="4">
        <f>SUMIFS(df_blueme_com_parcelamento!J:J,df_blueme_com_parcelamento!M:M,Conciliacao!A528)*(-1)</f>
        <v/>
      </c>
      <c r="L528" s="4">
        <f>SUMIFS(df_mutuos!N:N,df_mutuos!B:B,Conciliacao!A528)*(-1)</f>
        <v/>
      </c>
      <c r="M528" s="8">
        <f>SUMIFS(df_bloqueios_judiciais!G:G,df_bloqueios_judiciais!D:D,Conciliacao!A528,df_bloqueios_judiciais!G:G,"&lt;0")</f>
        <v/>
      </c>
      <c r="N528" s="10">
        <f>SUMIFS(df_extratos!I:I,df_extratos!F:F,Conciliacao!BE528,df_extratos!G:G,"DEBITO")+SUMIFS(df_extratos!I:I,df_extratos!F:F,Conciliacao!A528,df_extratos!G:G,"DEBITO")+SUMIFS(df_extratos!I:I,df_extratos!F:F,Conciliacao!BF528,df_extratos!G:G,"DEBITO")+SUMIFS(df_extratos!I:I,df_extratos!F:F,Conciliacao!BG528,df_extratos!G:G,"DEBITO")+SUMIFS(df_extratos!I:I,df_extratos!F:F,Conciliacao!BH528,df_extratos!G:G,"DEBITO")</f>
        <v/>
      </c>
      <c r="O528" s="11">
        <f>N528-SUM(J528:M528)</f>
        <v/>
      </c>
      <c r="P528" s="25">
        <f>SUMIFS(df_ajustes_conciliaco!D:D,df_ajustes_conciliaco!C:C,Conciliacao!A528)</f>
        <v/>
      </c>
      <c r="Q528" s="22">
        <f>O528+I528-P528</f>
        <v/>
      </c>
      <c r="BE528" s="20" t="n">
        <v>46184.5</v>
      </c>
      <c r="BF528" s="20" t="n">
        <v>46184.125</v>
      </c>
      <c r="BG528" s="20" t="n">
        <v>46184.5416666088</v>
      </c>
      <c r="BH528" s="20" t="n">
        <v>46184.625</v>
      </c>
    </row>
    <row r="529">
      <c r="A529" s="5">
        <f>A528+1</f>
        <v/>
      </c>
      <c r="B529" s="3">
        <f>-SUMIFS(df_extrato_zig!G:G,df_extrato_zig!E:E,Conciliacao!A529,df_extrato_zig!D:D,"Saque")-SUMIFS(df_extrato_zig!G:G,df_extrato_zig!E:E,Conciliacao!A529,df_extrato_zig!D:D,"Antecipação")</f>
        <v/>
      </c>
      <c r="C529" s="3">
        <f>SUMIFS(df_extrato_zig!E:E,df_extrato_zig!L:L,Conciliacao!A529,df_extrato_zig!F:F,"DINHEIRO")</f>
        <v/>
      </c>
      <c r="D529" s="3">
        <f>SUMIFS(view_parc_agrup!H:H,view_parc_agrup!G:G,Conciliacao!A529)</f>
        <v/>
      </c>
      <c r="E529" s="3">
        <f>SUMIFS(df_eventos!F:F,df_eventos!H:H,Conciliacao!A529)</f>
        <v/>
      </c>
      <c r="F529" s="3">
        <f>SUMIFS(df_mutuos!M:M,df_mutuos!B:B,Conciliacao!A529)</f>
        <v/>
      </c>
      <c r="G529" s="6">
        <f>SUMIFS(df_bloqueios_judiciais!G:G,df_bloqueios_judiciais!D:D,Conciliacao!A529,df_bloqueios_judiciais!G:G,"&gt;0")</f>
        <v/>
      </c>
      <c r="H529" s="7">
        <f>SUMIFS(df_extratos!I:I,df_extratos!F:F,Conciliacao!BE529,df_extratos!G:G,"CREDITO")+SUMIFS(df_extratos!I:I,df_extratos!F:F,Conciliacao!A529,df_extratos!G:G,"CREDITO")+SUMIFS(df_extratos!I:I,df_extratos!F:F,Conciliacao!BF529,df_extratos!G:G,"CREDITO")+SUMIFS(df_extratos!I:I,df_extratos!F:F,Conciliacao!BG529,df_extratos!G:G,"CREDITO")+SUMIFS(df_extratos!I:I,df_extratos!F:F,Conciliacao!BH529,df_extratos!G:G,"CREDITO")</f>
        <v/>
      </c>
      <c r="I529" s="9">
        <f>H529-SUM(B529:G529)</f>
        <v/>
      </c>
      <c r="J529" s="4">
        <f>SUMIFS(df_blueme_sem_parcelamento!E:E,df_blueme_sem_parcelamento!H:H,Conciliacao!A529)*(-1)</f>
        <v/>
      </c>
      <c r="K529" s="4">
        <f>SUMIFS(df_blueme_com_parcelamento!J:J,df_blueme_com_parcelamento!M:M,Conciliacao!A529)*(-1)</f>
        <v/>
      </c>
      <c r="L529" s="4">
        <f>SUMIFS(df_mutuos!N:N,df_mutuos!B:B,Conciliacao!A529)*(-1)</f>
        <v/>
      </c>
      <c r="M529" s="8">
        <f>SUMIFS(df_bloqueios_judiciais!G:G,df_bloqueios_judiciais!D:D,Conciliacao!A529,df_bloqueios_judiciais!G:G,"&lt;0")</f>
        <v/>
      </c>
      <c r="N529" s="10">
        <f>SUMIFS(df_extratos!I:I,df_extratos!F:F,Conciliacao!BE529,df_extratos!G:G,"DEBITO")+SUMIFS(df_extratos!I:I,df_extratos!F:F,Conciliacao!A529,df_extratos!G:G,"DEBITO")+SUMIFS(df_extratos!I:I,df_extratos!F:F,Conciliacao!BF529,df_extratos!G:G,"DEBITO")+SUMIFS(df_extratos!I:I,df_extratos!F:F,Conciliacao!BG529,df_extratos!G:G,"DEBITO")+SUMIFS(df_extratos!I:I,df_extratos!F:F,Conciliacao!BH529,df_extratos!G:G,"DEBITO")</f>
        <v/>
      </c>
      <c r="O529" s="11">
        <f>N529-SUM(J529:M529)</f>
        <v/>
      </c>
      <c r="P529" s="25">
        <f>SUMIFS(df_ajustes_conciliaco!D:D,df_ajustes_conciliaco!C:C,Conciliacao!A529)</f>
        <v/>
      </c>
      <c r="Q529" s="22">
        <f>O529+I529-P529</f>
        <v/>
      </c>
      <c r="BE529" s="20" t="n">
        <v>46185.5</v>
      </c>
      <c r="BF529" s="20" t="n">
        <v>46185.125</v>
      </c>
      <c r="BG529" s="20" t="n">
        <v>46185.5416666088</v>
      </c>
      <c r="BH529" s="20" t="n">
        <v>46185.625</v>
      </c>
    </row>
    <row r="530">
      <c r="A530" s="5">
        <f>A529+1</f>
        <v/>
      </c>
      <c r="B530" s="3">
        <f>-SUMIFS(df_extrato_zig!G:G,df_extrato_zig!E:E,Conciliacao!A530,df_extrato_zig!D:D,"Saque")-SUMIFS(df_extrato_zig!G:G,df_extrato_zig!E:E,Conciliacao!A530,df_extrato_zig!D:D,"Antecipação")</f>
        <v/>
      </c>
      <c r="C530" s="3">
        <f>SUMIFS(df_extrato_zig!E:E,df_extrato_zig!L:L,Conciliacao!A530,df_extrato_zig!F:F,"DINHEIRO")</f>
        <v/>
      </c>
      <c r="D530" s="3">
        <f>SUMIFS(view_parc_agrup!H:H,view_parc_agrup!G:G,Conciliacao!A530)</f>
        <v/>
      </c>
      <c r="E530" s="3">
        <f>SUMIFS(df_eventos!F:F,df_eventos!H:H,Conciliacao!A530)</f>
        <v/>
      </c>
      <c r="F530" s="3">
        <f>SUMIFS(df_mutuos!M:M,df_mutuos!B:B,Conciliacao!A530)</f>
        <v/>
      </c>
      <c r="G530" s="6">
        <f>SUMIFS(df_bloqueios_judiciais!G:G,df_bloqueios_judiciais!D:D,Conciliacao!A530,df_bloqueios_judiciais!G:G,"&gt;0")</f>
        <v/>
      </c>
      <c r="H530" s="7">
        <f>SUMIFS(df_extratos!I:I,df_extratos!F:F,Conciliacao!BE530,df_extratos!G:G,"CREDITO")+SUMIFS(df_extratos!I:I,df_extratos!F:F,Conciliacao!A530,df_extratos!G:G,"CREDITO")+SUMIFS(df_extratos!I:I,df_extratos!F:F,Conciliacao!BF530,df_extratos!G:G,"CREDITO")+SUMIFS(df_extratos!I:I,df_extratos!F:F,Conciliacao!BG530,df_extratos!G:G,"CREDITO")+SUMIFS(df_extratos!I:I,df_extratos!F:F,Conciliacao!BH530,df_extratos!G:G,"CREDITO")</f>
        <v/>
      </c>
      <c r="I530" s="9">
        <f>H530-SUM(B530:G530)</f>
        <v/>
      </c>
      <c r="J530" s="4">
        <f>SUMIFS(df_blueme_sem_parcelamento!E:E,df_blueme_sem_parcelamento!H:H,Conciliacao!A530)*(-1)</f>
        <v/>
      </c>
      <c r="K530" s="4">
        <f>SUMIFS(df_blueme_com_parcelamento!J:J,df_blueme_com_parcelamento!M:M,Conciliacao!A530)*(-1)</f>
        <v/>
      </c>
      <c r="L530" s="4">
        <f>SUMIFS(df_mutuos!N:N,df_mutuos!B:B,Conciliacao!A530)*(-1)</f>
        <v/>
      </c>
      <c r="M530" s="8">
        <f>SUMIFS(df_bloqueios_judiciais!G:G,df_bloqueios_judiciais!D:D,Conciliacao!A530,df_bloqueios_judiciais!G:G,"&lt;0")</f>
        <v/>
      </c>
      <c r="N530" s="10">
        <f>SUMIFS(df_extratos!I:I,df_extratos!F:F,Conciliacao!BE530,df_extratos!G:G,"DEBITO")+SUMIFS(df_extratos!I:I,df_extratos!F:F,Conciliacao!A530,df_extratos!G:G,"DEBITO")+SUMIFS(df_extratos!I:I,df_extratos!F:F,Conciliacao!BF530,df_extratos!G:G,"DEBITO")+SUMIFS(df_extratos!I:I,df_extratos!F:F,Conciliacao!BG530,df_extratos!G:G,"DEBITO")+SUMIFS(df_extratos!I:I,df_extratos!F:F,Conciliacao!BH530,df_extratos!G:G,"DEBITO")</f>
        <v/>
      </c>
      <c r="O530" s="11">
        <f>N530-SUM(J530:M530)</f>
        <v/>
      </c>
      <c r="P530" s="25">
        <f>SUMIFS(df_ajustes_conciliaco!D:D,df_ajustes_conciliaco!C:C,Conciliacao!A530)</f>
        <v/>
      </c>
      <c r="Q530" s="22">
        <f>O530+I530-P530</f>
        <v/>
      </c>
      <c r="BE530" s="20" t="n">
        <v>46186.5</v>
      </c>
      <c r="BF530" s="20" t="n">
        <v>46186.125</v>
      </c>
      <c r="BG530" s="20" t="n">
        <v>46186.5416666088</v>
      </c>
      <c r="BH530" s="20" t="n">
        <v>46186.625</v>
      </c>
    </row>
    <row r="531">
      <c r="A531" s="5">
        <f>A530+1</f>
        <v/>
      </c>
      <c r="B531" s="3">
        <f>-SUMIFS(df_extrato_zig!G:G,df_extrato_zig!E:E,Conciliacao!A531,df_extrato_zig!D:D,"Saque")-SUMIFS(df_extrato_zig!G:G,df_extrato_zig!E:E,Conciliacao!A531,df_extrato_zig!D:D,"Antecipação")</f>
        <v/>
      </c>
      <c r="C531" s="3">
        <f>SUMIFS(df_extrato_zig!E:E,df_extrato_zig!L:L,Conciliacao!A531,df_extrato_zig!F:F,"DINHEIRO")</f>
        <v/>
      </c>
      <c r="D531" s="3">
        <f>SUMIFS(view_parc_agrup!H:H,view_parc_agrup!G:G,Conciliacao!A531)</f>
        <v/>
      </c>
      <c r="E531" s="3">
        <f>SUMIFS(df_eventos!F:F,df_eventos!H:H,Conciliacao!A531)</f>
        <v/>
      </c>
      <c r="F531" s="3">
        <f>SUMIFS(df_mutuos!M:M,df_mutuos!B:B,Conciliacao!A531)</f>
        <v/>
      </c>
      <c r="G531" s="6">
        <f>SUMIFS(df_bloqueios_judiciais!G:G,df_bloqueios_judiciais!D:D,Conciliacao!A531,df_bloqueios_judiciais!G:G,"&gt;0")</f>
        <v/>
      </c>
      <c r="H531" s="7">
        <f>SUMIFS(df_extratos!I:I,df_extratos!F:F,Conciliacao!BE531,df_extratos!G:G,"CREDITO")+SUMIFS(df_extratos!I:I,df_extratos!F:F,Conciliacao!A531,df_extratos!G:G,"CREDITO")+SUMIFS(df_extratos!I:I,df_extratos!F:F,Conciliacao!BF531,df_extratos!G:G,"CREDITO")+SUMIFS(df_extratos!I:I,df_extratos!F:F,Conciliacao!BG531,df_extratos!G:G,"CREDITO")+SUMIFS(df_extratos!I:I,df_extratos!F:F,Conciliacao!BH531,df_extratos!G:G,"CREDITO")</f>
        <v/>
      </c>
      <c r="I531" s="9">
        <f>H531-SUM(B531:G531)</f>
        <v/>
      </c>
      <c r="J531" s="4">
        <f>SUMIFS(df_blueme_sem_parcelamento!E:E,df_blueme_sem_parcelamento!H:H,Conciliacao!A531)*(-1)</f>
        <v/>
      </c>
      <c r="K531" s="4">
        <f>SUMIFS(df_blueme_com_parcelamento!J:J,df_blueme_com_parcelamento!M:M,Conciliacao!A531)*(-1)</f>
        <v/>
      </c>
      <c r="L531" s="4">
        <f>SUMIFS(df_mutuos!N:N,df_mutuos!B:B,Conciliacao!A531)*(-1)</f>
        <v/>
      </c>
      <c r="M531" s="8">
        <f>SUMIFS(df_bloqueios_judiciais!G:G,df_bloqueios_judiciais!D:D,Conciliacao!A531,df_bloqueios_judiciais!G:G,"&lt;0")</f>
        <v/>
      </c>
      <c r="N531" s="10">
        <f>SUMIFS(df_extratos!I:I,df_extratos!F:F,Conciliacao!BE531,df_extratos!G:G,"DEBITO")+SUMIFS(df_extratos!I:I,df_extratos!F:F,Conciliacao!A531,df_extratos!G:G,"DEBITO")+SUMIFS(df_extratos!I:I,df_extratos!F:F,Conciliacao!BF531,df_extratos!G:G,"DEBITO")+SUMIFS(df_extratos!I:I,df_extratos!F:F,Conciliacao!BG531,df_extratos!G:G,"DEBITO")+SUMIFS(df_extratos!I:I,df_extratos!F:F,Conciliacao!BH531,df_extratos!G:G,"DEBITO")</f>
        <v/>
      </c>
      <c r="O531" s="11">
        <f>N531-SUM(J531:M531)</f>
        <v/>
      </c>
      <c r="P531" s="25">
        <f>SUMIFS(df_ajustes_conciliaco!D:D,df_ajustes_conciliaco!C:C,Conciliacao!A531)</f>
        <v/>
      </c>
      <c r="Q531" s="22">
        <f>O531+I531-P531</f>
        <v/>
      </c>
      <c r="BE531" s="20" t="n">
        <v>46187.5</v>
      </c>
      <c r="BF531" s="20" t="n">
        <v>46187.125</v>
      </c>
      <c r="BG531" s="20" t="n">
        <v>46187.5416666088</v>
      </c>
      <c r="BH531" s="20" t="n">
        <v>46187.625</v>
      </c>
    </row>
    <row r="532">
      <c r="A532" s="5">
        <f>A531+1</f>
        <v/>
      </c>
      <c r="B532" s="3">
        <f>-SUMIFS(df_extrato_zig!G:G,df_extrato_zig!E:E,Conciliacao!A532,df_extrato_zig!D:D,"Saque")-SUMIFS(df_extrato_zig!G:G,df_extrato_zig!E:E,Conciliacao!A532,df_extrato_zig!D:D,"Antecipação")</f>
        <v/>
      </c>
      <c r="C532" s="3">
        <f>SUMIFS(df_extrato_zig!E:E,df_extrato_zig!L:L,Conciliacao!A532,df_extrato_zig!F:F,"DINHEIRO")</f>
        <v/>
      </c>
      <c r="D532" s="3">
        <f>SUMIFS(view_parc_agrup!H:H,view_parc_agrup!G:G,Conciliacao!A532)</f>
        <v/>
      </c>
      <c r="E532" s="3">
        <f>SUMIFS(df_eventos!F:F,df_eventos!H:H,Conciliacao!A532)</f>
        <v/>
      </c>
      <c r="F532" s="3">
        <f>SUMIFS(df_mutuos!M:M,df_mutuos!B:B,Conciliacao!A532)</f>
        <v/>
      </c>
      <c r="G532" s="6">
        <f>SUMIFS(df_bloqueios_judiciais!G:G,df_bloqueios_judiciais!D:D,Conciliacao!A532,df_bloqueios_judiciais!G:G,"&gt;0")</f>
        <v/>
      </c>
      <c r="H532" s="7">
        <f>SUMIFS(df_extratos!I:I,df_extratos!F:F,Conciliacao!BE532,df_extratos!G:G,"CREDITO")+SUMIFS(df_extratos!I:I,df_extratos!F:F,Conciliacao!A532,df_extratos!G:G,"CREDITO")+SUMIFS(df_extratos!I:I,df_extratos!F:F,Conciliacao!BF532,df_extratos!G:G,"CREDITO")+SUMIFS(df_extratos!I:I,df_extratos!F:F,Conciliacao!BG532,df_extratos!G:G,"CREDITO")+SUMIFS(df_extratos!I:I,df_extratos!F:F,Conciliacao!BH532,df_extratos!G:G,"CREDITO")</f>
        <v/>
      </c>
      <c r="I532" s="9">
        <f>H532-SUM(B532:G532)</f>
        <v/>
      </c>
      <c r="J532" s="4">
        <f>SUMIFS(df_blueme_sem_parcelamento!E:E,df_blueme_sem_parcelamento!H:H,Conciliacao!A532)*(-1)</f>
        <v/>
      </c>
      <c r="K532" s="4">
        <f>SUMIFS(df_blueme_com_parcelamento!J:J,df_blueme_com_parcelamento!M:M,Conciliacao!A532)*(-1)</f>
        <v/>
      </c>
      <c r="L532" s="4">
        <f>SUMIFS(df_mutuos!N:N,df_mutuos!B:B,Conciliacao!A532)*(-1)</f>
        <v/>
      </c>
      <c r="M532" s="8">
        <f>SUMIFS(df_bloqueios_judiciais!G:G,df_bloqueios_judiciais!D:D,Conciliacao!A532,df_bloqueios_judiciais!G:G,"&lt;0")</f>
        <v/>
      </c>
      <c r="N532" s="10">
        <f>SUMIFS(df_extratos!I:I,df_extratos!F:F,Conciliacao!BE532,df_extratos!G:G,"DEBITO")+SUMIFS(df_extratos!I:I,df_extratos!F:F,Conciliacao!A532,df_extratos!G:G,"DEBITO")+SUMIFS(df_extratos!I:I,df_extratos!F:F,Conciliacao!BF532,df_extratos!G:G,"DEBITO")+SUMIFS(df_extratos!I:I,df_extratos!F:F,Conciliacao!BG532,df_extratos!G:G,"DEBITO")+SUMIFS(df_extratos!I:I,df_extratos!F:F,Conciliacao!BH532,df_extratos!G:G,"DEBITO")</f>
        <v/>
      </c>
      <c r="O532" s="11">
        <f>N532-SUM(J532:M532)</f>
        <v/>
      </c>
      <c r="P532" s="25">
        <f>SUMIFS(df_ajustes_conciliaco!D:D,df_ajustes_conciliaco!C:C,Conciliacao!A532)</f>
        <v/>
      </c>
      <c r="Q532" s="22">
        <f>O532+I532-P532</f>
        <v/>
      </c>
      <c r="BE532" s="20" t="n">
        <v>46188.5</v>
      </c>
      <c r="BF532" s="20" t="n">
        <v>46188.125</v>
      </c>
      <c r="BG532" s="20" t="n">
        <v>46188.5416666088</v>
      </c>
      <c r="BH532" s="20" t="n">
        <v>46188.625</v>
      </c>
    </row>
    <row r="533">
      <c r="A533" s="5">
        <f>A532+1</f>
        <v/>
      </c>
      <c r="B533" s="3">
        <f>-SUMIFS(df_extrato_zig!G:G,df_extrato_zig!E:E,Conciliacao!A533,df_extrato_zig!D:D,"Saque")-SUMIFS(df_extrato_zig!G:G,df_extrato_zig!E:E,Conciliacao!A533,df_extrato_zig!D:D,"Antecipação")</f>
        <v/>
      </c>
      <c r="C533" s="3">
        <f>SUMIFS(df_extrato_zig!E:E,df_extrato_zig!L:L,Conciliacao!A533,df_extrato_zig!F:F,"DINHEIRO")</f>
        <v/>
      </c>
      <c r="D533" s="3">
        <f>SUMIFS(view_parc_agrup!H:H,view_parc_agrup!G:G,Conciliacao!A533)</f>
        <v/>
      </c>
      <c r="E533" s="3">
        <f>SUMIFS(df_eventos!F:F,df_eventos!H:H,Conciliacao!A533)</f>
        <v/>
      </c>
      <c r="F533" s="3">
        <f>SUMIFS(df_mutuos!M:M,df_mutuos!B:B,Conciliacao!A533)</f>
        <v/>
      </c>
      <c r="G533" s="6">
        <f>SUMIFS(df_bloqueios_judiciais!G:G,df_bloqueios_judiciais!D:D,Conciliacao!A533,df_bloqueios_judiciais!G:G,"&gt;0")</f>
        <v/>
      </c>
      <c r="H533" s="7">
        <f>SUMIFS(df_extratos!I:I,df_extratos!F:F,Conciliacao!BE533,df_extratos!G:G,"CREDITO")+SUMIFS(df_extratos!I:I,df_extratos!F:F,Conciliacao!A533,df_extratos!G:G,"CREDITO")+SUMIFS(df_extratos!I:I,df_extratos!F:F,Conciliacao!BF533,df_extratos!G:G,"CREDITO")+SUMIFS(df_extratos!I:I,df_extratos!F:F,Conciliacao!BG533,df_extratos!G:G,"CREDITO")+SUMIFS(df_extratos!I:I,df_extratos!F:F,Conciliacao!BH533,df_extratos!G:G,"CREDITO")</f>
        <v/>
      </c>
      <c r="I533" s="9">
        <f>H533-SUM(B533:G533)</f>
        <v/>
      </c>
      <c r="J533" s="4">
        <f>SUMIFS(df_blueme_sem_parcelamento!E:E,df_blueme_sem_parcelamento!H:H,Conciliacao!A533)*(-1)</f>
        <v/>
      </c>
      <c r="K533" s="4">
        <f>SUMIFS(df_blueme_com_parcelamento!J:J,df_blueme_com_parcelamento!M:M,Conciliacao!A533)*(-1)</f>
        <v/>
      </c>
      <c r="L533" s="4">
        <f>SUMIFS(df_mutuos!N:N,df_mutuos!B:B,Conciliacao!A533)*(-1)</f>
        <v/>
      </c>
      <c r="M533" s="8">
        <f>SUMIFS(df_bloqueios_judiciais!G:G,df_bloqueios_judiciais!D:D,Conciliacao!A533,df_bloqueios_judiciais!G:G,"&lt;0")</f>
        <v/>
      </c>
      <c r="N533" s="10">
        <f>SUMIFS(df_extratos!I:I,df_extratos!F:F,Conciliacao!BE533,df_extratos!G:G,"DEBITO")+SUMIFS(df_extratos!I:I,df_extratos!F:F,Conciliacao!A533,df_extratos!G:G,"DEBITO")+SUMIFS(df_extratos!I:I,df_extratos!F:F,Conciliacao!BF533,df_extratos!G:G,"DEBITO")+SUMIFS(df_extratos!I:I,df_extratos!F:F,Conciliacao!BG533,df_extratos!G:G,"DEBITO")+SUMIFS(df_extratos!I:I,df_extratos!F:F,Conciliacao!BH533,df_extratos!G:G,"DEBITO")</f>
        <v/>
      </c>
      <c r="O533" s="11">
        <f>N533-SUM(J533:M533)</f>
        <v/>
      </c>
      <c r="P533" s="25">
        <f>SUMIFS(df_ajustes_conciliaco!D:D,df_ajustes_conciliaco!C:C,Conciliacao!A533)</f>
        <v/>
      </c>
      <c r="Q533" s="22">
        <f>O533+I533-P533</f>
        <v/>
      </c>
      <c r="BE533" s="20" t="n">
        <v>46189.5</v>
      </c>
      <c r="BF533" s="20" t="n">
        <v>46189.125</v>
      </c>
      <c r="BG533" s="20" t="n">
        <v>46189.5416666088</v>
      </c>
      <c r="BH533" s="20" t="n">
        <v>46189.625</v>
      </c>
    </row>
    <row r="534">
      <c r="A534" s="5">
        <f>A533+1</f>
        <v/>
      </c>
      <c r="B534" s="3">
        <f>-SUMIFS(df_extrato_zig!G:G,df_extrato_zig!E:E,Conciliacao!A534,df_extrato_zig!D:D,"Saque")-SUMIFS(df_extrato_zig!G:G,df_extrato_zig!E:E,Conciliacao!A534,df_extrato_zig!D:D,"Antecipação")</f>
        <v/>
      </c>
      <c r="C534" s="3">
        <f>SUMIFS(df_extrato_zig!E:E,df_extrato_zig!L:L,Conciliacao!A534,df_extrato_zig!F:F,"DINHEIRO")</f>
        <v/>
      </c>
      <c r="D534" s="3">
        <f>SUMIFS(view_parc_agrup!H:H,view_parc_agrup!G:G,Conciliacao!A534)</f>
        <v/>
      </c>
      <c r="E534" s="3">
        <f>SUMIFS(df_eventos!F:F,df_eventos!H:H,Conciliacao!A534)</f>
        <v/>
      </c>
      <c r="F534" s="3">
        <f>SUMIFS(df_mutuos!M:M,df_mutuos!B:B,Conciliacao!A534)</f>
        <v/>
      </c>
      <c r="G534" s="6">
        <f>SUMIFS(df_bloqueios_judiciais!G:G,df_bloqueios_judiciais!D:D,Conciliacao!A534,df_bloqueios_judiciais!G:G,"&gt;0")</f>
        <v/>
      </c>
      <c r="H534" s="7">
        <f>SUMIFS(df_extratos!I:I,df_extratos!F:F,Conciliacao!BE534,df_extratos!G:G,"CREDITO")+SUMIFS(df_extratos!I:I,df_extratos!F:F,Conciliacao!A534,df_extratos!G:G,"CREDITO")+SUMIFS(df_extratos!I:I,df_extratos!F:F,Conciliacao!BF534,df_extratos!G:G,"CREDITO")+SUMIFS(df_extratos!I:I,df_extratos!F:F,Conciliacao!BG534,df_extratos!G:G,"CREDITO")+SUMIFS(df_extratos!I:I,df_extratos!F:F,Conciliacao!BH534,df_extratos!G:G,"CREDITO")</f>
        <v/>
      </c>
      <c r="I534" s="9">
        <f>H534-SUM(B534:G534)</f>
        <v/>
      </c>
      <c r="J534" s="4">
        <f>SUMIFS(df_blueme_sem_parcelamento!E:E,df_blueme_sem_parcelamento!H:H,Conciliacao!A534)*(-1)</f>
        <v/>
      </c>
      <c r="K534" s="4">
        <f>SUMIFS(df_blueme_com_parcelamento!J:J,df_blueme_com_parcelamento!M:M,Conciliacao!A534)*(-1)</f>
        <v/>
      </c>
      <c r="L534" s="4">
        <f>SUMIFS(df_mutuos!N:N,df_mutuos!B:B,Conciliacao!A534)*(-1)</f>
        <v/>
      </c>
      <c r="M534" s="8">
        <f>SUMIFS(df_bloqueios_judiciais!G:G,df_bloqueios_judiciais!D:D,Conciliacao!A534,df_bloqueios_judiciais!G:G,"&lt;0")</f>
        <v/>
      </c>
      <c r="N534" s="10">
        <f>SUMIFS(df_extratos!I:I,df_extratos!F:F,Conciliacao!BE534,df_extratos!G:G,"DEBITO")+SUMIFS(df_extratos!I:I,df_extratos!F:F,Conciliacao!A534,df_extratos!G:G,"DEBITO")+SUMIFS(df_extratos!I:I,df_extratos!F:F,Conciliacao!BF534,df_extratos!G:G,"DEBITO")+SUMIFS(df_extratos!I:I,df_extratos!F:F,Conciliacao!BG534,df_extratos!G:G,"DEBITO")+SUMIFS(df_extratos!I:I,df_extratos!F:F,Conciliacao!BH534,df_extratos!G:G,"DEBITO")</f>
        <v/>
      </c>
      <c r="O534" s="11">
        <f>N534-SUM(J534:M534)</f>
        <v/>
      </c>
      <c r="P534" s="25">
        <f>SUMIFS(df_ajustes_conciliaco!D:D,df_ajustes_conciliaco!C:C,Conciliacao!A534)</f>
        <v/>
      </c>
      <c r="Q534" s="22">
        <f>O534+I534-P534</f>
        <v/>
      </c>
      <c r="BE534" s="20" t="n">
        <v>46190.5</v>
      </c>
      <c r="BF534" s="20" t="n">
        <v>46190.125</v>
      </c>
      <c r="BG534" s="20" t="n">
        <v>46190.5416666088</v>
      </c>
      <c r="BH534" s="20" t="n">
        <v>46190.625</v>
      </c>
    </row>
    <row r="535">
      <c r="A535" s="5">
        <f>A534+1</f>
        <v/>
      </c>
      <c r="B535" s="3">
        <f>-SUMIFS(df_extrato_zig!G:G,df_extrato_zig!E:E,Conciliacao!A535,df_extrato_zig!D:D,"Saque")-SUMIFS(df_extrato_zig!G:G,df_extrato_zig!E:E,Conciliacao!A535,df_extrato_zig!D:D,"Antecipação")</f>
        <v/>
      </c>
      <c r="C535" s="3">
        <f>SUMIFS(df_extrato_zig!E:E,df_extrato_zig!L:L,Conciliacao!A535,df_extrato_zig!F:F,"DINHEIRO")</f>
        <v/>
      </c>
      <c r="D535" s="3">
        <f>SUMIFS(view_parc_agrup!H:H,view_parc_agrup!G:G,Conciliacao!A535)</f>
        <v/>
      </c>
      <c r="E535" s="3">
        <f>SUMIFS(df_eventos!F:F,df_eventos!H:H,Conciliacao!A535)</f>
        <v/>
      </c>
      <c r="F535" s="3">
        <f>SUMIFS(df_mutuos!M:M,df_mutuos!B:B,Conciliacao!A535)</f>
        <v/>
      </c>
      <c r="G535" s="6">
        <f>SUMIFS(df_bloqueios_judiciais!G:G,df_bloqueios_judiciais!D:D,Conciliacao!A535,df_bloqueios_judiciais!G:G,"&gt;0")</f>
        <v/>
      </c>
      <c r="H535" s="7">
        <f>SUMIFS(df_extratos!I:I,df_extratos!F:F,Conciliacao!BE535,df_extratos!G:G,"CREDITO")+SUMIFS(df_extratos!I:I,df_extratos!F:F,Conciliacao!A535,df_extratos!G:G,"CREDITO")+SUMIFS(df_extratos!I:I,df_extratos!F:F,Conciliacao!BF535,df_extratos!G:G,"CREDITO")+SUMIFS(df_extratos!I:I,df_extratos!F:F,Conciliacao!BG535,df_extratos!G:G,"CREDITO")+SUMIFS(df_extratos!I:I,df_extratos!F:F,Conciliacao!BH535,df_extratos!G:G,"CREDITO")</f>
        <v/>
      </c>
      <c r="I535" s="9">
        <f>H535-SUM(B535:G535)</f>
        <v/>
      </c>
      <c r="J535" s="4">
        <f>SUMIFS(df_blueme_sem_parcelamento!E:E,df_blueme_sem_parcelamento!H:H,Conciliacao!A535)*(-1)</f>
        <v/>
      </c>
      <c r="K535" s="4">
        <f>SUMIFS(df_blueme_com_parcelamento!J:J,df_blueme_com_parcelamento!M:M,Conciliacao!A535)*(-1)</f>
        <v/>
      </c>
      <c r="L535" s="4">
        <f>SUMIFS(df_mutuos!N:N,df_mutuos!B:B,Conciliacao!A535)*(-1)</f>
        <v/>
      </c>
      <c r="M535" s="8">
        <f>SUMIFS(df_bloqueios_judiciais!G:G,df_bloqueios_judiciais!D:D,Conciliacao!A535,df_bloqueios_judiciais!G:G,"&lt;0")</f>
        <v/>
      </c>
      <c r="N535" s="10">
        <f>SUMIFS(df_extratos!I:I,df_extratos!F:F,Conciliacao!BE535,df_extratos!G:G,"DEBITO")+SUMIFS(df_extratos!I:I,df_extratos!F:F,Conciliacao!A535,df_extratos!G:G,"DEBITO")+SUMIFS(df_extratos!I:I,df_extratos!F:F,Conciliacao!BF535,df_extratos!G:G,"DEBITO")+SUMIFS(df_extratos!I:I,df_extratos!F:F,Conciliacao!BG535,df_extratos!G:G,"DEBITO")+SUMIFS(df_extratos!I:I,df_extratos!F:F,Conciliacao!BH535,df_extratos!G:G,"DEBITO")</f>
        <v/>
      </c>
      <c r="O535" s="11">
        <f>N535-SUM(J535:M535)</f>
        <v/>
      </c>
      <c r="P535" s="25">
        <f>SUMIFS(df_ajustes_conciliaco!D:D,df_ajustes_conciliaco!C:C,Conciliacao!A535)</f>
        <v/>
      </c>
      <c r="Q535" s="22">
        <f>O535+I535-P535</f>
        <v/>
      </c>
      <c r="BE535" s="20" t="n">
        <v>46191.5</v>
      </c>
      <c r="BF535" s="20" t="n">
        <v>46191.125</v>
      </c>
      <c r="BG535" s="20" t="n">
        <v>46191.5416666088</v>
      </c>
      <c r="BH535" s="20" t="n">
        <v>46191.625</v>
      </c>
    </row>
    <row r="536">
      <c r="A536" s="5">
        <f>A535+1</f>
        <v/>
      </c>
      <c r="B536" s="3">
        <f>-SUMIFS(df_extrato_zig!G:G,df_extrato_zig!E:E,Conciliacao!A536,df_extrato_zig!D:D,"Saque")-SUMIFS(df_extrato_zig!G:G,df_extrato_zig!E:E,Conciliacao!A536,df_extrato_zig!D:D,"Antecipação")</f>
        <v/>
      </c>
      <c r="C536" s="3">
        <f>SUMIFS(df_extrato_zig!E:E,df_extrato_zig!L:L,Conciliacao!A536,df_extrato_zig!F:F,"DINHEIRO")</f>
        <v/>
      </c>
      <c r="D536" s="3">
        <f>SUMIFS(view_parc_agrup!H:H,view_parc_agrup!G:G,Conciliacao!A536)</f>
        <v/>
      </c>
      <c r="E536" s="3">
        <f>SUMIFS(df_eventos!F:F,df_eventos!H:H,Conciliacao!A536)</f>
        <v/>
      </c>
      <c r="F536" s="3">
        <f>SUMIFS(df_mutuos!M:M,df_mutuos!B:B,Conciliacao!A536)</f>
        <v/>
      </c>
      <c r="G536" s="6">
        <f>SUMIFS(df_bloqueios_judiciais!G:G,df_bloqueios_judiciais!D:D,Conciliacao!A536,df_bloqueios_judiciais!G:G,"&gt;0")</f>
        <v/>
      </c>
      <c r="H536" s="7">
        <f>SUMIFS(df_extratos!I:I,df_extratos!F:F,Conciliacao!BE536,df_extratos!G:G,"CREDITO")+SUMIFS(df_extratos!I:I,df_extratos!F:F,Conciliacao!A536,df_extratos!G:G,"CREDITO")+SUMIFS(df_extratos!I:I,df_extratos!F:F,Conciliacao!BF536,df_extratos!G:G,"CREDITO")+SUMIFS(df_extratos!I:I,df_extratos!F:F,Conciliacao!BG536,df_extratos!G:G,"CREDITO")+SUMIFS(df_extratos!I:I,df_extratos!F:F,Conciliacao!BH536,df_extratos!G:G,"CREDITO")</f>
        <v/>
      </c>
      <c r="I536" s="9">
        <f>H536-SUM(B536:G536)</f>
        <v/>
      </c>
      <c r="J536" s="4">
        <f>SUMIFS(df_blueme_sem_parcelamento!E:E,df_blueme_sem_parcelamento!H:H,Conciliacao!A536)*(-1)</f>
        <v/>
      </c>
      <c r="K536" s="4">
        <f>SUMIFS(df_blueme_com_parcelamento!J:J,df_blueme_com_parcelamento!M:M,Conciliacao!A536)*(-1)</f>
        <v/>
      </c>
      <c r="L536" s="4">
        <f>SUMIFS(df_mutuos!N:N,df_mutuos!B:B,Conciliacao!A536)*(-1)</f>
        <v/>
      </c>
      <c r="M536" s="8">
        <f>SUMIFS(df_bloqueios_judiciais!G:G,df_bloqueios_judiciais!D:D,Conciliacao!A536,df_bloqueios_judiciais!G:G,"&lt;0")</f>
        <v/>
      </c>
      <c r="N536" s="10">
        <f>SUMIFS(df_extratos!I:I,df_extratos!F:F,Conciliacao!BE536,df_extratos!G:G,"DEBITO")+SUMIFS(df_extratos!I:I,df_extratos!F:F,Conciliacao!A536,df_extratos!G:G,"DEBITO")+SUMIFS(df_extratos!I:I,df_extratos!F:F,Conciliacao!BF536,df_extratos!G:G,"DEBITO")+SUMIFS(df_extratos!I:I,df_extratos!F:F,Conciliacao!BG536,df_extratos!G:G,"DEBITO")+SUMIFS(df_extratos!I:I,df_extratos!F:F,Conciliacao!BH536,df_extratos!G:G,"DEBITO")</f>
        <v/>
      </c>
      <c r="O536" s="11">
        <f>N536-SUM(J536:M536)</f>
        <v/>
      </c>
      <c r="P536" s="25">
        <f>SUMIFS(df_ajustes_conciliaco!D:D,df_ajustes_conciliaco!C:C,Conciliacao!A536)</f>
        <v/>
      </c>
      <c r="Q536" s="22">
        <f>O536+I536-P536</f>
        <v/>
      </c>
      <c r="BE536" s="20" t="n">
        <v>46192.5</v>
      </c>
      <c r="BF536" s="20" t="n">
        <v>46192.125</v>
      </c>
      <c r="BG536" s="20" t="n">
        <v>46192.5416666088</v>
      </c>
      <c r="BH536" s="20" t="n">
        <v>46192.625</v>
      </c>
    </row>
    <row r="537">
      <c r="A537" s="5">
        <f>A536+1</f>
        <v/>
      </c>
      <c r="B537" s="3">
        <f>-SUMIFS(df_extrato_zig!G:G,df_extrato_zig!E:E,Conciliacao!A537,df_extrato_zig!D:D,"Saque")-SUMIFS(df_extrato_zig!G:G,df_extrato_zig!E:E,Conciliacao!A537,df_extrato_zig!D:D,"Antecipação")</f>
        <v/>
      </c>
      <c r="C537" s="3">
        <f>SUMIFS(df_extrato_zig!E:E,df_extrato_zig!L:L,Conciliacao!A537,df_extrato_zig!F:F,"DINHEIRO")</f>
        <v/>
      </c>
      <c r="D537" s="3">
        <f>SUMIFS(view_parc_agrup!H:H,view_parc_agrup!G:G,Conciliacao!A537)</f>
        <v/>
      </c>
      <c r="E537" s="3">
        <f>SUMIFS(df_eventos!F:F,df_eventos!H:H,Conciliacao!A537)</f>
        <v/>
      </c>
      <c r="F537" s="3">
        <f>SUMIFS(df_mutuos!M:M,df_mutuos!B:B,Conciliacao!A537)</f>
        <v/>
      </c>
      <c r="G537" s="6">
        <f>SUMIFS(df_bloqueios_judiciais!G:G,df_bloqueios_judiciais!D:D,Conciliacao!A537,df_bloqueios_judiciais!G:G,"&gt;0")</f>
        <v/>
      </c>
      <c r="H537" s="7">
        <f>SUMIFS(df_extratos!I:I,df_extratos!F:F,Conciliacao!BE537,df_extratos!G:G,"CREDITO")+SUMIFS(df_extratos!I:I,df_extratos!F:F,Conciliacao!A537,df_extratos!G:G,"CREDITO")+SUMIFS(df_extratos!I:I,df_extratos!F:F,Conciliacao!BF537,df_extratos!G:G,"CREDITO")+SUMIFS(df_extratos!I:I,df_extratos!F:F,Conciliacao!BG537,df_extratos!G:G,"CREDITO")+SUMIFS(df_extratos!I:I,df_extratos!F:F,Conciliacao!BH537,df_extratos!G:G,"CREDITO")</f>
        <v/>
      </c>
      <c r="I537" s="9">
        <f>H537-SUM(B537:G537)</f>
        <v/>
      </c>
      <c r="J537" s="4">
        <f>SUMIFS(df_blueme_sem_parcelamento!E:E,df_blueme_sem_parcelamento!H:H,Conciliacao!A537)*(-1)</f>
        <v/>
      </c>
      <c r="K537" s="4">
        <f>SUMIFS(df_blueme_com_parcelamento!J:J,df_blueme_com_parcelamento!M:M,Conciliacao!A537)*(-1)</f>
        <v/>
      </c>
      <c r="L537" s="4">
        <f>SUMIFS(df_mutuos!N:N,df_mutuos!B:B,Conciliacao!A537)*(-1)</f>
        <v/>
      </c>
      <c r="M537" s="8">
        <f>SUMIFS(df_bloqueios_judiciais!G:G,df_bloqueios_judiciais!D:D,Conciliacao!A537,df_bloqueios_judiciais!G:G,"&lt;0")</f>
        <v/>
      </c>
      <c r="N537" s="10">
        <f>SUMIFS(df_extratos!I:I,df_extratos!F:F,Conciliacao!BE537,df_extratos!G:G,"DEBITO")+SUMIFS(df_extratos!I:I,df_extratos!F:F,Conciliacao!A537,df_extratos!G:G,"DEBITO")+SUMIFS(df_extratos!I:I,df_extratos!F:F,Conciliacao!BF537,df_extratos!G:G,"DEBITO")+SUMIFS(df_extratos!I:I,df_extratos!F:F,Conciliacao!BG537,df_extratos!G:G,"DEBITO")+SUMIFS(df_extratos!I:I,df_extratos!F:F,Conciliacao!BH537,df_extratos!G:G,"DEBITO")</f>
        <v/>
      </c>
      <c r="O537" s="11">
        <f>N537-SUM(J537:M537)</f>
        <v/>
      </c>
      <c r="P537" s="25">
        <f>SUMIFS(df_ajustes_conciliaco!D:D,df_ajustes_conciliaco!C:C,Conciliacao!A537)</f>
        <v/>
      </c>
      <c r="Q537" s="22">
        <f>O537+I537-P537</f>
        <v/>
      </c>
      <c r="BE537" s="20" t="n">
        <v>46193.5</v>
      </c>
      <c r="BF537" s="20" t="n">
        <v>46193.125</v>
      </c>
      <c r="BG537" s="20" t="n">
        <v>46193.5416666088</v>
      </c>
      <c r="BH537" s="20" t="n">
        <v>46193.625</v>
      </c>
    </row>
    <row r="538">
      <c r="A538" s="5">
        <f>A537+1</f>
        <v/>
      </c>
      <c r="B538" s="3">
        <f>-SUMIFS(df_extrato_zig!G:G,df_extrato_zig!E:E,Conciliacao!A538,df_extrato_zig!D:D,"Saque")-SUMIFS(df_extrato_zig!G:G,df_extrato_zig!E:E,Conciliacao!A538,df_extrato_zig!D:D,"Antecipação")</f>
        <v/>
      </c>
      <c r="C538" s="3">
        <f>SUMIFS(df_extrato_zig!E:E,df_extrato_zig!L:L,Conciliacao!A538,df_extrato_zig!F:F,"DINHEIRO")</f>
        <v/>
      </c>
      <c r="D538" s="3">
        <f>SUMIFS(view_parc_agrup!H:H,view_parc_agrup!G:G,Conciliacao!A538)</f>
        <v/>
      </c>
      <c r="E538" s="3">
        <f>SUMIFS(df_eventos!F:F,df_eventos!H:H,Conciliacao!A538)</f>
        <v/>
      </c>
      <c r="F538" s="3">
        <f>SUMIFS(df_mutuos!M:M,df_mutuos!B:B,Conciliacao!A538)</f>
        <v/>
      </c>
      <c r="G538" s="6">
        <f>SUMIFS(df_bloqueios_judiciais!G:G,df_bloqueios_judiciais!D:D,Conciliacao!A538,df_bloqueios_judiciais!G:G,"&gt;0")</f>
        <v/>
      </c>
      <c r="H538" s="7">
        <f>SUMIFS(df_extratos!I:I,df_extratos!F:F,Conciliacao!BE538,df_extratos!G:G,"CREDITO")+SUMIFS(df_extratos!I:I,df_extratos!F:F,Conciliacao!A538,df_extratos!G:G,"CREDITO")+SUMIFS(df_extratos!I:I,df_extratos!F:F,Conciliacao!BF538,df_extratos!G:G,"CREDITO")+SUMIFS(df_extratos!I:I,df_extratos!F:F,Conciliacao!BG538,df_extratos!G:G,"CREDITO")+SUMIFS(df_extratos!I:I,df_extratos!F:F,Conciliacao!BH538,df_extratos!G:G,"CREDITO")</f>
        <v/>
      </c>
      <c r="I538" s="9">
        <f>H538-SUM(B538:G538)</f>
        <v/>
      </c>
      <c r="J538" s="4">
        <f>SUMIFS(df_blueme_sem_parcelamento!E:E,df_blueme_sem_parcelamento!H:H,Conciliacao!A538)*(-1)</f>
        <v/>
      </c>
      <c r="K538" s="4">
        <f>SUMIFS(df_blueme_com_parcelamento!J:J,df_blueme_com_parcelamento!M:M,Conciliacao!A538)*(-1)</f>
        <v/>
      </c>
      <c r="L538" s="4">
        <f>SUMIFS(df_mutuos!N:N,df_mutuos!B:B,Conciliacao!A538)*(-1)</f>
        <v/>
      </c>
      <c r="M538" s="8">
        <f>SUMIFS(df_bloqueios_judiciais!G:G,df_bloqueios_judiciais!D:D,Conciliacao!A538,df_bloqueios_judiciais!G:G,"&lt;0")</f>
        <v/>
      </c>
      <c r="N538" s="10">
        <f>SUMIFS(df_extratos!I:I,df_extratos!F:F,Conciliacao!BE538,df_extratos!G:G,"DEBITO")+SUMIFS(df_extratos!I:I,df_extratos!F:F,Conciliacao!A538,df_extratos!G:G,"DEBITO")+SUMIFS(df_extratos!I:I,df_extratos!F:F,Conciliacao!BF538,df_extratos!G:G,"DEBITO")+SUMIFS(df_extratos!I:I,df_extratos!F:F,Conciliacao!BG538,df_extratos!G:G,"DEBITO")+SUMIFS(df_extratos!I:I,df_extratos!F:F,Conciliacao!BH538,df_extratos!G:G,"DEBITO")</f>
        <v/>
      </c>
      <c r="O538" s="11">
        <f>N538-SUM(J538:M538)</f>
        <v/>
      </c>
      <c r="P538" s="25">
        <f>SUMIFS(df_ajustes_conciliaco!D:D,df_ajustes_conciliaco!C:C,Conciliacao!A538)</f>
        <v/>
      </c>
      <c r="Q538" s="22">
        <f>O538+I538-P538</f>
        <v/>
      </c>
      <c r="BE538" s="20" t="n">
        <v>46194.5</v>
      </c>
      <c r="BF538" s="20" t="n">
        <v>46194.125</v>
      </c>
      <c r="BG538" s="20" t="n">
        <v>46194.5416666088</v>
      </c>
      <c r="BH538" s="20" t="n">
        <v>46194.625</v>
      </c>
    </row>
    <row r="539">
      <c r="A539" s="5">
        <f>A538+1</f>
        <v/>
      </c>
      <c r="B539" s="3">
        <f>-SUMIFS(df_extrato_zig!G:G,df_extrato_zig!E:E,Conciliacao!A539,df_extrato_zig!D:D,"Saque")-SUMIFS(df_extrato_zig!G:G,df_extrato_zig!E:E,Conciliacao!A539,df_extrato_zig!D:D,"Antecipação")</f>
        <v/>
      </c>
      <c r="C539" s="3">
        <f>SUMIFS(df_extrato_zig!E:E,df_extrato_zig!L:L,Conciliacao!A539,df_extrato_zig!F:F,"DINHEIRO")</f>
        <v/>
      </c>
      <c r="D539" s="3">
        <f>SUMIFS(view_parc_agrup!H:H,view_parc_agrup!G:G,Conciliacao!A539)</f>
        <v/>
      </c>
      <c r="E539" s="3">
        <f>SUMIFS(df_eventos!F:F,df_eventos!H:H,Conciliacao!A539)</f>
        <v/>
      </c>
      <c r="F539" s="3">
        <f>SUMIFS(df_mutuos!M:M,df_mutuos!B:B,Conciliacao!A539)</f>
        <v/>
      </c>
      <c r="G539" s="6">
        <f>SUMIFS(df_bloqueios_judiciais!G:G,df_bloqueios_judiciais!D:D,Conciliacao!A539,df_bloqueios_judiciais!G:G,"&gt;0")</f>
        <v/>
      </c>
      <c r="H539" s="7">
        <f>SUMIFS(df_extratos!I:I,df_extratos!F:F,Conciliacao!BE539,df_extratos!G:G,"CREDITO")+SUMIFS(df_extratos!I:I,df_extratos!F:F,Conciliacao!A539,df_extratos!G:G,"CREDITO")+SUMIFS(df_extratos!I:I,df_extratos!F:F,Conciliacao!BF539,df_extratos!G:G,"CREDITO")+SUMIFS(df_extratos!I:I,df_extratos!F:F,Conciliacao!BG539,df_extratos!G:G,"CREDITO")+SUMIFS(df_extratos!I:I,df_extratos!F:F,Conciliacao!BH539,df_extratos!G:G,"CREDITO")</f>
        <v/>
      </c>
      <c r="I539" s="9">
        <f>H539-SUM(B539:G539)</f>
        <v/>
      </c>
      <c r="J539" s="4">
        <f>SUMIFS(df_blueme_sem_parcelamento!E:E,df_blueme_sem_parcelamento!H:H,Conciliacao!A539)*(-1)</f>
        <v/>
      </c>
      <c r="K539" s="4">
        <f>SUMIFS(df_blueme_com_parcelamento!J:J,df_blueme_com_parcelamento!M:M,Conciliacao!A539)*(-1)</f>
        <v/>
      </c>
      <c r="L539" s="4">
        <f>SUMIFS(df_mutuos!N:N,df_mutuos!B:B,Conciliacao!A539)*(-1)</f>
        <v/>
      </c>
      <c r="M539" s="8">
        <f>SUMIFS(df_bloqueios_judiciais!G:G,df_bloqueios_judiciais!D:D,Conciliacao!A539,df_bloqueios_judiciais!G:G,"&lt;0")</f>
        <v/>
      </c>
      <c r="N539" s="10">
        <f>SUMIFS(df_extratos!I:I,df_extratos!F:F,Conciliacao!BE539,df_extratos!G:G,"DEBITO")+SUMIFS(df_extratos!I:I,df_extratos!F:F,Conciliacao!A539,df_extratos!G:G,"DEBITO")+SUMIFS(df_extratos!I:I,df_extratos!F:F,Conciliacao!BF539,df_extratos!G:G,"DEBITO")+SUMIFS(df_extratos!I:I,df_extratos!F:F,Conciliacao!BG539,df_extratos!G:G,"DEBITO")+SUMIFS(df_extratos!I:I,df_extratos!F:F,Conciliacao!BH539,df_extratos!G:G,"DEBITO")</f>
        <v/>
      </c>
      <c r="O539" s="11">
        <f>N539-SUM(J539:M539)</f>
        <v/>
      </c>
      <c r="P539" s="25">
        <f>SUMIFS(df_ajustes_conciliaco!D:D,df_ajustes_conciliaco!C:C,Conciliacao!A539)</f>
        <v/>
      </c>
      <c r="Q539" s="22">
        <f>O539+I539-P539</f>
        <v/>
      </c>
      <c r="BE539" s="20" t="n">
        <v>46195.5</v>
      </c>
      <c r="BF539" s="20" t="n">
        <v>46195.125</v>
      </c>
      <c r="BG539" s="20" t="n">
        <v>46195.5416666088</v>
      </c>
      <c r="BH539" s="20" t="n">
        <v>46195.625</v>
      </c>
    </row>
    <row r="540">
      <c r="A540" s="5">
        <f>A539+1</f>
        <v/>
      </c>
      <c r="B540" s="3">
        <f>-SUMIFS(df_extrato_zig!G:G,df_extrato_zig!E:E,Conciliacao!A540,df_extrato_zig!D:D,"Saque")-SUMIFS(df_extrato_zig!G:G,df_extrato_zig!E:E,Conciliacao!A540,df_extrato_zig!D:D,"Antecipação")</f>
        <v/>
      </c>
      <c r="C540" s="3">
        <f>SUMIFS(df_extrato_zig!E:E,df_extrato_zig!L:L,Conciliacao!A540,df_extrato_zig!F:F,"DINHEIRO")</f>
        <v/>
      </c>
      <c r="D540" s="3">
        <f>SUMIFS(view_parc_agrup!H:H,view_parc_agrup!G:G,Conciliacao!A540)</f>
        <v/>
      </c>
      <c r="E540" s="3">
        <f>SUMIFS(df_eventos!F:F,df_eventos!H:H,Conciliacao!A540)</f>
        <v/>
      </c>
      <c r="F540" s="3">
        <f>SUMIFS(df_mutuos!M:M,df_mutuos!B:B,Conciliacao!A540)</f>
        <v/>
      </c>
      <c r="G540" s="6">
        <f>SUMIFS(df_bloqueios_judiciais!G:G,df_bloqueios_judiciais!D:D,Conciliacao!A540,df_bloqueios_judiciais!G:G,"&gt;0")</f>
        <v/>
      </c>
      <c r="H540" s="7">
        <f>SUMIFS(df_extratos!I:I,df_extratos!F:F,Conciliacao!BE540,df_extratos!G:G,"CREDITO")+SUMIFS(df_extratos!I:I,df_extratos!F:F,Conciliacao!A540,df_extratos!G:G,"CREDITO")+SUMIFS(df_extratos!I:I,df_extratos!F:F,Conciliacao!BF540,df_extratos!G:G,"CREDITO")+SUMIFS(df_extratos!I:I,df_extratos!F:F,Conciliacao!BG540,df_extratos!G:G,"CREDITO")+SUMIFS(df_extratos!I:I,df_extratos!F:F,Conciliacao!BH540,df_extratos!G:G,"CREDITO")</f>
        <v/>
      </c>
      <c r="I540" s="9">
        <f>H540-SUM(B540:G540)</f>
        <v/>
      </c>
      <c r="J540" s="4">
        <f>SUMIFS(df_blueme_sem_parcelamento!E:E,df_blueme_sem_parcelamento!H:H,Conciliacao!A540)*(-1)</f>
        <v/>
      </c>
      <c r="K540" s="4">
        <f>SUMIFS(df_blueme_com_parcelamento!J:J,df_blueme_com_parcelamento!M:M,Conciliacao!A540)*(-1)</f>
        <v/>
      </c>
      <c r="L540" s="4">
        <f>SUMIFS(df_mutuos!N:N,df_mutuos!B:B,Conciliacao!A540)*(-1)</f>
        <v/>
      </c>
      <c r="M540" s="8">
        <f>SUMIFS(df_bloqueios_judiciais!G:G,df_bloqueios_judiciais!D:D,Conciliacao!A540,df_bloqueios_judiciais!G:G,"&lt;0")</f>
        <v/>
      </c>
      <c r="N540" s="10">
        <f>SUMIFS(df_extratos!I:I,df_extratos!F:F,Conciliacao!BE540,df_extratos!G:G,"DEBITO")+SUMIFS(df_extratos!I:I,df_extratos!F:F,Conciliacao!A540,df_extratos!G:G,"DEBITO")+SUMIFS(df_extratos!I:I,df_extratos!F:F,Conciliacao!BF540,df_extratos!G:G,"DEBITO")+SUMIFS(df_extratos!I:I,df_extratos!F:F,Conciliacao!BG540,df_extratos!G:G,"DEBITO")+SUMIFS(df_extratos!I:I,df_extratos!F:F,Conciliacao!BH540,df_extratos!G:G,"DEBITO")</f>
        <v/>
      </c>
      <c r="O540" s="11">
        <f>N540-SUM(J540:M540)</f>
        <v/>
      </c>
      <c r="P540" s="25">
        <f>SUMIFS(df_ajustes_conciliaco!D:D,df_ajustes_conciliaco!C:C,Conciliacao!A540)</f>
        <v/>
      </c>
      <c r="Q540" s="22">
        <f>O540+I540-P540</f>
        <v/>
      </c>
      <c r="BE540" s="20" t="n">
        <v>46196.5</v>
      </c>
      <c r="BF540" s="20" t="n">
        <v>46196.125</v>
      </c>
      <c r="BG540" s="20" t="n">
        <v>46196.5416666088</v>
      </c>
      <c r="BH540" s="20" t="n">
        <v>46196.625</v>
      </c>
    </row>
    <row r="541">
      <c r="A541" s="5">
        <f>A540+1</f>
        <v/>
      </c>
      <c r="B541" s="3">
        <f>-SUMIFS(df_extrato_zig!G:G,df_extrato_zig!E:E,Conciliacao!A541,df_extrato_zig!D:D,"Saque")-SUMIFS(df_extrato_zig!G:G,df_extrato_zig!E:E,Conciliacao!A541,df_extrato_zig!D:D,"Antecipação")</f>
        <v/>
      </c>
      <c r="C541" s="3">
        <f>SUMIFS(df_extrato_zig!E:E,df_extrato_zig!L:L,Conciliacao!A541,df_extrato_zig!F:F,"DINHEIRO")</f>
        <v/>
      </c>
      <c r="D541" s="3">
        <f>SUMIFS(view_parc_agrup!H:H,view_parc_agrup!G:G,Conciliacao!A541)</f>
        <v/>
      </c>
      <c r="E541" s="3">
        <f>SUMIFS(df_eventos!F:F,df_eventos!H:H,Conciliacao!A541)</f>
        <v/>
      </c>
      <c r="F541" s="3">
        <f>SUMIFS(df_mutuos!M:M,df_mutuos!B:B,Conciliacao!A541)</f>
        <v/>
      </c>
      <c r="G541" s="6">
        <f>SUMIFS(df_bloqueios_judiciais!G:G,df_bloqueios_judiciais!D:D,Conciliacao!A541,df_bloqueios_judiciais!G:G,"&gt;0")</f>
        <v/>
      </c>
      <c r="H541" s="7">
        <f>SUMIFS(df_extratos!I:I,df_extratos!F:F,Conciliacao!BE541,df_extratos!G:G,"CREDITO")+SUMIFS(df_extratos!I:I,df_extratos!F:F,Conciliacao!A541,df_extratos!G:G,"CREDITO")+SUMIFS(df_extratos!I:I,df_extratos!F:F,Conciliacao!BF541,df_extratos!G:G,"CREDITO")+SUMIFS(df_extratos!I:I,df_extratos!F:F,Conciliacao!BG541,df_extratos!G:G,"CREDITO")+SUMIFS(df_extratos!I:I,df_extratos!F:F,Conciliacao!BH541,df_extratos!G:G,"CREDITO")</f>
        <v/>
      </c>
      <c r="I541" s="9">
        <f>H541-SUM(B541:G541)</f>
        <v/>
      </c>
      <c r="J541" s="4">
        <f>SUMIFS(df_blueme_sem_parcelamento!E:E,df_blueme_sem_parcelamento!H:H,Conciliacao!A541)*(-1)</f>
        <v/>
      </c>
      <c r="K541" s="4">
        <f>SUMIFS(df_blueme_com_parcelamento!J:J,df_blueme_com_parcelamento!M:M,Conciliacao!A541)*(-1)</f>
        <v/>
      </c>
      <c r="L541" s="4">
        <f>SUMIFS(df_mutuos!N:N,df_mutuos!B:B,Conciliacao!A541)*(-1)</f>
        <v/>
      </c>
      <c r="M541" s="8">
        <f>SUMIFS(df_bloqueios_judiciais!G:G,df_bloqueios_judiciais!D:D,Conciliacao!A541,df_bloqueios_judiciais!G:G,"&lt;0")</f>
        <v/>
      </c>
      <c r="N541" s="10">
        <f>SUMIFS(df_extratos!I:I,df_extratos!F:F,Conciliacao!BE541,df_extratos!G:G,"DEBITO")+SUMIFS(df_extratos!I:I,df_extratos!F:F,Conciliacao!A541,df_extratos!G:G,"DEBITO")+SUMIFS(df_extratos!I:I,df_extratos!F:F,Conciliacao!BF541,df_extratos!G:G,"DEBITO")+SUMIFS(df_extratos!I:I,df_extratos!F:F,Conciliacao!BG541,df_extratos!G:G,"DEBITO")+SUMIFS(df_extratos!I:I,df_extratos!F:F,Conciliacao!BH541,df_extratos!G:G,"DEBITO")</f>
        <v/>
      </c>
      <c r="O541" s="11">
        <f>N541-SUM(J541:M541)</f>
        <v/>
      </c>
      <c r="P541" s="25">
        <f>SUMIFS(df_ajustes_conciliaco!D:D,df_ajustes_conciliaco!C:C,Conciliacao!A541)</f>
        <v/>
      </c>
      <c r="Q541" s="22">
        <f>O541+I541-P541</f>
        <v/>
      </c>
      <c r="BE541" s="20" t="n">
        <v>46197.5</v>
      </c>
      <c r="BF541" s="20" t="n">
        <v>46197.125</v>
      </c>
      <c r="BG541" s="20" t="n">
        <v>46197.5416666088</v>
      </c>
      <c r="BH541" s="20" t="n">
        <v>46197.625</v>
      </c>
    </row>
    <row r="542">
      <c r="A542" s="5">
        <f>A541+1</f>
        <v/>
      </c>
      <c r="B542" s="3">
        <f>-SUMIFS(df_extrato_zig!G:G,df_extrato_zig!E:E,Conciliacao!A542,df_extrato_zig!D:D,"Saque")-SUMIFS(df_extrato_zig!G:G,df_extrato_zig!E:E,Conciliacao!A542,df_extrato_zig!D:D,"Antecipação")</f>
        <v/>
      </c>
      <c r="C542" s="3">
        <f>SUMIFS(df_extrato_zig!E:E,df_extrato_zig!L:L,Conciliacao!A542,df_extrato_zig!F:F,"DINHEIRO")</f>
        <v/>
      </c>
      <c r="D542" s="3">
        <f>SUMIFS(view_parc_agrup!H:H,view_parc_agrup!G:G,Conciliacao!A542)</f>
        <v/>
      </c>
      <c r="E542" s="3">
        <f>SUMIFS(df_eventos!F:F,df_eventos!H:H,Conciliacao!A542)</f>
        <v/>
      </c>
      <c r="F542" s="3">
        <f>SUMIFS(df_mutuos!M:M,df_mutuos!B:B,Conciliacao!A542)</f>
        <v/>
      </c>
      <c r="G542" s="6">
        <f>SUMIFS(df_bloqueios_judiciais!G:G,df_bloqueios_judiciais!D:D,Conciliacao!A542,df_bloqueios_judiciais!G:G,"&gt;0")</f>
        <v/>
      </c>
      <c r="H542" s="7">
        <f>SUMIFS(df_extratos!I:I,df_extratos!F:F,Conciliacao!BE542,df_extratos!G:G,"CREDITO")+SUMIFS(df_extratos!I:I,df_extratos!F:F,Conciliacao!A542,df_extratos!G:G,"CREDITO")+SUMIFS(df_extratos!I:I,df_extratos!F:F,Conciliacao!BF542,df_extratos!G:G,"CREDITO")+SUMIFS(df_extratos!I:I,df_extratos!F:F,Conciliacao!BG542,df_extratos!G:G,"CREDITO")+SUMIFS(df_extratos!I:I,df_extratos!F:F,Conciliacao!BH542,df_extratos!G:G,"CREDITO")</f>
        <v/>
      </c>
      <c r="I542" s="9">
        <f>H542-SUM(B542:G542)</f>
        <v/>
      </c>
      <c r="J542" s="4">
        <f>SUMIFS(df_blueme_sem_parcelamento!E:E,df_blueme_sem_parcelamento!H:H,Conciliacao!A542)*(-1)</f>
        <v/>
      </c>
      <c r="K542" s="4">
        <f>SUMIFS(df_blueme_com_parcelamento!J:J,df_blueme_com_parcelamento!M:M,Conciliacao!A542)*(-1)</f>
        <v/>
      </c>
      <c r="L542" s="4">
        <f>SUMIFS(df_mutuos!N:N,df_mutuos!B:B,Conciliacao!A542)*(-1)</f>
        <v/>
      </c>
      <c r="M542" s="8">
        <f>SUMIFS(df_bloqueios_judiciais!G:G,df_bloqueios_judiciais!D:D,Conciliacao!A542,df_bloqueios_judiciais!G:G,"&lt;0")</f>
        <v/>
      </c>
      <c r="N542" s="10">
        <f>SUMIFS(df_extratos!I:I,df_extratos!F:F,Conciliacao!BE542,df_extratos!G:G,"DEBITO")+SUMIFS(df_extratos!I:I,df_extratos!F:F,Conciliacao!A542,df_extratos!G:G,"DEBITO")+SUMIFS(df_extratos!I:I,df_extratos!F:F,Conciliacao!BF542,df_extratos!G:G,"DEBITO")+SUMIFS(df_extratos!I:I,df_extratos!F:F,Conciliacao!BG542,df_extratos!G:G,"DEBITO")+SUMIFS(df_extratos!I:I,df_extratos!F:F,Conciliacao!BH542,df_extratos!G:G,"DEBITO")</f>
        <v/>
      </c>
      <c r="O542" s="11">
        <f>N542-SUM(J542:M542)</f>
        <v/>
      </c>
      <c r="P542" s="25">
        <f>SUMIFS(df_ajustes_conciliaco!D:D,df_ajustes_conciliaco!C:C,Conciliacao!A542)</f>
        <v/>
      </c>
      <c r="Q542" s="22">
        <f>O542+I542-P542</f>
        <v/>
      </c>
      <c r="BE542" s="20" t="n">
        <v>46198.5</v>
      </c>
      <c r="BF542" s="20" t="n">
        <v>46198.125</v>
      </c>
      <c r="BG542" s="20" t="n">
        <v>46198.5416666088</v>
      </c>
      <c r="BH542" s="20" t="n">
        <v>46198.625</v>
      </c>
    </row>
    <row r="543">
      <c r="A543" s="5">
        <f>A542+1</f>
        <v/>
      </c>
      <c r="B543" s="3">
        <f>-SUMIFS(df_extrato_zig!G:G,df_extrato_zig!E:E,Conciliacao!A543,df_extrato_zig!D:D,"Saque")-SUMIFS(df_extrato_zig!G:G,df_extrato_zig!E:E,Conciliacao!A543,df_extrato_zig!D:D,"Antecipação")</f>
        <v/>
      </c>
      <c r="C543" s="3">
        <f>SUMIFS(df_extrato_zig!E:E,df_extrato_zig!L:L,Conciliacao!A543,df_extrato_zig!F:F,"DINHEIRO")</f>
        <v/>
      </c>
      <c r="D543" s="3">
        <f>SUMIFS(view_parc_agrup!H:H,view_parc_agrup!G:G,Conciliacao!A543)</f>
        <v/>
      </c>
      <c r="E543" s="3">
        <f>SUMIFS(df_eventos!F:F,df_eventos!H:H,Conciliacao!A543)</f>
        <v/>
      </c>
      <c r="F543" s="3">
        <f>SUMIFS(df_mutuos!M:M,df_mutuos!B:B,Conciliacao!A543)</f>
        <v/>
      </c>
      <c r="G543" s="6">
        <f>SUMIFS(df_bloqueios_judiciais!G:G,df_bloqueios_judiciais!D:D,Conciliacao!A543,df_bloqueios_judiciais!G:G,"&gt;0")</f>
        <v/>
      </c>
      <c r="H543" s="7">
        <f>SUMIFS(df_extratos!I:I,df_extratos!F:F,Conciliacao!BE543,df_extratos!G:G,"CREDITO")+SUMIFS(df_extratos!I:I,df_extratos!F:F,Conciliacao!A543,df_extratos!G:G,"CREDITO")+SUMIFS(df_extratos!I:I,df_extratos!F:F,Conciliacao!BF543,df_extratos!G:G,"CREDITO")+SUMIFS(df_extratos!I:I,df_extratos!F:F,Conciliacao!BG543,df_extratos!G:G,"CREDITO")+SUMIFS(df_extratos!I:I,df_extratos!F:F,Conciliacao!BH543,df_extratos!G:G,"CREDITO")</f>
        <v/>
      </c>
      <c r="I543" s="9">
        <f>H543-SUM(B543:G543)</f>
        <v/>
      </c>
      <c r="J543" s="4">
        <f>SUMIFS(df_blueme_sem_parcelamento!E:E,df_blueme_sem_parcelamento!H:H,Conciliacao!A543)*(-1)</f>
        <v/>
      </c>
      <c r="K543" s="4">
        <f>SUMIFS(df_blueme_com_parcelamento!J:J,df_blueme_com_parcelamento!M:M,Conciliacao!A543)*(-1)</f>
        <v/>
      </c>
      <c r="L543" s="4">
        <f>SUMIFS(df_mutuos!N:N,df_mutuos!B:B,Conciliacao!A543)*(-1)</f>
        <v/>
      </c>
      <c r="M543" s="8">
        <f>SUMIFS(df_bloqueios_judiciais!G:G,df_bloqueios_judiciais!D:D,Conciliacao!A543,df_bloqueios_judiciais!G:G,"&lt;0")</f>
        <v/>
      </c>
      <c r="N543" s="10">
        <f>SUMIFS(df_extratos!I:I,df_extratos!F:F,Conciliacao!BE543,df_extratos!G:G,"DEBITO")+SUMIFS(df_extratos!I:I,df_extratos!F:F,Conciliacao!A543,df_extratos!G:G,"DEBITO")+SUMIFS(df_extratos!I:I,df_extratos!F:F,Conciliacao!BF543,df_extratos!G:G,"DEBITO")+SUMIFS(df_extratos!I:I,df_extratos!F:F,Conciliacao!BG543,df_extratos!G:G,"DEBITO")+SUMIFS(df_extratos!I:I,df_extratos!F:F,Conciliacao!BH543,df_extratos!G:G,"DEBITO")</f>
        <v/>
      </c>
      <c r="O543" s="11">
        <f>N543-SUM(J543:M543)</f>
        <v/>
      </c>
      <c r="P543" s="25">
        <f>SUMIFS(df_ajustes_conciliaco!D:D,df_ajustes_conciliaco!C:C,Conciliacao!A543)</f>
        <v/>
      </c>
      <c r="Q543" s="22">
        <f>O543+I543-P543</f>
        <v/>
      </c>
      <c r="BE543" s="20" t="n">
        <v>46199.5</v>
      </c>
      <c r="BF543" s="20" t="n">
        <v>46199.125</v>
      </c>
      <c r="BG543" s="20" t="n">
        <v>46199.5416666088</v>
      </c>
      <c r="BH543" s="20" t="n">
        <v>46199.625</v>
      </c>
    </row>
    <row r="544">
      <c r="A544" s="5">
        <f>A543+1</f>
        <v/>
      </c>
      <c r="B544" s="3">
        <f>-SUMIFS(df_extrato_zig!G:G,df_extrato_zig!E:E,Conciliacao!A544,df_extrato_zig!D:D,"Saque")-SUMIFS(df_extrato_zig!G:G,df_extrato_zig!E:E,Conciliacao!A544,df_extrato_zig!D:D,"Antecipação")</f>
        <v/>
      </c>
      <c r="C544" s="3">
        <f>SUMIFS(df_extrato_zig!E:E,df_extrato_zig!L:L,Conciliacao!A544,df_extrato_zig!F:F,"DINHEIRO")</f>
        <v/>
      </c>
      <c r="D544" s="3">
        <f>SUMIFS(view_parc_agrup!H:H,view_parc_agrup!G:G,Conciliacao!A544)</f>
        <v/>
      </c>
      <c r="E544" s="3">
        <f>SUMIFS(df_eventos!F:F,df_eventos!H:H,Conciliacao!A544)</f>
        <v/>
      </c>
      <c r="F544" s="3">
        <f>SUMIFS(df_mutuos!M:M,df_mutuos!B:B,Conciliacao!A544)</f>
        <v/>
      </c>
      <c r="G544" s="6">
        <f>SUMIFS(df_bloqueios_judiciais!G:G,df_bloqueios_judiciais!D:D,Conciliacao!A544,df_bloqueios_judiciais!G:G,"&gt;0")</f>
        <v/>
      </c>
      <c r="H544" s="7">
        <f>SUMIFS(df_extratos!I:I,df_extratos!F:F,Conciliacao!BE544,df_extratos!G:G,"CREDITO")+SUMIFS(df_extratos!I:I,df_extratos!F:F,Conciliacao!A544,df_extratos!G:G,"CREDITO")+SUMIFS(df_extratos!I:I,df_extratos!F:F,Conciliacao!BF544,df_extratos!G:G,"CREDITO")+SUMIFS(df_extratos!I:I,df_extratos!F:F,Conciliacao!BG544,df_extratos!G:G,"CREDITO")+SUMIFS(df_extratos!I:I,df_extratos!F:F,Conciliacao!BH544,df_extratos!G:G,"CREDITO")</f>
        <v/>
      </c>
      <c r="I544" s="9">
        <f>H544-SUM(B544:G544)</f>
        <v/>
      </c>
      <c r="J544" s="4">
        <f>SUMIFS(df_blueme_sem_parcelamento!E:E,df_blueme_sem_parcelamento!H:H,Conciliacao!A544)*(-1)</f>
        <v/>
      </c>
      <c r="K544" s="4">
        <f>SUMIFS(df_blueme_com_parcelamento!J:J,df_blueme_com_parcelamento!M:M,Conciliacao!A544)*(-1)</f>
        <v/>
      </c>
      <c r="L544" s="4">
        <f>SUMIFS(df_mutuos!N:N,df_mutuos!B:B,Conciliacao!A544)*(-1)</f>
        <v/>
      </c>
      <c r="M544" s="8">
        <f>SUMIFS(df_bloqueios_judiciais!G:G,df_bloqueios_judiciais!D:D,Conciliacao!A544,df_bloqueios_judiciais!G:G,"&lt;0")</f>
        <v/>
      </c>
      <c r="N544" s="10">
        <f>SUMIFS(df_extratos!I:I,df_extratos!F:F,Conciliacao!BE544,df_extratos!G:G,"DEBITO")+SUMIFS(df_extratos!I:I,df_extratos!F:F,Conciliacao!A544,df_extratos!G:G,"DEBITO")+SUMIFS(df_extratos!I:I,df_extratos!F:F,Conciliacao!BF544,df_extratos!G:G,"DEBITO")+SUMIFS(df_extratos!I:I,df_extratos!F:F,Conciliacao!BG544,df_extratos!G:G,"DEBITO")+SUMIFS(df_extratos!I:I,df_extratos!F:F,Conciliacao!BH544,df_extratos!G:G,"DEBITO")</f>
        <v/>
      </c>
      <c r="O544" s="11">
        <f>N544-SUM(J544:M544)</f>
        <v/>
      </c>
      <c r="P544" s="25">
        <f>SUMIFS(df_ajustes_conciliaco!D:D,df_ajustes_conciliaco!C:C,Conciliacao!A544)</f>
        <v/>
      </c>
      <c r="Q544" s="22">
        <f>O544+I544-P544</f>
        <v/>
      </c>
      <c r="BE544" s="20" t="n">
        <v>46200.5</v>
      </c>
      <c r="BF544" s="20" t="n">
        <v>46200.125</v>
      </c>
      <c r="BG544" s="20" t="n">
        <v>46200.5416666088</v>
      </c>
      <c r="BH544" s="20" t="n">
        <v>46200.625</v>
      </c>
    </row>
    <row r="545">
      <c r="A545" s="5">
        <f>A544+1</f>
        <v/>
      </c>
      <c r="B545" s="3">
        <f>-SUMIFS(df_extrato_zig!G:G,df_extrato_zig!E:E,Conciliacao!A545,df_extrato_zig!D:D,"Saque")-SUMIFS(df_extrato_zig!G:G,df_extrato_zig!E:E,Conciliacao!A545,df_extrato_zig!D:D,"Antecipação")</f>
        <v/>
      </c>
      <c r="C545" s="3">
        <f>SUMIFS(df_extrato_zig!E:E,df_extrato_zig!L:L,Conciliacao!A545,df_extrato_zig!F:F,"DINHEIRO")</f>
        <v/>
      </c>
      <c r="D545" s="3">
        <f>SUMIFS(view_parc_agrup!H:H,view_parc_agrup!G:G,Conciliacao!A545)</f>
        <v/>
      </c>
      <c r="E545" s="3">
        <f>SUMIFS(df_eventos!F:F,df_eventos!H:H,Conciliacao!A545)</f>
        <v/>
      </c>
      <c r="F545" s="3">
        <f>SUMIFS(df_mutuos!M:M,df_mutuos!B:B,Conciliacao!A545)</f>
        <v/>
      </c>
      <c r="G545" s="6">
        <f>SUMIFS(df_bloqueios_judiciais!G:G,df_bloqueios_judiciais!D:D,Conciliacao!A545,df_bloqueios_judiciais!G:G,"&gt;0")</f>
        <v/>
      </c>
      <c r="H545" s="7">
        <f>SUMIFS(df_extratos!I:I,df_extratos!F:F,Conciliacao!BE545,df_extratos!G:G,"CREDITO")+SUMIFS(df_extratos!I:I,df_extratos!F:F,Conciliacao!A545,df_extratos!G:G,"CREDITO")+SUMIFS(df_extratos!I:I,df_extratos!F:F,Conciliacao!BF545,df_extratos!G:G,"CREDITO")+SUMIFS(df_extratos!I:I,df_extratos!F:F,Conciliacao!BG545,df_extratos!G:G,"CREDITO")+SUMIFS(df_extratos!I:I,df_extratos!F:F,Conciliacao!BH545,df_extratos!G:G,"CREDITO")</f>
        <v/>
      </c>
      <c r="I545" s="9">
        <f>H545-SUM(B545:G545)</f>
        <v/>
      </c>
      <c r="J545" s="4">
        <f>SUMIFS(df_blueme_sem_parcelamento!E:E,df_blueme_sem_parcelamento!H:H,Conciliacao!A545)*(-1)</f>
        <v/>
      </c>
      <c r="K545" s="4">
        <f>SUMIFS(df_blueme_com_parcelamento!J:J,df_blueme_com_parcelamento!M:M,Conciliacao!A545)*(-1)</f>
        <v/>
      </c>
      <c r="L545" s="4">
        <f>SUMIFS(df_mutuos!N:N,df_mutuos!B:B,Conciliacao!A545)*(-1)</f>
        <v/>
      </c>
      <c r="M545" s="8">
        <f>SUMIFS(df_bloqueios_judiciais!G:G,df_bloqueios_judiciais!D:D,Conciliacao!A545,df_bloqueios_judiciais!G:G,"&lt;0")</f>
        <v/>
      </c>
      <c r="N545" s="10">
        <f>SUMIFS(df_extratos!I:I,df_extratos!F:F,Conciliacao!BE545,df_extratos!G:G,"DEBITO")+SUMIFS(df_extratos!I:I,df_extratos!F:F,Conciliacao!A545,df_extratos!G:G,"DEBITO")+SUMIFS(df_extratos!I:I,df_extratos!F:F,Conciliacao!BF545,df_extratos!G:G,"DEBITO")+SUMIFS(df_extratos!I:I,df_extratos!F:F,Conciliacao!BG545,df_extratos!G:G,"DEBITO")+SUMIFS(df_extratos!I:I,df_extratos!F:F,Conciliacao!BH545,df_extratos!G:G,"DEBITO")</f>
        <v/>
      </c>
      <c r="O545" s="11">
        <f>N545-SUM(J545:M545)</f>
        <v/>
      </c>
      <c r="P545" s="25">
        <f>SUMIFS(df_ajustes_conciliaco!D:D,df_ajustes_conciliaco!C:C,Conciliacao!A545)</f>
        <v/>
      </c>
      <c r="Q545" s="22">
        <f>O545+I545-P545</f>
        <v/>
      </c>
      <c r="BE545" s="20" t="n">
        <v>46201.5</v>
      </c>
      <c r="BF545" s="20" t="n">
        <v>46201.125</v>
      </c>
      <c r="BG545" s="20" t="n">
        <v>46201.5416666088</v>
      </c>
      <c r="BH545" s="20" t="n">
        <v>46201.625</v>
      </c>
    </row>
    <row r="546">
      <c r="A546" s="5">
        <f>A545+1</f>
        <v/>
      </c>
      <c r="B546" s="3">
        <f>-SUMIFS(df_extrato_zig!G:G,df_extrato_zig!E:E,Conciliacao!A546,df_extrato_zig!D:D,"Saque")-SUMIFS(df_extrato_zig!G:G,df_extrato_zig!E:E,Conciliacao!A546,df_extrato_zig!D:D,"Antecipação")</f>
        <v/>
      </c>
      <c r="C546" s="3">
        <f>SUMIFS(df_extrato_zig!E:E,df_extrato_zig!L:L,Conciliacao!A546,df_extrato_zig!F:F,"DINHEIRO")</f>
        <v/>
      </c>
      <c r="D546" s="3">
        <f>SUMIFS(view_parc_agrup!H:H,view_parc_agrup!G:G,Conciliacao!A546)</f>
        <v/>
      </c>
      <c r="E546" s="3">
        <f>SUMIFS(df_eventos!F:F,df_eventos!H:H,Conciliacao!A546)</f>
        <v/>
      </c>
      <c r="F546" s="3">
        <f>SUMIFS(df_mutuos!M:M,df_mutuos!B:B,Conciliacao!A546)</f>
        <v/>
      </c>
      <c r="G546" s="6">
        <f>SUMIFS(df_bloqueios_judiciais!G:G,df_bloqueios_judiciais!D:D,Conciliacao!A546,df_bloqueios_judiciais!G:G,"&gt;0")</f>
        <v/>
      </c>
      <c r="H546" s="7">
        <f>SUMIFS(df_extratos!I:I,df_extratos!F:F,Conciliacao!BE546,df_extratos!G:G,"CREDITO")+SUMIFS(df_extratos!I:I,df_extratos!F:F,Conciliacao!A546,df_extratos!G:G,"CREDITO")+SUMIFS(df_extratos!I:I,df_extratos!F:F,Conciliacao!BF546,df_extratos!G:G,"CREDITO")+SUMIFS(df_extratos!I:I,df_extratos!F:F,Conciliacao!BG546,df_extratos!G:G,"CREDITO")+SUMIFS(df_extratos!I:I,df_extratos!F:F,Conciliacao!BH546,df_extratos!G:G,"CREDITO")</f>
        <v/>
      </c>
      <c r="I546" s="9">
        <f>H546-SUM(B546:G546)</f>
        <v/>
      </c>
      <c r="J546" s="4">
        <f>SUMIFS(df_blueme_sem_parcelamento!E:E,df_blueme_sem_parcelamento!H:H,Conciliacao!A546)*(-1)</f>
        <v/>
      </c>
      <c r="K546" s="4">
        <f>SUMIFS(df_blueme_com_parcelamento!J:J,df_blueme_com_parcelamento!M:M,Conciliacao!A546)*(-1)</f>
        <v/>
      </c>
      <c r="L546" s="4">
        <f>SUMIFS(df_mutuos!N:N,df_mutuos!B:B,Conciliacao!A546)*(-1)</f>
        <v/>
      </c>
      <c r="M546" s="8">
        <f>SUMIFS(df_bloqueios_judiciais!G:G,df_bloqueios_judiciais!D:D,Conciliacao!A546,df_bloqueios_judiciais!G:G,"&lt;0")</f>
        <v/>
      </c>
      <c r="N546" s="10">
        <f>SUMIFS(df_extratos!I:I,df_extratos!F:F,Conciliacao!BE546,df_extratos!G:G,"DEBITO")+SUMIFS(df_extratos!I:I,df_extratos!F:F,Conciliacao!A546,df_extratos!G:G,"DEBITO")+SUMIFS(df_extratos!I:I,df_extratos!F:F,Conciliacao!BF546,df_extratos!G:G,"DEBITO")+SUMIFS(df_extratos!I:I,df_extratos!F:F,Conciliacao!BG546,df_extratos!G:G,"DEBITO")+SUMIFS(df_extratos!I:I,df_extratos!F:F,Conciliacao!BH546,df_extratos!G:G,"DEBITO")</f>
        <v/>
      </c>
      <c r="O546" s="11">
        <f>N546-SUM(J546:M546)</f>
        <v/>
      </c>
      <c r="P546" s="25">
        <f>SUMIFS(df_ajustes_conciliaco!D:D,df_ajustes_conciliaco!C:C,Conciliacao!A546)</f>
        <v/>
      </c>
      <c r="Q546" s="22">
        <f>O546+I546-P546</f>
        <v/>
      </c>
      <c r="BE546" s="20" t="n">
        <v>46202.5</v>
      </c>
      <c r="BF546" s="20" t="n">
        <v>46202.125</v>
      </c>
      <c r="BG546" s="20" t="n">
        <v>46202.5416666088</v>
      </c>
      <c r="BH546" s="20" t="n">
        <v>46202.625</v>
      </c>
    </row>
    <row r="547">
      <c r="A547" s="5">
        <f>A546+1</f>
        <v/>
      </c>
      <c r="B547" s="3">
        <f>-SUMIFS(df_extrato_zig!G:G,df_extrato_zig!E:E,Conciliacao!A547,df_extrato_zig!D:D,"Saque")-SUMIFS(df_extrato_zig!G:G,df_extrato_zig!E:E,Conciliacao!A547,df_extrato_zig!D:D,"Antecipação")</f>
        <v/>
      </c>
      <c r="C547" s="3">
        <f>SUMIFS(df_extrato_zig!E:E,df_extrato_zig!L:L,Conciliacao!A547,df_extrato_zig!F:F,"DINHEIRO")</f>
        <v/>
      </c>
      <c r="D547" s="3">
        <f>SUMIFS(view_parc_agrup!H:H,view_parc_agrup!G:G,Conciliacao!A547)</f>
        <v/>
      </c>
      <c r="E547" s="3">
        <f>SUMIFS(df_eventos!F:F,df_eventos!H:H,Conciliacao!A547)</f>
        <v/>
      </c>
      <c r="F547" s="3">
        <f>SUMIFS(df_mutuos!M:M,df_mutuos!B:B,Conciliacao!A547)</f>
        <v/>
      </c>
      <c r="G547" s="6">
        <f>SUMIFS(df_bloqueios_judiciais!G:G,df_bloqueios_judiciais!D:D,Conciliacao!A547,df_bloqueios_judiciais!G:G,"&gt;0")</f>
        <v/>
      </c>
      <c r="H547" s="7">
        <f>SUMIFS(df_extratos!I:I,df_extratos!F:F,Conciliacao!BE547,df_extratos!G:G,"CREDITO")+SUMIFS(df_extratos!I:I,df_extratos!F:F,Conciliacao!A547,df_extratos!G:G,"CREDITO")+SUMIFS(df_extratos!I:I,df_extratos!F:F,Conciliacao!BF547,df_extratos!G:G,"CREDITO")+SUMIFS(df_extratos!I:I,df_extratos!F:F,Conciliacao!BG547,df_extratos!G:G,"CREDITO")+SUMIFS(df_extratos!I:I,df_extratos!F:F,Conciliacao!BH547,df_extratos!G:G,"CREDITO")</f>
        <v/>
      </c>
      <c r="I547" s="9">
        <f>H547-SUM(B547:G547)</f>
        <v/>
      </c>
      <c r="J547" s="4">
        <f>SUMIFS(df_blueme_sem_parcelamento!E:E,df_blueme_sem_parcelamento!H:H,Conciliacao!A547)*(-1)</f>
        <v/>
      </c>
      <c r="K547" s="4">
        <f>SUMIFS(df_blueme_com_parcelamento!J:J,df_blueme_com_parcelamento!M:M,Conciliacao!A547)*(-1)</f>
        <v/>
      </c>
      <c r="L547" s="4">
        <f>SUMIFS(df_mutuos!N:N,df_mutuos!B:B,Conciliacao!A547)*(-1)</f>
        <v/>
      </c>
      <c r="M547" s="8">
        <f>SUMIFS(df_bloqueios_judiciais!G:G,df_bloqueios_judiciais!D:D,Conciliacao!A547,df_bloqueios_judiciais!G:G,"&lt;0")</f>
        <v/>
      </c>
      <c r="N547" s="10">
        <f>SUMIFS(df_extratos!I:I,df_extratos!F:F,Conciliacao!BE547,df_extratos!G:G,"DEBITO")+SUMIFS(df_extratos!I:I,df_extratos!F:F,Conciliacao!A547,df_extratos!G:G,"DEBITO")+SUMIFS(df_extratos!I:I,df_extratos!F:F,Conciliacao!BF547,df_extratos!G:G,"DEBITO")+SUMIFS(df_extratos!I:I,df_extratos!F:F,Conciliacao!BG547,df_extratos!G:G,"DEBITO")+SUMIFS(df_extratos!I:I,df_extratos!F:F,Conciliacao!BH547,df_extratos!G:G,"DEBITO")</f>
        <v/>
      </c>
      <c r="O547" s="11">
        <f>N547-SUM(J547:M547)</f>
        <v/>
      </c>
      <c r="P547" s="25">
        <f>SUMIFS(df_ajustes_conciliaco!D:D,df_ajustes_conciliaco!C:C,Conciliacao!A547)</f>
        <v/>
      </c>
      <c r="Q547" s="22">
        <f>O547+I547-P547</f>
        <v/>
      </c>
      <c r="BE547" s="20" t="n">
        <v>46203.5</v>
      </c>
      <c r="BF547" s="20" t="n">
        <v>46203.125</v>
      </c>
      <c r="BG547" s="20" t="n">
        <v>46203.5416666088</v>
      </c>
      <c r="BH547" s="20" t="n">
        <v>46203.625</v>
      </c>
    </row>
    <row r="548">
      <c r="A548" s="5">
        <f>A547+1</f>
        <v/>
      </c>
      <c r="B548" s="3">
        <f>-SUMIFS(df_extrato_zig!G:G,df_extrato_zig!E:E,Conciliacao!A548,df_extrato_zig!D:D,"Saque")-SUMIFS(df_extrato_zig!G:G,df_extrato_zig!E:E,Conciliacao!A548,df_extrato_zig!D:D,"Antecipação")</f>
        <v/>
      </c>
      <c r="C548" s="3">
        <f>SUMIFS(df_extrato_zig!E:E,df_extrato_zig!L:L,Conciliacao!A548,df_extrato_zig!F:F,"DINHEIRO")</f>
        <v/>
      </c>
      <c r="D548" s="3">
        <f>SUMIFS(view_parc_agrup!H:H,view_parc_agrup!G:G,Conciliacao!A548)</f>
        <v/>
      </c>
      <c r="E548" s="3">
        <f>SUMIFS(df_eventos!F:F,df_eventos!H:H,Conciliacao!A548)</f>
        <v/>
      </c>
      <c r="F548" s="3">
        <f>SUMIFS(df_mutuos!M:M,df_mutuos!B:B,Conciliacao!A548)</f>
        <v/>
      </c>
      <c r="G548" s="6">
        <f>SUMIFS(df_bloqueios_judiciais!G:G,df_bloqueios_judiciais!D:D,Conciliacao!A548,df_bloqueios_judiciais!G:G,"&gt;0")</f>
        <v/>
      </c>
      <c r="H548" s="7">
        <f>SUMIFS(df_extratos!I:I,df_extratos!F:F,Conciliacao!BE548,df_extratos!G:G,"CREDITO")+SUMIFS(df_extratos!I:I,df_extratos!F:F,Conciliacao!A548,df_extratos!G:G,"CREDITO")+SUMIFS(df_extratos!I:I,df_extratos!F:F,Conciliacao!BF548,df_extratos!G:G,"CREDITO")+SUMIFS(df_extratos!I:I,df_extratos!F:F,Conciliacao!BG548,df_extratos!G:G,"CREDITO")+SUMIFS(df_extratos!I:I,df_extratos!F:F,Conciliacao!BH548,df_extratos!G:G,"CREDITO")</f>
        <v/>
      </c>
      <c r="I548" s="9">
        <f>H548-SUM(B548:G548)</f>
        <v/>
      </c>
      <c r="J548" s="4">
        <f>SUMIFS(df_blueme_sem_parcelamento!E:E,df_blueme_sem_parcelamento!H:H,Conciliacao!A548)*(-1)</f>
        <v/>
      </c>
      <c r="K548" s="4">
        <f>SUMIFS(df_blueme_com_parcelamento!J:J,df_blueme_com_parcelamento!M:M,Conciliacao!A548)*(-1)</f>
        <v/>
      </c>
      <c r="L548" s="4">
        <f>SUMIFS(df_mutuos!N:N,df_mutuos!B:B,Conciliacao!A548)*(-1)</f>
        <v/>
      </c>
      <c r="M548" s="8">
        <f>SUMIFS(df_bloqueios_judiciais!G:G,df_bloqueios_judiciais!D:D,Conciliacao!A548,df_bloqueios_judiciais!G:G,"&lt;0")</f>
        <v/>
      </c>
      <c r="N548" s="10">
        <f>SUMIFS(df_extratos!I:I,df_extratos!F:F,Conciliacao!BE548,df_extratos!G:G,"DEBITO")+SUMIFS(df_extratos!I:I,df_extratos!F:F,Conciliacao!A548,df_extratos!G:G,"DEBITO")+SUMIFS(df_extratos!I:I,df_extratos!F:F,Conciliacao!BF548,df_extratos!G:G,"DEBITO")+SUMIFS(df_extratos!I:I,df_extratos!F:F,Conciliacao!BG548,df_extratos!G:G,"DEBITO")+SUMIFS(df_extratos!I:I,df_extratos!F:F,Conciliacao!BH548,df_extratos!G:G,"DEBITO")</f>
        <v/>
      </c>
      <c r="O548" s="11">
        <f>N548-SUM(J548:M548)</f>
        <v/>
      </c>
      <c r="P548" s="25">
        <f>SUMIFS(df_ajustes_conciliaco!D:D,df_ajustes_conciliaco!C:C,Conciliacao!A548)</f>
        <v/>
      </c>
      <c r="Q548" s="22">
        <f>O548+I548-P548</f>
        <v/>
      </c>
      <c r="BE548" s="20" t="n">
        <v>46204.5</v>
      </c>
      <c r="BF548" s="20" t="n">
        <v>46204.125</v>
      </c>
      <c r="BG548" s="20" t="n">
        <v>46204.5416666088</v>
      </c>
      <c r="BH548" s="20" t="n">
        <v>46204.625</v>
      </c>
    </row>
    <row r="549">
      <c r="A549" s="5">
        <f>A548+1</f>
        <v/>
      </c>
      <c r="B549" s="3">
        <f>-SUMIFS(df_extrato_zig!G:G,df_extrato_zig!E:E,Conciliacao!A549,df_extrato_zig!D:D,"Saque")-SUMIFS(df_extrato_zig!G:G,df_extrato_zig!E:E,Conciliacao!A549,df_extrato_zig!D:D,"Antecipação")</f>
        <v/>
      </c>
      <c r="C549" s="3">
        <f>SUMIFS(df_extrato_zig!E:E,df_extrato_zig!L:L,Conciliacao!A549,df_extrato_zig!F:F,"DINHEIRO")</f>
        <v/>
      </c>
      <c r="D549" s="3">
        <f>SUMIFS(view_parc_agrup!H:H,view_parc_agrup!G:G,Conciliacao!A549)</f>
        <v/>
      </c>
      <c r="E549" s="3">
        <f>SUMIFS(df_eventos!F:F,df_eventos!H:H,Conciliacao!A549)</f>
        <v/>
      </c>
      <c r="F549" s="3">
        <f>SUMIFS(df_mutuos!M:M,df_mutuos!B:B,Conciliacao!A549)</f>
        <v/>
      </c>
      <c r="G549" s="6">
        <f>SUMIFS(df_bloqueios_judiciais!G:G,df_bloqueios_judiciais!D:D,Conciliacao!A549,df_bloqueios_judiciais!G:G,"&gt;0")</f>
        <v/>
      </c>
      <c r="H549" s="7">
        <f>SUMIFS(df_extratos!I:I,df_extratos!F:F,Conciliacao!BE549,df_extratos!G:G,"CREDITO")+SUMIFS(df_extratos!I:I,df_extratos!F:F,Conciliacao!A549,df_extratos!G:G,"CREDITO")+SUMIFS(df_extratos!I:I,df_extratos!F:F,Conciliacao!BF549,df_extratos!G:G,"CREDITO")+SUMIFS(df_extratos!I:I,df_extratos!F:F,Conciliacao!BG549,df_extratos!G:G,"CREDITO")+SUMIFS(df_extratos!I:I,df_extratos!F:F,Conciliacao!BH549,df_extratos!G:G,"CREDITO")</f>
        <v/>
      </c>
      <c r="I549" s="9">
        <f>H549-SUM(B549:G549)</f>
        <v/>
      </c>
      <c r="J549" s="4">
        <f>SUMIFS(df_blueme_sem_parcelamento!E:E,df_blueme_sem_parcelamento!H:H,Conciliacao!A549)*(-1)</f>
        <v/>
      </c>
      <c r="K549" s="4">
        <f>SUMIFS(df_blueme_com_parcelamento!J:J,df_blueme_com_parcelamento!M:M,Conciliacao!A549)*(-1)</f>
        <v/>
      </c>
      <c r="L549" s="4">
        <f>SUMIFS(df_mutuos!N:N,df_mutuos!B:B,Conciliacao!A549)*(-1)</f>
        <v/>
      </c>
      <c r="M549" s="8">
        <f>SUMIFS(df_bloqueios_judiciais!G:G,df_bloqueios_judiciais!D:D,Conciliacao!A549,df_bloqueios_judiciais!G:G,"&lt;0")</f>
        <v/>
      </c>
      <c r="N549" s="10">
        <f>SUMIFS(df_extratos!I:I,df_extratos!F:F,Conciliacao!BE549,df_extratos!G:G,"DEBITO")+SUMIFS(df_extratos!I:I,df_extratos!F:F,Conciliacao!A549,df_extratos!G:G,"DEBITO")+SUMIFS(df_extratos!I:I,df_extratos!F:F,Conciliacao!BF549,df_extratos!G:G,"DEBITO")+SUMIFS(df_extratos!I:I,df_extratos!F:F,Conciliacao!BG549,df_extratos!G:G,"DEBITO")+SUMIFS(df_extratos!I:I,df_extratos!F:F,Conciliacao!BH549,df_extratos!G:G,"DEBITO")</f>
        <v/>
      </c>
      <c r="O549" s="11">
        <f>N549-SUM(J549:M549)</f>
        <v/>
      </c>
      <c r="P549" s="25">
        <f>SUMIFS(df_ajustes_conciliaco!D:D,df_ajustes_conciliaco!C:C,Conciliacao!A549)</f>
        <v/>
      </c>
      <c r="Q549" s="22">
        <f>O549+I549-P549</f>
        <v/>
      </c>
      <c r="BE549" s="20" t="n">
        <v>46205.5</v>
      </c>
      <c r="BF549" s="20" t="n">
        <v>46205.125</v>
      </c>
      <c r="BG549" s="20" t="n">
        <v>46205.5416666088</v>
      </c>
      <c r="BH549" s="20" t="n">
        <v>46205.625</v>
      </c>
    </row>
    <row r="550">
      <c r="A550" s="5">
        <f>A549+1</f>
        <v/>
      </c>
      <c r="B550" s="3">
        <f>-SUMIFS(df_extrato_zig!G:G,df_extrato_zig!E:E,Conciliacao!A550,df_extrato_zig!D:D,"Saque")-SUMIFS(df_extrato_zig!G:G,df_extrato_zig!E:E,Conciliacao!A550,df_extrato_zig!D:D,"Antecipação")</f>
        <v/>
      </c>
      <c r="C550" s="3">
        <f>SUMIFS(df_extrato_zig!E:E,df_extrato_zig!L:L,Conciliacao!A550,df_extrato_zig!F:F,"DINHEIRO")</f>
        <v/>
      </c>
      <c r="D550" s="3">
        <f>SUMIFS(view_parc_agrup!H:H,view_parc_agrup!G:G,Conciliacao!A550)</f>
        <v/>
      </c>
      <c r="E550" s="3">
        <f>SUMIFS(df_eventos!F:F,df_eventos!H:H,Conciliacao!A550)</f>
        <v/>
      </c>
      <c r="F550" s="3">
        <f>SUMIFS(df_mutuos!M:M,df_mutuos!B:B,Conciliacao!A550)</f>
        <v/>
      </c>
      <c r="G550" s="6">
        <f>SUMIFS(df_bloqueios_judiciais!G:G,df_bloqueios_judiciais!D:D,Conciliacao!A550,df_bloqueios_judiciais!G:G,"&gt;0")</f>
        <v/>
      </c>
      <c r="H550" s="7">
        <f>SUMIFS(df_extratos!I:I,df_extratos!F:F,Conciliacao!BE550,df_extratos!G:G,"CREDITO")+SUMIFS(df_extratos!I:I,df_extratos!F:F,Conciliacao!A550,df_extratos!G:G,"CREDITO")+SUMIFS(df_extratos!I:I,df_extratos!F:F,Conciliacao!BF550,df_extratos!G:G,"CREDITO")+SUMIFS(df_extratos!I:I,df_extratos!F:F,Conciliacao!BG550,df_extratos!G:G,"CREDITO")+SUMIFS(df_extratos!I:I,df_extratos!F:F,Conciliacao!BH550,df_extratos!G:G,"CREDITO")</f>
        <v/>
      </c>
      <c r="I550" s="9">
        <f>H550-SUM(B550:G550)</f>
        <v/>
      </c>
      <c r="J550" s="4">
        <f>SUMIFS(df_blueme_sem_parcelamento!E:E,df_blueme_sem_parcelamento!H:H,Conciliacao!A550)*(-1)</f>
        <v/>
      </c>
      <c r="K550" s="4">
        <f>SUMIFS(df_blueme_com_parcelamento!J:J,df_blueme_com_parcelamento!M:M,Conciliacao!A550)*(-1)</f>
        <v/>
      </c>
      <c r="L550" s="4">
        <f>SUMIFS(df_mutuos!N:N,df_mutuos!B:B,Conciliacao!A550)*(-1)</f>
        <v/>
      </c>
      <c r="M550" s="8">
        <f>SUMIFS(df_bloqueios_judiciais!G:G,df_bloqueios_judiciais!D:D,Conciliacao!A550,df_bloqueios_judiciais!G:G,"&lt;0")</f>
        <v/>
      </c>
      <c r="N550" s="10">
        <f>SUMIFS(df_extratos!I:I,df_extratos!F:F,Conciliacao!BE550,df_extratos!G:G,"DEBITO")+SUMIFS(df_extratos!I:I,df_extratos!F:F,Conciliacao!A550,df_extratos!G:G,"DEBITO")+SUMIFS(df_extratos!I:I,df_extratos!F:F,Conciliacao!BF550,df_extratos!G:G,"DEBITO")+SUMIFS(df_extratos!I:I,df_extratos!F:F,Conciliacao!BG550,df_extratos!G:G,"DEBITO")+SUMIFS(df_extratos!I:I,df_extratos!F:F,Conciliacao!BH550,df_extratos!G:G,"DEBITO")</f>
        <v/>
      </c>
      <c r="O550" s="11">
        <f>N550-SUM(J550:M550)</f>
        <v/>
      </c>
      <c r="P550" s="25">
        <f>SUMIFS(df_ajustes_conciliaco!D:D,df_ajustes_conciliaco!C:C,Conciliacao!A550)</f>
        <v/>
      </c>
      <c r="Q550" s="22">
        <f>O550+I550-P550</f>
        <v/>
      </c>
      <c r="BE550" s="20" t="n">
        <v>46206.5</v>
      </c>
      <c r="BF550" s="20" t="n">
        <v>46206.125</v>
      </c>
      <c r="BG550" s="20" t="n">
        <v>46206.5416666088</v>
      </c>
      <c r="BH550" s="20" t="n">
        <v>46206.625</v>
      </c>
    </row>
    <row r="551">
      <c r="A551" s="5">
        <f>A550+1</f>
        <v/>
      </c>
      <c r="B551" s="3">
        <f>-SUMIFS(df_extrato_zig!G:G,df_extrato_zig!E:E,Conciliacao!A551,df_extrato_zig!D:D,"Saque")-SUMIFS(df_extrato_zig!G:G,df_extrato_zig!E:E,Conciliacao!A551,df_extrato_zig!D:D,"Antecipação")</f>
        <v/>
      </c>
      <c r="C551" s="3">
        <f>SUMIFS(df_extrato_zig!E:E,df_extrato_zig!L:L,Conciliacao!A551,df_extrato_zig!F:F,"DINHEIRO")</f>
        <v/>
      </c>
      <c r="D551" s="3">
        <f>SUMIFS(view_parc_agrup!H:H,view_parc_agrup!G:G,Conciliacao!A551)</f>
        <v/>
      </c>
      <c r="E551" s="3">
        <f>SUMIFS(df_eventos!F:F,df_eventos!H:H,Conciliacao!A551)</f>
        <v/>
      </c>
      <c r="F551" s="3">
        <f>SUMIFS(df_mutuos!M:M,df_mutuos!B:B,Conciliacao!A551)</f>
        <v/>
      </c>
      <c r="G551" s="6">
        <f>SUMIFS(df_bloqueios_judiciais!G:G,df_bloqueios_judiciais!D:D,Conciliacao!A551,df_bloqueios_judiciais!G:G,"&gt;0")</f>
        <v/>
      </c>
      <c r="H551" s="7">
        <f>SUMIFS(df_extratos!I:I,df_extratos!F:F,Conciliacao!BE551,df_extratos!G:G,"CREDITO")+SUMIFS(df_extratos!I:I,df_extratos!F:F,Conciliacao!A551,df_extratos!G:G,"CREDITO")+SUMIFS(df_extratos!I:I,df_extratos!F:F,Conciliacao!BF551,df_extratos!G:G,"CREDITO")+SUMIFS(df_extratos!I:I,df_extratos!F:F,Conciliacao!BG551,df_extratos!G:G,"CREDITO")+SUMIFS(df_extratos!I:I,df_extratos!F:F,Conciliacao!BH551,df_extratos!G:G,"CREDITO")</f>
        <v/>
      </c>
      <c r="I551" s="9">
        <f>H551-SUM(B551:G551)</f>
        <v/>
      </c>
      <c r="J551" s="4">
        <f>SUMIFS(df_blueme_sem_parcelamento!E:E,df_blueme_sem_parcelamento!H:H,Conciliacao!A551)*(-1)</f>
        <v/>
      </c>
      <c r="K551" s="4">
        <f>SUMIFS(df_blueme_com_parcelamento!J:J,df_blueme_com_parcelamento!M:M,Conciliacao!A551)*(-1)</f>
        <v/>
      </c>
      <c r="L551" s="4">
        <f>SUMIFS(df_mutuos!N:N,df_mutuos!B:B,Conciliacao!A551)*(-1)</f>
        <v/>
      </c>
      <c r="M551" s="8">
        <f>SUMIFS(df_bloqueios_judiciais!G:G,df_bloqueios_judiciais!D:D,Conciliacao!A551,df_bloqueios_judiciais!G:G,"&lt;0")</f>
        <v/>
      </c>
      <c r="N551" s="10">
        <f>SUMIFS(df_extratos!I:I,df_extratos!F:F,Conciliacao!BE551,df_extratos!G:G,"DEBITO")+SUMIFS(df_extratos!I:I,df_extratos!F:F,Conciliacao!A551,df_extratos!G:G,"DEBITO")+SUMIFS(df_extratos!I:I,df_extratos!F:F,Conciliacao!BF551,df_extratos!G:G,"DEBITO")+SUMIFS(df_extratos!I:I,df_extratos!F:F,Conciliacao!BG551,df_extratos!G:G,"DEBITO")+SUMIFS(df_extratos!I:I,df_extratos!F:F,Conciliacao!BH551,df_extratos!G:G,"DEBITO")</f>
        <v/>
      </c>
      <c r="O551" s="11">
        <f>N551-SUM(J551:M551)</f>
        <v/>
      </c>
      <c r="P551" s="25">
        <f>SUMIFS(df_ajustes_conciliaco!D:D,df_ajustes_conciliaco!C:C,Conciliacao!A551)</f>
        <v/>
      </c>
      <c r="Q551" s="22">
        <f>O551+I551-P551</f>
        <v/>
      </c>
      <c r="BE551" s="20" t="n">
        <v>46207.5</v>
      </c>
      <c r="BF551" s="20" t="n">
        <v>46207.125</v>
      </c>
      <c r="BG551" s="20" t="n">
        <v>46207.5416666088</v>
      </c>
      <c r="BH551" s="20" t="n">
        <v>46207.625</v>
      </c>
    </row>
    <row r="552">
      <c r="A552" s="5">
        <f>A551+1</f>
        <v/>
      </c>
      <c r="B552" s="3">
        <f>-SUMIFS(df_extrato_zig!G:G,df_extrato_zig!E:E,Conciliacao!A552,df_extrato_zig!D:D,"Saque")-SUMIFS(df_extrato_zig!G:G,df_extrato_zig!E:E,Conciliacao!A552,df_extrato_zig!D:D,"Antecipação")</f>
        <v/>
      </c>
      <c r="C552" s="3">
        <f>SUMIFS(df_extrato_zig!E:E,df_extrato_zig!L:L,Conciliacao!A552,df_extrato_zig!F:F,"DINHEIRO")</f>
        <v/>
      </c>
      <c r="D552" s="3">
        <f>SUMIFS(view_parc_agrup!H:H,view_parc_agrup!G:G,Conciliacao!A552)</f>
        <v/>
      </c>
      <c r="E552" s="3">
        <f>SUMIFS(df_eventos!F:F,df_eventos!H:H,Conciliacao!A552)</f>
        <v/>
      </c>
      <c r="F552" s="3">
        <f>SUMIFS(df_mutuos!M:M,df_mutuos!B:B,Conciliacao!A552)</f>
        <v/>
      </c>
      <c r="G552" s="6">
        <f>SUMIFS(df_bloqueios_judiciais!G:G,df_bloqueios_judiciais!D:D,Conciliacao!A552,df_bloqueios_judiciais!G:G,"&gt;0")</f>
        <v/>
      </c>
      <c r="H552" s="7">
        <f>SUMIFS(df_extratos!I:I,df_extratos!F:F,Conciliacao!BE552,df_extratos!G:G,"CREDITO")+SUMIFS(df_extratos!I:I,df_extratos!F:F,Conciliacao!A552,df_extratos!G:G,"CREDITO")+SUMIFS(df_extratos!I:I,df_extratos!F:F,Conciliacao!BF552,df_extratos!G:G,"CREDITO")+SUMIFS(df_extratos!I:I,df_extratos!F:F,Conciliacao!BG552,df_extratos!G:G,"CREDITO")+SUMIFS(df_extratos!I:I,df_extratos!F:F,Conciliacao!BH552,df_extratos!G:G,"CREDITO")</f>
        <v/>
      </c>
      <c r="I552" s="9">
        <f>H552-SUM(B552:G552)</f>
        <v/>
      </c>
      <c r="J552" s="4">
        <f>SUMIFS(df_blueme_sem_parcelamento!E:E,df_blueme_sem_parcelamento!H:H,Conciliacao!A552)*(-1)</f>
        <v/>
      </c>
      <c r="K552" s="4">
        <f>SUMIFS(df_blueme_com_parcelamento!J:J,df_blueme_com_parcelamento!M:M,Conciliacao!A552)*(-1)</f>
        <v/>
      </c>
      <c r="L552" s="4">
        <f>SUMIFS(df_mutuos!N:N,df_mutuos!B:B,Conciliacao!A552)*(-1)</f>
        <v/>
      </c>
      <c r="M552" s="8">
        <f>SUMIFS(df_bloqueios_judiciais!G:G,df_bloqueios_judiciais!D:D,Conciliacao!A552,df_bloqueios_judiciais!G:G,"&lt;0")</f>
        <v/>
      </c>
      <c r="N552" s="10">
        <f>SUMIFS(df_extratos!I:I,df_extratos!F:F,Conciliacao!BE552,df_extratos!G:G,"DEBITO")+SUMIFS(df_extratos!I:I,df_extratos!F:F,Conciliacao!A552,df_extratos!G:G,"DEBITO")+SUMIFS(df_extratos!I:I,df_extratos!F:F,Conciliacao!BF552,df_extratos!G:G,"DEBITO")+SUMIFS(df_extratos!I:I,df_extratos!F:F,Conciliacao!BG552,df_extratos!G:G,"DEBITO")+SUMIFS(df_extratos!I:I,df_extratos!F:F,Conciliacao!BH552,df_extratos!G:G,"DEBITO")</f>
        <v/>
      </c>
      <c r="O552" s="11">
        <f>N552-SUM(J552:M552)</f>
        <v/>
      </c>
      <c r="P552" s="25">
        <f>SUMIFS(df_ajustes_conciliaco!D:D,df_ajustes_conciliaco!C:C,Conciliacao!A552)</f>
        <v/>
      </c>
      <c r="Q552" s="22">
        <f>O552+I552-P552</f>
        <v/>
      </c>
      <c r="BE552" s="20" t="n">
        <v>46208.5</v>
      </c>
      <c r="BF552" s="20" t="n">
        <v>46208.125</v>
      </c>
      <c r="BG552" s="20" t="n">
        <v>46208.5416666088</v>
      </c>
      <c r="BH552" s="20" t="n">
        <v>46208.625</v>
      </c>
    </row>
    <row r="553">
      <c r="A553" s="5">
        <f>A552+1</f>
        <v/>
      </c>
      <c r="B553" s="3">
        <f>-SUMIFS(df_extrato_zig!G:G,df_extrato_zig!E:E,Conciliacao!A553,df_extrato_zig!D:D,"Saque")-SUMIFS(df_extrato_zig!G:G,df_extrato_zig!E:E,Conciliacao!A553,df_extrato_zig!D:D,"Antecipação")</f>
        <v/>
      </c>
      <c r="C553" s="3">
        <f>SUMIFS(df_extrato_zig!E:E,df_extrato_zig!L:L,Conciliacao!A553,df_extrato_zig!F:F,"DINHEIRO")</f>
        <v/>
      </c>
      <c r="D553" s="3">
        <f>SUMIFS(view_parc_agrup!H:H,view_parc_agrup!G:G,Conciliacao!A553)</f>
        <v/>
      </c>
      <c r="E553" s="3">
        <f>SUMIFS(df_eventos!F:F,df_eventos!H:H,Conciliacao!A553)</f>
        <v/>
      </c>
      <c r="F553" s="3">
        <f>SUMIFS(df_mutuos!M:M,df_mutuos!B:B,Conciliacao!A553)</f>
        <v/>
      </c>
      <c r="G553" s="6">
        <f>SUMIFS(df_bloqueios_judiciais!G:G,df_bloqueios_judiciais!D:D,Conciliacao!A553,df_bloqueios_judiciais!G:G,"&gt;0")</f>
        <v/>
      </c>
      <c r="H553" s="7">
        <f>SUMIFS(df_extratos!I:I,df_extratos!F:F,Conciliacao!BE553,df_extratos!G:G,"CREDITO")+SUMIFS(df_extratos!I:I,df_extratos!F:F,Conciliacao!A553,df_extratos!G:G,"CREDITO")+SUMIFS(df_extratos!I:I,df_extratos!F:F,Conciliacao!BF553,df_extratos!G:G,"CREDITO")+SUMIFS(df_extratos!I:I,df_extratos!F:F,Conciliacao!BG553,df_extratos!G:G,"CREDITO")+SUMIFS(df_extratos!I:I,df_extratos!F:F,Conciliacao!BH553,df_extratos!G:G,"CREDITO")</f>
        <v/>
      </c>
      <c r="I553" s="9">
        <f>H553-SUM(B553:G553)</f>
        <v/>
      </c>
      <c r="J553" s="4">
        <f>SUMIFS(df_blueme_sem_parcelamento!E:E,df_blueme_sem_parcelamento!H:H,Conciliacao!A553)*(-1)</f>
        <v/>
      </c>
      <c r="K553" s="4">
        <f>SUMIFS(df_blueme_com_parcelamento!J:J,df_blueme_com_parcelamento!M:M,Conciliacao!A553)*(-1)</f>
        <v/>
      </c>
      <c r="L553" s="4">
        <f>SUMIFS(df_mutuos!N:N,df_mutuos!B:B,Conciliacao!A553)*(-1)</f>
        <v/>
      </c>
      <c r="M553" s="8">
        <f>SUMIFS(df_bloqueios_judiciais!G:G,df_bloqueios_judiciais!D:D,Conciliacao!A553,df_bloqueios_judiciais!G:G,"&lt;0")</f>
        <v/>
      </c>
      <c r="N553" s="10">
        <f>SUMIFS(df_extratos!I:I,df_extratos!F:F,Conciliacao!BE553,df_extratos!G:G,"DEBITO")+SUMIFS(df_extratos!I:I,df_extratos!F:F,Conciliacao!A553,df_extratos!G:G,"DEBITO")+SUMIFS(df_extratos!I:I,df_extratos!F:F,Conciliacao!BF553,df_extratos!G:G,"DEBITO")+SUMIFS(df_extratos!I:I,df_extratos!F:F,Conciliacao!BG553,df_extratos!G:G,"DEBITO")+SUMIFS(df_extratos!I:I,df_extratos!F:F,Conciliacao!BH553,df_extratos!G:G,"DEBITO")</f>
        <v/>
      </c>
      <c r="O553" s="11">
        <f>N553-SUM(J553:M553)</f>
        <v/>
      </c>
      <c r="P553" s="25">
        <f>SUMIFS(df_ajustes_conciliaco!D:D,df_ajustes_conciliaco!C:C,Conciliacao!A553)</f>
        <v/>
      </c>
      <c r="Q553" s="22">
        <f>O553+I553-P553</f>
        <v/>
      </c>
      <c r="BE553" s="20" t="n">
        <v>46209.5</v>
      </c>
      <c r="BF553" s="20" t="n">
        <v>46209.125</v>
      </c>
      <c r="BG553" s="20" t="n">
        <v>46209.5416666088</v>
      </c>
      <c r="BH553" s="20" t="n">
        <v>46209.625</v>
      </c>
    </row>
    <row r="554">
      <c r="A554" s="5">
        <f>A553+1</f>
        <v/>
      </c>
      <c r="B554" s="3">
        <f>-SUMIFS(df_extrato_zig!G:G,df_extrato_zig!E:E,Conciliacao!A554,df_extrato_zig!D:D,"Saque")-SUMIFS(df_extrato_zig!G:G,df_extrato_zig!E:E,Conciliacao!A554,df_extrato_zig!D:D,"Antecipação")</f>
        <v/>
      </c>
      <c r="C554" s="3">
        <f>SUMIFS(df_extrato_zig!E:E,df_extrato_zig!L:L,Conciliacao!A554,df_extrato_zig!F:F,"DINHEIRO")</f>
        <v/>
      </c>
      <c r="D554" s="3">
        <f>SUMIFS(view_parc_agrup!H:H,view_parc_agrup!G:G,Conciliacao!A554)</f>
        <v/>
      </c>
      <c r="E554" s="3">
        <f>SUMIFS(df_eventos!F:F,df_eventos!H:H,Conciliacao!A554)</f>
        <v/>
      </c>
      <c r="F554" s="3">
        <f>SUMIFS(df_mutuos!M:M,df_mutuos!B:B,Conciliacao!A554)</f>
        <v/>
      </c>
      <c r="G554" s="6">
        <f>SUMIFS(df_bloqueios_judiciais!G:G,df_bloqueios_judiciais!D:D,Conciliacao!A554,df_bloqueios_judiciais!G:G,"&gt;0")</f>
        <v/>
      </c>
      <c r="H554" s="7">
        <f>SUMIFS(df_extratos!I:I,df_extratos!F:F,Conciliacao!BE554,df_extratos!G:G,"CREDITO")+SUMIFS(df_extratos!I:I,df_extratos!F:F,Conciliacao!A554,df_extratos!G:G,"CREDITO")+SUMIFS(df_extratos!I:I,df_extratos!F:F,Conciliacao!BF554,df_extratos!G:G,"CREDITO")+SUMIFS(df_extratos!I:I,df_extratos!F:F,Conciliacao!BG554,df_extratos!G:G,"CREDITO")+SUMIFS(df_extratos!I:I,df_extratos!F:F,Conciliacao!BH554,df_extratos!G:G,"CREDITO")</f>
        <v/>
      </c>
      <c r="I554" s="9">
        <f>H554-SUM(B554:G554)</f>
        <v/>
      </c>
      <c r="J554" s="4">
        <f>SUMIFS(df_blueme_sem_parcelamento!E:E,df_blueme_sem_parcelamento!H:H,Conciliacao!A554)*(-1)</f>
        <v/>
      </c>
      <c r="K554" s="4">
        <f>SUMIFS(df_blueme_com_parcelamento!J:J,df_blueme_com_parcelamento!M:M,Conciliacao!A554)*(-1)</f>
        <v/>
      </c>
      <c r="L554" s="4">
        <f>SUMIFS(df_mutuos!N:N,df_mutuos!B:B,Conciliacao!A554)*(-1)</f>
        <v/>
      </c>
      <c r="M554" s="8">
        <f>SUMIFS(df_bloqueios_judiciais!G:G,df_bloqueios_judiciais!D:D,Conciliacao!A554,df_bloqueios_judiciais!G:G,"&lt;0")</f>
        <v/>
      </c>
      <c r="N554" s="10">
        <f>SUMIFS(df_extratos!I:I,df_extratos!F:F,Conciliacao!BE554,df_extratos!G:G,"DEBITO")+SUMIFS(df_extratos!I:I,df_extratos!F:F,Conciliacao!A554,df_extratos!G:G,"DEBITO")+SUMIFS(df_extratos!I:I,df_extratos!F:F,Conciliacao!BF554,df_extratos!G:G,"DEBITO")+SUMIFS(df_extratos!I:I,df_extratos!F:F,Conciliacao!BG554,df_extratos!G:G,"DEBITO")+SUMIFS(df_extratos!I:I,df_extratos!F:F,Conciliacao!BH554,df_extratos!G:G,"DEBITO")</f>
        <v/>
      </c>
      <c r="O554" s="11">
        <f>N554-SUM(J554:M554)</f>
        <v/>
      </c>
      <c r="P554" s="25">
        <f>SUMIFS(df_ajustes_conciliaco!D:D,df_ajustes_conciliaco!C:C,Conciliacao!A554)</f>
        <v/>
      </c>
      <c r="Q554" s="22">
        <f>O554+I554-P554</f>
        <v/>
      </c>
      <c r="BE554" s="20" t="n">
        <v>46210.5</v>
      </c>
      <c r="BF554" s="20" t="n">
        <v>46210.125</v>
      </c>
      <c r="BG554" s="20" t="n">
        <v>46210.5416666088</v>
      </c>
      <c r="BH554" s="20" t="n">
        <v>46210.625</v>
      </c>
    </row>
    <row r="555">
      <c r="A555" s="5">
        <f>A554+1</f>
        <v/>
      </c>
      <c r="B555" s="3">
        <f>-SUMIFS(df_extrato_zig!G:G,df_extrato_zig!E:E,Conciliacao!A555,df_extrato_zig!D:D,"Saque")-SUMIFS(df_extrato_zig!G:G,df_extrato_zig!E:E,Conciliacao!A555,df_extrato_zig!D:D,"Antecipação")</f>
        <v/>
      </c>
      <c r="C555" s="3">
        <f>SUMIFS(df_extrato_zig!E:E,df_extrato_zig!L:L,Conciliacao!A555,df_extrato_zig!F:F,"DINHEIRO")</f>
        <v/>
      </c>
      <c r="D555" s="3">
        <f>SUMIFS(view_parc_agrup!H:H,view_parc_agrup!G:G,Conciliacao!A555)</f>
        <v/>
      </c>
      <c r="E555" s="3">
        <f>SUMIFS(df_eventos!F:F,df_eventos!H:H,Conciliacao!A555)</f>
        <v/>
      </c>
      <c r="F555" s="3">
        <f>SUMIFS(df_mutuos!M:M,df_mutuos!B:B,Conciliacao!A555)</f>
        <v/>
      </c>
      <c r="G555" s="6">
        <f>SUMIFS(df_bloqueios_judiciais!G:G,df_bloqueios_judiciais!D:D,Conciliacao!A555,df_bloqueios_judiciais!G:G,"&gt;0")</f>
        <v/>
      </c>
      <c r="H555" s="7">
        <f>SUMIFS(df_extratos!I:I,df_extratos!F:F,Conciliacao!BE555,df_extratos!G:G,"CREDITO")+SUMIFS(df_extratos!I:I,df_extratos!F:F,Conciliacao!A555,df_extratos!G:G,"CREDITO")+SUMIFS(df_extratos!I:I,df_extratos!F:F,Conciliacao!BF555,df_extratos!G:G,"CREDITO")+SUMIFS(df_extratos!I:I,df_extratos!F:F,Conciliacao!BG555,df_extratos!G:G,"CREDITO")+SUMIFS(df_extratos!I:I,df_extratos!F:F,Conciliacao!BH555,df_extratos!G:G,"CREDITO")</f>
        <v/>
      </c>
      <c r="I555" s="9">
        <f>H555-SUM(B555:G555)</f>
        <v/>
      </c>
      <c r="J555" s="4">
        <f>SUMIFS(df_blueme_sem_parcelamento!E:E,df_blueme_sem_parcelamento!H:H,Conciliacao!A555)*(-1)</f>
        <v/>
      </c>
      <c r="K555" s="4">
        <f>SUMIFS(df_blueme_com_parcelamento!J:J,df_blueme_com_parcelamento!M:M,Conciliacao!A555)*(-1)</f>
        <v/>
      </c>
      <c r="L555" s="4">
        <f>SUMIFS(df_mutuos!N:N,df_mutuos!B:B,Conciliacao!A555)*(-1)</f>
        <v/>
      </c>
      <c r="M555" s="8">
        <f>SUMIFS(df_bloqueios_judiciais!G:G,df_bloqueios_judiciais!D:D,Conciliacao!A555,df_bloqueios_judiciais!G:G,"&lt;0")</f>
        <v/>
      </c>
      <c r="N555" s="10">
        <f>SUMIFS(df_extratos!I:I,df_extratos!F:F,Conciliacao!BE555,df_extratos!G:G,"DEBITO")+SUMIFS(df_extratos!I:I,df_extratos!F:F,Conciliacao!A555,df_extratos!G:G,"DEBITO")+SUMIFS(df_extratos!I:I,df_extratos!F:F,Conciliacao!BF555,df_extratos!G:G,"DEBITO")+SUMIFS(df_extratos!I:I,df_extratos!F:F,Conciliacao!BG555,df_extratos!G:G,"DEBITO")+SUMIFS(df_extratos!I:I,df_extratos!F:F,Conciliacao!BH555,df_extratos!G:G,"DEBITO")</f>
        <v/>
      </c>
      <c r="O555" s="11">
        <f>N555-SUM(J555:M555)</f>
        <v/>
      </c>
      <c r="P555" s="25">
        <f>SUMIFS(df_ajustes_conciliaco!D:D,df_ajustes_conciliaco!C:C,Conciliacao!A555)</f>
        <v/>
      </c>
      <c r="Q555" s="22">
        <f>O555+I555-P555</f>
        <v/>
      </c>
      <c r="BE555" s="20" t="n">
        <v>46211.5</v>
      </c>
      <c r="BF555" s="20" t="n">
        <v>46211.125</v>
      </c>
      <c r="BG555" s="20" t="n">
        <v>46211.5416666088</v>
      </c>
      <c r="BH555" s="20" t="n">
        <v>46211.625</v>
      </c>
    </row>
    <row r="556">
      <c r="A556" s="5">
        <f>A555+1</f>
        <v/>
      </c>
      <c r="B556" s="3">
        <f>-SUMIFS(df_extrato_zig!G:G,df_extrato_zig!E:E,Conciliacao!A556,df_extrato_zig!D:D,"Saque")-SUMIFS(df_extrato_zig!G:G,df_extrato_zig!E:E,Conciliacao!A556,df_extrato_zig!D:D,"Antecipação")</f>
        <v/>
      </c>
      <c r="C556" s="3">
        <f>SUMIFS(df_extrato_zig!E:E,df_extrato_zig!L:L,Conciliacao!A556,df_extrato_zig!F:F,"DINHEIRO")</f>
        <v/>
      </c>
      <c r="D556" s="3">
        <f>SUMIFS(view_parc_agrup!H:H,view_parc_agrup!G:G,Conciliacao!A556)</f>
        <v/>
      </c>
      <c r="E556" s="3">
        <f>SUMIFS(df_eventos!F:F,df_eventos!H:H,Conciliacao!A556)</f>
        <v/>
      </c>
      <c r="F556" s="3">
        <f>SUMIFS(df_mutuos!M:M,df_mutuos!B:B,Conciliacao!A556)</f>
        <v/>
      </c>
      <c r="G556" s="6">
        <f>SUMIFS(df_bloqueios_judiciais!G:G,df_bloqueios_judiciais!D:D,Conciliacao!A556,df_bloqueios_judiciais!G:G,"&gt;0")</f>
        <v/>
      </c>
      <c r="H556" s="7">
        <f>SUMIFS(df_extratos!I:I,df_extratos!F:F,Conciliacao!BE556,df_extratos!G:G,"CREDITO")+SUMIFS(df_extratos!I:I,df_extratos!F:F,Conciliacao!A556,df_extratos!G:G,"CREDITO")+SUMIFS(df_extratos!I:I,df_extratos!F:F,Conciliacao!BF556,df_extratos!G:G,"CREDITO")+SUMIFS(df_extratos!I:I,df_extratos!F:F,Conciliacao!BG556,df_extratos!G:G,"CREDITO")+SUMIFS(df_extratos!I:I,df_extratos!F:F,Conciliacao!BH556,df_extratos!G:G,"CREDITO")</f>
        <v/>
      </c>
      <c r="I556" s="9">
        <f>H556-SUM(B556:G556)</f>
        <v/>
      </c>
      <c r="J556" s="4">
        <f>SUMIFS(df_blueme_sem_parcelamento!E:E,df_blueme_sem_parcelamento!H:H,Conciliacao!A556)*(-1)</f>
        <v/>
      </c>
      <c r="K556" s="4">
        <f>SUMIFS(df_blueme_com_parcelamento!J:J,df_blueme_com_parcelamento!M:M,Conciliacao!A556)*(-1)</f>
        <v/>
      </c>
      <c r="L556" s="4">
        <f>SUMIFS(df_mutuos!N:N,df_mutuos!B:B,Conciliacao!A556)*(-1)</f>
        <v/>
      </c>
      <c r="M556" s="8">
        <f>SUMIFS(df_bloqueios_judiciais!G:G,df_bloqueios_judiciais!D:D,Conciliacao!A556,df_bloqueios_judiciais!G:G,"&lt;0")</f>
        <v/>
      </c>
      <c r="N556" s="10">
        <f>SUMIFS(df_extratos!I:I,df_extratos!F:F,Conciliacao!BE556,df_extratos!G:G,"DEBITO")+SUMIFS(df_extratos!I:I,df_extratos!F:F,Conciliacao!A556,df_extratos!G:G,"DEBITO")+SUMIFS(df_extratos!I:I,df_extratos!F:F,Conciliacao!BF556,df_extratos!G:G,"DEBITO")+SUMIFS(df_extratos!I:I,df_extratos!F:F,Conciliacao!BG556,df_extratos!G:G,"DEBITO")+SUMIFS(df_extratos!I:I,df_extratos!F:F,Conciliacao!BH556,df_extratos!G:G,"DEBITO")</f>
        <v/>
      </c>
      <c r="O556" s="11">
        <f>N556-SUM(J556:M556)</f>
        <v/>
      </c>
      <c r="P556" s="25">
        <f>SUMIFS(df_ajustes_conciliaco!D:D,df_ajustes_conciliaco!C:C,Conciliacao!A556)</f>
        <v/>
      </c>
      <c r="Q556" s="22">
        <f>O556+I556-P556</f>
        <v/>
      </c>
      <c r="BE556" s="20" t="n">
        <v>46212.5</v>
      </c>
      <c r="BF556" s="20" t="n">
        <v>46212.125</v>
      </c>
      <c r="BG556" s="20" t="n">
        <v>46212.5416666088</v>
      </c>
      <c r="BH556" s="20" t="n">
        <v>46212.625</v>
      </c>
    </row>
    <row r="557">
      <c r="A557" s="5">
        <f>A556+1</f>
        <v/>
      </c>
      <c r="B557" s="3">
        <f>-SUMIFS(df_extrato_zig!G:G,df_extrato_zig!E:E,Conciliacao!A557,df_extrato_zig!D:D,"Saque")-SUMIFS(df_extrato_zig!G:G,df_extrato_zig!E:E,Conciliacao!A557,df_extrato_zig!D:D,"Antecipação")</f>
        <v/>
      </c>
      <c r="C557" s="3">
        <f>SUMIFS(df_extrato_zig!E:E,df_extrato_zig!L:L,Conciliacao!A557,df_extrato_zig!F:F,"DINHEIRO")</f>
        <v/>
      </c>
      <c r="D557" s="3">
        <f>SUMIFS(view_parc_agrup!H:H,view_parc_agrup!G:G,Conciliacao!A557)</f>
        <v/>
      </c>
      <c r="E557" s="3">
        <f>SUMIFS(df_eventos!F:F,df_eventos!H:H,Conciliacao!A557)</f>
        <v/>
      </c>
      <c r="F557" s="3">
        <f>SUMIFS(df_mutuos!M:M,df_mutuos!B:B,Conciliacao!A557)</f>
        <v/>
      </c>
      <c r="G557" s="6">
        <f>SUMIFS(df_bloqueios_judiciais!G:G,df_bloqueios_judiciais!D:D,Conciliacao!A557,df_bloqueios_judiciais!G:G,"&gt;0")</f>
        <v/>
      </c>
      <c r="H557" s="7">
        <f>SUMIFS(df_extratos!I:I,df_extratos!F:F,Conciliacao!BE557,df_extratos!G:G,"CREDITO")+SUMIFS(df_extratos!I:I,df_extratos!F:F,Conciliacao!A557,df_extratos!G:G,"CREDITO")+SUMIFS(df_extratos!I:I,df_extratos!F:F,Conciliacao!BF557,df_extratos!G:G,"CREDITO")+SUMIFS(df_extratos!I:I,df_extratos!F:F,Conciliacao!BG557,df_extratos!G:G,"CREDITO")+SUMIFS(df_extratos!I:I,df_extratos!F:F,Conciliacao!BH557,df_extratos!G:G,"CREDITO")</f>
        <v/>
      </c>
      <c r="I557" s="9">
        <f>H557-SUM(B557:G557)</f>
        <v/>
      </c>
      <c r="J557" s="4">
        <f>SUMIFS(df_blueme_sem_parcelamento!E:E,df_blueme_sem_parcelamento!H:H,Conciliacao!A557)*(-1)</f>
        <v/>
      </c>
      <c r="K557" s="4">
        <f>SUMIFS(df_blueme_com_parcelamento!J:J,df_blueme_com_parcelamento!M:M,Conciliacao!A557)*(-1)</f>
        <v/>
      </c>
      <c r="L557" s="4">
        <f>SUMIFS(df_mutuos!N:N,df_mutuos!B:B,Conciliacao!A557)*(-1)</f>
        <v/>
      </c>
      <c r="M557" s="8">
        <f>SUMIFS(df_bloqueios_judiciais!G:G,df_bloqueios_judiciais!D:D,Conciliacao!A557,df_bloqueios_judiciais!G:G,"&lt;0")</f>
        <v/>
      </c>
      <c r="N557" s="10">
        <f>SUMIFS(df_extratos!I:I,df_extratos!F:F,Conciliacao!BE557,df_extratos!G:G,"DEBITO")+SUMIFS(df_extratos!I:I,df_extratos!F:F,Conciliacao!A557,df_extratos!G:G,"DEBITO")+SUMIFS(df_extratos!I:I,df_extratos!F:F,Conciliacao!BF557,df_extratos!G:G,"DEBITO")+SUMIFS(df_extratos!I:I,df_extratos!F:F,Conciliacao!BG557,df_extratos!G:G,"DEBITO")+SUMIFS(df_extratos!I:I,df_extratos!F:F,Conciliacao!BH557,df_extratos!G:G,"DEBITO")</f>
        <v/>
      </c>
      <c r="O557" s="11">
        <f>N557-SUM(J557:M557)</f>
        <v/>
      </c>
      <c r="P557" s="25">
        <f>SUMIFS(df_ajustes_conciliaco!D:D,df_ajustes_conciliaco!C:C,Conciliacao!A557)</f>
        <v/>
      </c>
      <c r="Q557" s="22">
        <f>O557+I557-P557</f>
        <v/>
      </c>
      <c r="BE557" s="20" t="n">
        <v>46213.5</v>
      </c>
      <c r="BF557" s="20" t="n">
        <v>46213.125</v>
      </c>
      <c r="BG557" s="20" t="n">
        <v>46213.5416666088</v>
      </c>
      <c r="BH557" s="20" t="n">
        <v>46213.625</v>
      </c>
    </row>
    <row r="558">
      <c r="A558" s="5">
        <f>A557+1</f>
        <v/>
      </c>
      <c r="B558" s="3">
        <f>-SUMIFS(df_extrato_zig!G:G,df_extrato_zig!E:E,Conciliacao!A558,df_extrato_zig!D:D,"Saque")-SUMIFS(df_extrato_zig!G:G,df_extrato_zig!E:E,Conciliacao!A558,df_extrato_zig!D:D,"Antecipação")</f>
        <v/>
      </c>
      <c r="C558" s="3">
        <f>SUMIFS(df_extrato_zig!E:E,df_extrato_zig!L:L,Conciliacao!A558,df_extrato_zig!F:F,"DINHEIRO")</f>
        <v/>
      </c>
      <c r="D558" s="3">
        <f>SUMIFS(view_parc_agrup!H:H,view_parc_agrup!G:G,Conciliacao!A558)</f>
        <v/>
      </c>
      <c r="E558" s="3">
        <f>SUMIFS(df_eventos!F:F,df_eventos!H:H,Conciliacao!A558)</f>
        <v/>
      </c>
      <c r="F558" s="3">
        <f>SUMIFS(df_mutuos!M:M,df_mutuos!B:B,Conciliacao!A558)</f>
        <v/>
      </c>
      <c r="G558" s="6">
        <f>SUMIFS(df_bloqueios_judiciais!G:G,df_bloqueios_judiciais!D:D,Conciliacao!A558,df_bloqueios_judiciais!G:G,"&gt;0")</f>
        <v/>
      </c>
      <c r="H558" s="7">
        <f>SUMIFS(df_extratos!I:I,df_extratos!F:F,Conciliacao!BE558,df_extratos!G:G,"CREDITO")+SUMIFS(df_extratos!I:I,df_extratos!F:F,Conciliacao!A558,df_extratos!G:G,"CREDITO")+SUMIFS(df_extratos!I:I,df_extratos!F:F,Conciliacao!BF558,df_extratos!G:G,"CREDITO")+SUMIFS(df_extratos!I:I,df_extratos!F:F,Conciliacao!BG558,df_extratos!G:G,"CREDITO")+SUMIFS(df_extratos!I:I,df_extratos!F:F,Conciliacao!BH558,df_extratos!G:G,"CREDITO")</f>
        <v/>
      </c>
      <c r="I558" s="9">
        <f>H558-SUM(B558:G558)</f>
        <v/>
      </c>
      <c r="J558" s="4">
        <f>SUMIFS(df_blueme_sem_parcelamento!E:E,df_blueme_sem_parcelamento!H:H,Conciliacao!A558)*(-1)</f>
        <v/>
      </c>
      <c r="K558" s="4">
        <f>SUMIFS(df_blueme_com_parcelamento!J:J,df_blueme_com_parcelamento!M:M,Conciliacao!A558)*(-1)</f>
        <v/>
      </c>
      <c r="L558" s="4">
        <f>SUMIFS(df_mutuos!N:N,df_mutuos!B:B,Conciliacao!A558)*(-1)</f>
        <v/>
      </c>
      <c r="M558" s="8">
        <f>SUMIFS(df_bloqueios_judiciais!G:G,df_bloqueios_judiciais!D:D,Conciliacao!A558,df_bloqueios_judiciais!G:G,"&lt;0")</f>
        <v/>
      </c>
      <c r="N558" s="10">
        <f>SUMIFS(df_extratos!I:I,df_extratos!F:F,Conciliacao!BE558,df_extratos!G:G,"DEBITO")+SUMIFS(df_extratos!I:I,df_extratos!F:F,Conciliacao!A558,df_extratos!G:G,"DEBITO")+SUMIFS(df_extratos!I:I,df_extratos!F:F,Conciliacao!BF558,df_extratos!G:G,"DEBITO")+SUMIFS(df_extratos!I:I,df_extratos!F:F,Conciliacao!BG558,df_extratos!G:G,"DEBITO")+SUMIFS(df_extratos!I:I,df_extratos!F:F,Conciliacao!BH558,df_extratos!G:G,"DEBITO")</f>
        <v/>
      </c>
      <c r="O558" s="11">
        <f>N558-SUM(J558:M558)</f>
        <v/>
      </c>
      <c r="P558" s="25">
        <f>SUMIFS(df_ajustes_conciliaco!D:D,df_ajustes_conciliaco!C:C,Conciliacao!A558)</f>
        <v/>
      </c>
      <c r="Q558" s="22">
        <f>O558+I558-P558</f>
        <v/>
      </c>
      <c r="BE558" s="20" t="n">
        <v>46214.5</v>
      </c>
      <c r="BF558" s="20" t="n">
        <v>46214.125</v>
      </c>
      <c r="BG558" s="20" t="n">
        <v>46214.5416666088</v>
      </c>
      <c r="BH558" s="20" t="n">
        <v>46214.625</v>
      </c>
    </row>
    <row r="559">
      <c r="A559" s="5">
        <f>A558+1</f>
        <v/>
      </c>
      <c r="B559" s="3">
        <f>-SUMIFS(df_extrato_zig!G:G,df_extrato_zig!E:E,Conciliacao!A559,df_extrato_zig!D:D,"Saque")-SUMIFS(df_extrato_zig!G:G,df_extrato_zig!E:E,Conciliacao!A559,df_extrato_zig!D:D,"Antecipação")</f>
        <v/>
      </c>
      <c r="C559" s="3">
        <f>SUMIFS(df_extrato_zig!E:E,df_extrato_zig!L:L,Conciliacao!A559,df_extrato_zig!F:F,"DINHEIRO")</f>
        <v/>
      </c>
      <c r="D559" s="3">
        <f>SUMIFS(view_parc_agrup!H:H,view_parc_agrup!G:G,Conciliacao!A559)</f>
        <v/>
      </c>
      <c r="E559" s="3">
        <f>SUMIFS(df_eventos!F:F,df_eventos!H:H,Conciliacao!A559)</f>
        <v/>
      </c>
      <c r="F559" s="3">
        <f>SUMIFS(df_mutuos!M:M,df_mutuos!B:B,Conciliacao!A559)</f>
        <v/>
      </c>
      <c r="G559" s="6">
        <f>SUMIFS(df_bloqueios_judiciais!G:G,df_bloqueios_judiciais!D:D,Conciliacao!A559,df_bloqueios_judiciais!G:G,"&gt;0")</f>
        <v/>
      </c>
      <c r="H559" s="7">
        <f>SUMIFS(df_extratos!I:I,df_extratos!F:F,Conciliacao!BE559,df_extratos!G:G,"CREDITO")+SUMIFS(df_extratos!I:I,df_extratos!F:F,Conciliacao!A559,df_extratos!G:G,"CREDITO")+SUMIFS(df_extratos!I:I,df_extratos!F:F,Conciliacao!BF559,df_extratos!G:G,"CREDITO")+SUMIFS(df_extratos!I:I,df_extratos!F:F,Conciliacao!BG559,df_extratos!G:G,"CREDITO")+SUMIFS(df_extratos!I:I,df_extratos!F:F,Conciliacao!BH559,df_extratos!G:G,"CREDITO")</f>
        <v/>
      </c>
      <c r="I559" s="9">
        <f>H559-SUM(B559:G559)</f>
        <v/>
      </c>
      <c r="J559" s="4">
        <f>SUMIFS(df_blueme_sem_parcelamento!E:E,df_blueme_sem_parcelamento!H:H,Conciliacao!A559)*(-1)</f>
        <v/>
      </c>
      <c r="K559" s="4">
        <f>SUMIFS(df_blueme_com_parcelamento!J:J,df_blueme_com_parcelamento!M:M,Conciliacao!A559)*(-1)</f>
        <v/>
      </c>
      <c r="L559" s="4">
        <f>SUMIFS(df_mutuos!N:N,df_mutuos!B:B,Conciliacao!A559)*(-1)</f>
        <v/>
      </c>
      <c r="M559" s="8">
        <f>SUMIFS(df_bloqueios_judiciais!G:G,df_bloqueios_judiciais!D:D,Conciliacao!A559,df_bloqueios_judiciais!G:G,"&lt;0")</f>
        <v/>
      </c>
      <c r="N559" s="10">
        <f>SUMIFS(df_extratos!I:I,df_extratos!F:F,Conciliacao!BE559,df_extratos!G:G,"DEBITO")+SUMIFS(df_extratos!I:I,df_extratos!F:F,Conciliacao!A559,df_extratos!G:G,"DEBITO")+SUMIFS(df_extratos!I:I,df_extratos!F:F,Conciliacao!BF559,df_extratos!G:G,"DEBITO")+SUMIFS(df_extratos!I:I,df_extratos!F:F,Conciliacao!BG559,df_extratos!G:G,"DEBITO")+SUMIFS(df_extratos!I:I,df_extratos!F:F,Conciliacao!BH559,df_extratos!G:G,"DEBITO")</f>
        <v/>
      </c>
      <c r="O559" s="11">
        <f>N559-SUM(J559:M559)</f>
        <v/>
      </c>
      <c r="P559" s="25">
        <f>SUMIFS(df_ajustes_conciliaco!D:D,df_ajustes_conciliaco!C:C,Conciliacao!A559)</f>
        <v/>
      </c>
      <c r="Q559" s="22">
        <f>O559+I559-P559</f>
        <v/>
      </c>
      <c r="BE559" s="20" t="n">
        <v>46215.5</v>
      </c>
      <c r="BF559" s="20" t="n">
        <v>46215.125</v>
      </c>
      <c r="BG559" s="20" t="n">
        <v>46215.5416666088</v>
      </c>
      <c r="BH559" s="20" t="n">
        <v>46215.625</v>
      </c>
    </row>
    <row r="560">
      <c r="A560" s="5">
        <f>A559+1</f>
        <v/>
      </c>
      <c r="B560" s="3">
        <f>-SUMIFS(df_extrato_zig!G:G,df_extrato_zig!E:E,Conciliacao!A560,df_extrato_zig!D:D,"Saque")-SUMIFS(df_extrato_zig!G:G,df_extrato_zig!E:E,Conciliacao!A560,df_extrato_zig!D:D,"Antecipação")</f>
        <v/>
      </c>
      <c r="C560" s="3">
        <f>SUMIFS(df_extrato_zig!E:E,df_extrato_zig!L:L,Conciliacao!A560,df_extrato_zig!F:F,"DINHEIRO")</f>
        <v/>
      </c>
      <c r="D560" s="3">
        <f>SUMIFS(view_parc_agrup!H:H,view_parc_agrup!G:G,Conciliacao!A560)</f>
        <v/>
      </c>
      <c r="E560" s="3">
        <f>SUMIFS(df_eventos!F:F,df_eventos!H:H,Conciliacao!A560)</f>
        <v/>
      </c>
      <c r="F560" s="3">
        <f>SUMIFS(df_mutuos!M:M,df_mutuos!B:B,Conciliacao!A560)</f>
        <v/>
      </c>
      <c r="G560" s="6">
        <f>SUMIFS(df_bloqueios_judiciais!G:G,df_bloqueios_judiciais!D:D,Conciliacao!A560,df_bloqueios_judiciais!G:G,"&gt;0")</f>
        <v/>
      </c>
      <c r="H560" s="7">
        <f>SUMIFS(df_extratos!I:I,df_extratos!F:F,Conciliacao!BE560,df_extratos!G:G,"CREDITO")+SUMIFS(df_extratos!I:I,df_extratos!F:F,Conciliacao!A560,df_extratos!G:G,"CREDITO")+SUMIFS(df_extratos!I:I,df_extratos!F:F,Conciliacao!BF560,df_extratos!G:G,"CREDITO")+SUMIFS(df_extratos!I:I,df_extratos!F:F,Conciliacao!BG560,df_extratos!G:G,"CREDITO")+SUMIFS(df_extratos!I:I,df_extratos!F:F,Conciliacao!BH560,df_extratos!G:G,"CREDITO")</f>
        <v/>
      </c>
      <c r="I560" s="9">
        <f>H560-SUM(B560:G560)</f>
        <v/>
      </c>
      <c r="J560" s="4">
        <f>SUMIFS(df_blueme_sem_parcelamento!E:E,df_blueme_sem_parcelamento!H:H,Conciliacao!A560)*(-1)</f>
        <v/>
      </c>
      <c r="K560" s="4">
        <f>SUMIFS(df_blueme_com_parcelamento!J:J,df_blueme_com_parcelamento!M:M,Conciliacao!A560)*(-1)</f>
        <v/>
      </c>
      <c r="L560" s="4">
        <f>SUMIFS(df_mutuos!N:N,df_mutuos!B:B,Conciliacao!A560)*(-1)</f>
        <v/>
      </c>
      <c r="M560" s="8">
        <f>SUMIFS(df_bloqueios_judiciais!G:G,df_bloqueios_judiciais!D:D,Conciliacao!A560,df_bloqueios_judiciais!G:G,"&lt;0")</f>
        <v/>
      </c>
      <c r="N560" s="10">
        <f>SUMIFS(df_extratos!I:I,df_extratos!F:F,Conciliacao!BE560,df_extratos!G:G,"DEBITO")+SUMIFS(df_extratos!I:I,df_extratos!F:F,Conciliacao!A560,df_extratos!G:G,"DEBITO")+SUMIFS(df_extratos!I:I,df_extratos!F:F,Conciliacao!BF560,df_extratos!G:G,"DEBITO")+SUMIFS(df_extratos!I:I,df_extratos!F:F,Conciliacao!BG560,df_extratos!G:G,"DEBITO")+SUMIFS(df_extratos!I:I,df_extratos!F:F,Conciliacao!BH560,df_extratos!G:G,"DEBITO")</f>
        <v/>
      </c>
      <c r="O560" s="11">
        <f>N560-SUM(J560:M560)</f>
        <v/>
      </c>
      <c r="P560" s="25">
        <f>SUMIFS(df_ajustes_conciliaco!D:D,df_ajustes_conciliaco!C:C,Conciliacao!A560)</f>
        <v/>
      </c>
      <c r="Q560" s="22">
        <f>O560+I560-P560</f>
        <v/>
      </c>
      <c r="BE560" s="20" t="n">
        <v>46216.5</v>
      </c>
      <c r="BF560" s="20" t="n">
        <v>46216.125</v>
      </c>
      <c r="BG560" s="20" t="n">
        <v>46216.5416666088</v>
      </c>
      <c r="BH560" s="20" t="n">
        <v>46216.625</v>
      </c>
    </row>
    <row r="561">
      <c r="A561" s="5">
        <f>A560+1</f>
        <v/>
      </c>
      <c r="B561" s="3">
        <f>-SUMIFS(df_extrato_zig!G:G,df_extrato_zig!E:E,Conciliacao!A561,df_extrato_zig!D:D,"Saque")-SUMIFS(df_extrato_zig!G:G,df_extrato_zig!E:E,Conciliacao!A561,df_extrato_zig!D:D,"Antecipação")</f>
        <v/>
      </c>
      <c r="C561" s="3">
        <f>SUMIFS(df_extrato_zig!E:E,df_extrato_zig!L:L,Conciliacao!A561,df_extrato_zig!F:F,"DINHEIRO")</f>
        <v/>
      </c>
      <c r="D561" s="3">
        <f>SUMIFS(view_parc_agrup!H:H,view_parc_agrup!G:G,Conciliacao!A561)</f>
        <v/>
      </c>
      <c r="E561" s="3">
        <f>SUMIFS(df_eventos!F:F,df_eventos!H:H,Conciliacao!A561)</f>
        <v/>
      </c>
      <c r="F561" s="3">
        <f>SUMIFS(df_mutuos!M:M,df_mutuos!B:B,Conciliacao!A561)</f>
        <v/>
      </c>
      <c r="G561" s="6">
        <f>SUMIFS(df_bloqueios_judiciais!G:G,df_bloqueios_judiciais!D:D,Conciliacao!A561,df_bloqueios_judiciais!G:G,"&gt;0")</f>
        <v/>
      </c>
      <c r="H561" s="7">
        <f>SUMIFS(df_extratos!I:I,df_extratos!F:F,Conciliacao!BE561,df_extratos!G:G,"CREDITO")+SUMIFS(df_extratos!I:I,df_extratos!F:F,Conciliacao!A561,df_extratos!G:G,"CREDITO")+SUMIFS(df_extratos!I:I,df_extratos!F:F,Conciliacao!BF561,df_extratos!G:G,"CREDITO")+SUMIFS(df_extratos!I:I,df_extratos!F:F,Conciliacao!BG561,df_extratos!G:G,"CREDITO")+SUMIFS(df_extratos!I:I,df_extratos!F:F,Conciliacao!BH561,df_extratos!G:G,"CREDITO")</f>
        <v/>
      </c>
      <c r="I561" s="9">
        <f>H561-SUM(B561:G561)</f>
        <v/>
      </c>
      <c r="J561" s="4">
        <f>SUMIFS(df_blueme_sem_parcelamento!E:E,df_blueme_sem_parcelamento!H:H,Conciliacao!A561)*(-1)</f>
        <v/>
      </c>
      <c r="K561" s="4">
        <f>SUMIFS(df_blueme_com_parcelamento!J:J,df_blueme_com_parcelamento!M:M,Conciliacao!A561)*(-1)</f>
        <v/>
      </c>
      <c r="L561" s="4">
        <f>SUMIFS(df_mutuos!N:N,df_mutuos!B:B,Conciliacao!A561)*(-1)</f>
        <v/>
      </c>
      <c r="M561" s="8">
        <f>SUMIFS(df_bloqueios_judiciais!G:G,df_bloqueios_judiciais!D:D,Conciliacao!A561,df_bloqueios_judiciais!G:G,"&lt;0")</f>
        <v/>
      </c>
      <c r="N561" s="10">
        <f>SUMIFS(df_extratos!I:I,df_extratos!F:F,Conciliacao!BE561,df_extratos!G:G,"DEBITO")+SUMIFS(df_extratos!I:I,df_extratos!F:F,Conciliacao!A561,df_extratos!G:G,"DEBITO")+SUMIFS(df_extratos!I:I,df_extratos!F:F,Conciliacao!BF561,df_extratos!G:G,"DEBITO")+SUMIFS(df_extratos!I:I,df_extratos!F:F,Conciliacao!BG561,df_extratos!G:G,"DEBITO")+SUMIFS(df_extratos!I:I,df_extratos!F:F,Conciliacao!BH561,df_extratos!G:G,"DEBITO")</f>
        <v/>
      </c>
      <c r="O561" s="11">
        <f>N561-SUM(J561:M561)</f>
        <v/>
      </c>
      <c r="P561" s="25">
        <f>SUMIFS(df_ajustes_conciliaco!D:D,df_ajustes_conciliaco!C:C,Conciliacao!A561)</f>
        <v/>
      </c>
      <c r="Q561" s="22">
        <f>O561+I561-P561</f>
        <v/>
      </c>
      <c r="BE561" s="20" t="n">
        <v>46217.5</v>
      </c>
      <c r="BF561" s="20" t="n">
        <v>46217.125</v>
      </c>
      <c r="BG561" s="20" t="n">
        <v>46217.5416666088</v>
      </c>
      <c r="BH561" s="20" t="n">
        <v>46217.625</v>
      </c>
    </row>
    <row r="562">
      <c r="A562" s="5">
        <f>A561+1</f>
        <v/>
      </c>
      <c r="B562" s="3">
        <f>-SUMIFS(df_extrato_zig!G:G,df_extrato_zig!E:E,Conciliacao!A562,df_extrato_zig!D:D,"Saque")-SUMIFS(df_extrato_zig!G:G,df_extrato_zig!E:E,Conciliacao!A562,df_extrato_zig!D:D,"Antecipação")</f>
        <v/>
      </c>
      <c r="C562" s="3">
        <f>SUMIFS(df_extrato_zig!E:E,df_extrato_zig!L:L,Conciliacao!A562,df_extrato_zig!F:F,"DINHEIRO")</f>
        <v/>
      </c>
      <c r="D562" s="3">
        <f>SUMIFS(view_parc_agrup!H:H,view_parc_agrup!G:G,Conciliacao!A562)</f>
        <v/>
      </c>
      <c r="E562" s="3">
        <f>SUMIFS(df_eventos!F:F,df_eventos!H:H,Conciliacao!A562)</f>
        <v/>
      </c>
      <c r="F562" s="3">
        <f>SUMIFS(df_mutuos!M:M,df_mutuos!B:B,Conciliacao!A562)</f>
        <v/>
      </c>
      <c r="G562" s="6">
        <f>SUMIFS(df_bloqueios_judiciais!G:G,df_bloqueios_judiciais!D:D,Conciliacao!A562,df_bloqueios_judiciais!G:G,"&gt;0")</f>
        <v/>
      </c>
      <c r="H562" s="7">
        <f>SUMIFS(df_extratos!I:I,df_extratos!F:F,Conciliacao!BE562,df_extratos!G:G,"CREDITO")+SUMIFS(df_extratos!I:I,df_extratos!F:F,Conciliacao!A562,df_extratos!G:G,"CREDITO")+SUMIFS(df_extratos!I:I,df_extratos!F:F,Conciliacao!BF562,df_extratos!G:G,"CREDITO")+SUMIFS(df_extratos!I:I,df_extratos!F:F,Conciliacao!BG562,df_extratos!G:G,"CREDITO")+SUMIFS(df_extratos!I:I,df_extratos!F:F,Conciliacao!BH562,df_extratos!G:G,"CREDITO")</f>
        <v/>
      </c>
      <c r="I562" s="9">
        <f>H562-SUM(B562:G562)</f>
        <v/>
      </c>
      <c r="J562" s="4">
        <f>SUMIFS(df_blueme_sem_parcelamento!E:E,df_blueme_sem_parcelamento!H:H,Conciliacao!A562)*(-1)</f>
        <v/>
      </c>
      <c r="K562" s="4">
        <f>SUMIFS(df_blueme_com_parcelamento!J:J,df_blueme_com_parcelamento!M:M,Conciliacao!A562)*(-1)</f>
        <v/>
      </c>
      <c r="L562" s="4">
        <f>SUMIFS(df_mutuos!N:N,df_mutuos!B:B,Conciliacao!A562)*(-1)</f>
        <v/>
      </c>
      <c r="M562" s="8">
        <f>SUMIFS(df_bloqueios_judiciais!G:G,df_bloqueios_judiciais!D:D,Conciliacao!A562,df_bloqueios_judiciais!G:G,"&lt;0")</f>
        <v/>
      </c>
      <c r="N562" s="10">
        <f>SUMIFS(df_extratos!I:I,df_extratos!F:F,Conciliacao!BE562,df_extratos!G:G,"DEBITO")+SUMIFS(df_extratos!I:I,df_extratos!F:F,Conciliacao!A562,df_extratos!G:G,"DEBITO")+SUMIFS(df_extratos!I:I,df_extratos!F:F,Conciliacao!BF562,df_extratos!G:G,"DEBITO")+SUMIFS(df_extratos!I:I,df_extratos!F:F,Conciliacao!BG562,df_extratos!G:G,"DEBITO")+SUMIFS(df_extratos!I:I,df_extratos!F:F,Conciliacao!BH562,df_extratos!G:G,"DEBITO")</f>
        <v/>
      </c>
      <c r="O562" s="11">
        <f>N562-SUM(J562:M562)</f>
        <v/>
      </c>
      <c r="P562" s="25">
        <f>SUMIFS(df_ajustes_conciliaco!D:D,df_ajustes_conciliaco!C:C,Conciliacao!A562)</f>
        <v/>
      </c>
      <c r="Q562" s="22">
        <f>O562+I562-P562</f>
        <v/>
      </c>
      <c r="BE562" s="20" t="n">
        <v>46218.5</v>
      </c>
      <c r="BF562" s="20" t="n">
        <v>46218.125</v>
      </c>
      <c r="BG562" s="20" t="n">
        <v>46218.5416666088</v>
      </c>
      <c r="BH562" s="20" t="n">
        <v>46218.625</v>
      </c>
    </row>
    <row r="563">
      <c r="A563" s="5">
        <f>A562+1</f>
        <v/>
      </c>
      <c r="B563" s="3">
        <f>-SUMIFS(df_extrato_zig!G:G,df_extrato_zig!E:E,Conciliacao!A563,df_extrato_zig!D:D,"Saque")-SUMIFS(df_extrato_zig!G:G,df_extrato_zig!E:E,Conciliacao!A563,df_extrato_zig!D:D,"Antecipação")</f>
        <v/>
      </c>
      <c r="C563" s="3">
        <f>SUMIFS(df_extrato_zig!E:E,df_extrato_zig!L:L,Conciliacao!A563,df_extrato_zig!F:F,"DINHEIRO")</f>
        <v/>
      </c>
      <c r="D563" s="3">
        <f>SUMIFS(view_parc_agrup!H:H,view_parc_agrup!G:G,Conciliacao!A563)</f>
        <v/>
      </c>
      <c r="E563" s="3">
        <f>SUMIFS(df_eventos!F:F,df_eventos!H:H,Conciliacao!A563)</f>
        <v/>
      </c>
      <c r="F563" s="3">
        <f>SUMIFS(df_mutuos!M:M,df_mutuos!B:B,Conciliacao!A563)</f>
        <v/>
      </c>
      <c r="G563" s="6">
        <f>SUMIFS(df_bloqueios_judiciais!G:G,df_bloqueios_judiciais!D:D,Conciliacao!A563,df_bloqueios_judiciais!G:G,"&gt;0")</f>
        <v/>
      </c>
      <c r="H563" s="7">
        <f>SUMIFS(df_extratos!I:I,df_extratos!F:F,Conciliacao!BE563,df_extratos!G:G,"CREDITO")+SUMIFS(df_extratos!I:I,df_extratos!F:F,Conciliacao!A563,df_extratos!G:G,"CREDITO")+SUMIFS(df_extratos!I:I,df_extratos!F:F,Conciliacao!BF563,df_extratos!G:G,"CREDITO")+SUMIFS(df_extratos!I:I,df_extratos!F:F,Conciliacao!BG563,df_extratos!G:G,"CREDITO")+SUMIFS(df_extratos!I:I,df_extratos!F:F,Conciliacao!BH563,df_extratos!G:G,"CREDITO")</f>
        <v/>
      </c>
      <c r="I563" s="9">
        <f>H563-SUM(B563:G563)</f>
        <v/>
      </c>
      <c r="J563" s="4">
        <f>SUMIFS(df_blueme_sem_parcelamento!E:E,df_blueme_sem_parcelamento!H:H,Conciliacao!A563)*(-1)</f>
        <v/>
      </c>
      <c r="K563" s="4">
        <f>SUMIFS(df_blueme_com_parcelamento!J:J,df_blueme_com_parcelamento!M:M,Conciliacao!A563)*(-1)</f>
        <v/>
      </c>
      <c r="L563" s="4">
        <f>SUMIFS(df_mutuos!N:N,df_mutuos!B:B,Conciliacao!A563)*(-1)</f>
        <v/>
      </c>
      <c r="M563" s="8">
        <f>SUMIFS(df_bloqueios_judiciais!G:G,df_bloqueios_judiciais!D:D,Conciliacao!A563,df_bloqueios_judiciais!G:G,"&lt;0")</f>
        <v/>
      </c>
      <c r="N563" s="10">
        <f>SUMIFS(df_extratos!I:I,df_extratos!F:F,Conciliacao!BE563,df_extratos!G:G,"DEBITO")+SUMIFS(df_extratos!I:I,df_extratos!F:F,Conciliacao!A563,df_extratos!G:G,"DEBITO")+SUMIFS(df_extratos!I:I,df_extratos!F:F,Conciliacao!BF563,df_extratos!G:G,"DEBITO")+SUMIFS(df_extratos!I:I,df_extratos!F:F,Conciliacao!BG563,df_extratos!G:G,"DEBITO")+SUMIFS(df_extratos!I:I,df_extratos!F:F,Conciliacao!BH563,df_extratos!G:G,"DEBITO")</f>
        <v/>
      </c>
      <c r="O563" s="11">
        <f>N563-SUM(J563:M563)</f>
        <v/>
      </c>
      <c r="P563" s="25">
        <f>SUMIFS(df_ajustes_conciliaco!D:D,df_ajustes_conciliaco!C:C,Conciliacao!A563)</f>
        <v/>
      </c>
      <c r="Q563" s="22">
        <f>O563+I563-P563</f>
        <v/>
      </c>
      <c r="BE563" s="20" t="n">
        <v>46219.5</v>
      </c>
      <c r="BF563" s="20" t="n">
        <v>46219.125</v>
      </c>
      <c r="BG563" s="20" t="n">
        <v>46219.5416666088</v>
      </c>
      <c r="BH563" s="20" t="n">
        <v>46219.625</v>
      </c>
    </row>
    <row r="564">
      <c r="A564" s="5">
        <f>A563+1</f>
        <v/>
      </c>
      <c r="B564" s="3">
        <f>-SUMIFS(df_extrato_zig!G:G,df_extrato_zig!E:E,Conciliacao!A564,df_extrato_zig!D:D,"Saque")-SUMIFS(df_extrato_zig!G:G,df_extrato_zig!E:E,Conciliacao!A564,df_extrato_zig!D:D,"Antecipação")</f>
        <v/>
      </c>
      <c r="C564" s="3">
        <f>SUMIFS(df_extrato_zig!E:E,df_extrato_zig!L:L,Conciliacao!A564,df_extrato_zig!F:F,"DINHEIRO")</f>
        <v/>
      </c>
      <c r="D564" s="3">
        <f>SUMIFS(view_parc_agrup!H:H,view_parc_agrup!G:G,Conciliacao!A564)</f>
        <v/>
      </c>
      <c r="E564" s="3">
        <f>SUMIFS(df_eventos!F:F,df_eventos!H:H,Conciliacao!A564)</f>
        <v/>
      </c>
      <c r="F564" s="3">
        <f>SUMIFS(df_mutuos!M:M,df_mutuos!B:B,Conciliacao!A564)</f>
        <v/>
      </c>
      <c r="G564" s="6">
        <f>SUMIFS(df_bloqueios_judiciais!G:G,df_bloqueios_judiciais!D:D,Conciliacao!A564,df_bloqueios_judiciais!G:G,"&gt;0")</f>
        <v/>
      </c>
      <c r="H564" s="7">
        <f>SUMIFS(df_extratos!I:I,df_extratos!F:F,Conciliacao!BE564,df_extratos!G:G,"CREDITO")+SUMIFS(df_extratos!I:I,df_extratos!F:F,Conciliacao!A564,df_extratos!G:G,"CREDITO")+SUMIFS(df_extratos!I:I,df_extratos!F:F,Conciliacao!BF564,df_extratos!G:G,"CREDITO")+SUMIFS(df_extratos!I:I,df_extratos!F:F,Conciliacao!BG564,df_extratos!G:G,"CREDITO")+SUMIFS(df_extratos!I:I,df_extratos!F:F,Conciliacao!BH564,df_extratos!G:G,"CREDITO")</f>
        <v/>
      </c>
      <c r="I564" s="9">
        <f>H564-SUM(B564:G564)</f>
        <v/>
      </c>
      <c r="J564" s="4">
        <f>SUMIFS(df_blueme_sem_parcelamento!E:E,df_blueme_sem_parcelamento!H:H,Conciliacao!A564)*(-1)</f>
        <v/>
      </c>
      <c r="K564" s="4">
        <f>SUMIFS(df_blueme_com_parcelamento!J:J,df_blueme_com_parcelamento!M:M,Conciliacao!A564)*(-1)</f>
        <v/>
      </c>
      <c r="L564" s="4">
        <f>SUMIFS(df_mutuos!N:N,df_mutuos!B:B,Conciliacao!A564)*(-1)</f>
        <v/>
      </c>
      <c r="M564" s="8">
        <f>SUMIFS(df_bloqueios_judiciais!G:G,df_bloqueios_judiciais!D:D,Conciliacao!A564,df_bloqueios_judiciais!G:G,"&lt;0")</f>
        <v/>
      </c>
      <c r="N564" s="10">
        <f>SUMIFS(df_extratos!I:I,df_extratos!F:F,Conciliacao!BE564,df_extratos!G:G,"DEBITO")+SUMIFS(df_extratos!I:I,df_extratos!F:F,Conciliacao!A564,df_extratos!G:G,"DEBITO")+SUMIFS(df_extratos!I:I,df_extratos!F:F,Conciliacao!BF564,df_extratos!G:G,"DEBITO")+SUMIFS(df_extratos!I:I,df_extratos!F:F,Conciliacao!BG564,df_extratos!G:G,"DEBITO")+SUMIFS(df_extratos!I:I,df_extratos!F:F,Conciliacao!BH564,df_extratos!G:G,"DEBITO")</f>
        <v/>
      </c>
      <c r="O564" s="11">
        <f>N564-SUM(J564:M564)</f>
        <v/>
      </c>
      <c r="P564" s="25">
        <f>SUMIFS(df_ajustes_conciliaco!D:D,df_ajustes_conciliaco!C:C,Conciliacao!A564)</f>
        <v/>
      </c>
      <c r="Q564" s="22">
        <f>O564+I564-P564</f>
        <v/>
      </c>
      <c r="BE564" s="20" t="n">
        <v>46220.5</v>
      </c>
      <c r="BF564" s="20" t="n">
        <v>46220.125</v>
      </c>
      <c r="BG564" s="20" t="n">
        <v>46220.5416666088</v>
      </c>
      <c r="BH564" s="20" t="n">
        <v>46220.625</v>
      </c>
    </row>
    <row r="565">
      <c r="A565" s="5">
        <f>A564+1</f>
        <v/>
      </c>
      <c r="B565" s="3">
        <f>-SUMIFS(df_extrato_zig!G:G,df_extrato_zig!E:E,Conciliacao!A565,df_extrato_zig!D:D,"Saque")-SUMIFS(df_extrato_zig!G:G,df_extrato_zig!E:E,Conciliacao!A565,df_extrato_zig!D:D,"Antecipação")</f>
        <v/>
      </c>
      <c r="C565" s="3">
        <f>SUMIFS(df_extrato_zig!E:E,df_extrato_zig!L:L,Conciliacao!A565,df_extrato_zig!F:F,"DINHEIRO")</f>
        <v/>
      </c>
      <c r="D565" s="3">
        <f>SUMIFS(view_parc_agrup!H:H,view_parc_agrup!G:G,Conciliacao!A565)</f>
        <v/>
      </c>
      <c r="E565" s="3">
        <f>SUMIFS(df_eventos!F:F,df_eventos!H:H,Conciliacao!A565)</f>
        <v/>
      </c>
      <c r="F565" s="3">
        <f>SUMIFS(df_mutuos!M:M,df_mutuos!B:B,Conciliacao!A565)</f>
        <v/>
      </c>
      <c r="G565" s="6">
        <f>SUMIFS(df_bloqueios_judiciais!G:G,df_bloqueios_judiciais!D:D,Conciliacao!A565,df_bloqueios_judiciais!G:G,"&gt;0")</f>
        <v/>
      </c>
      <c r="H565" s="7">
        <f>SUMIFS(df_extratos!I:I,df_extratos!F:F,Conciliacao!BE565,df_extratos!G:G,"CREDITO")+SUMIFS(df_extratos!I:I,df_extratos!F:F,Conciliacao!A565,df_extratos!G:G,"CREDITO")+SUMIFS(df_extratos!I:I,df_extratos!F:F,Conciliacao!BF565,df_extratos!G:G,"CREDITO")+SUMIFS(df_extratos!I:I,df_extratos!F:F,Conciliacao!BG565,df_extratos!G:G,"CREDITO")+SUMIFS(df_extratos!I:I,df_extratos!F:F,Conciliacao!BH565,df_extratos!G:G,"CREDITO")</f>
        <v/>
      </c>
      <c r="I565" s="9">
        <f>H565-SUM(B565:G565)</f>
        <v/>
      </c>
      <c r="J565" s="4">
        <f>SUMIFS(df_blueme_sem_parcelamento!E:E,df_blueme_sem_parcelamento!H:H,Conciliacao!A565)*(-1)</f>
        <v/>
      </c>
      <c r="K565" s="4">
        <f>SUMIFS(df_blueme_com_parcelamento!J:J,df_blueme_com_parcelamento!M:M,Conciliacao!A565)*(-1)</f>
        <v/>
      </c>
      <c r="L565" s="4">
        <f>SUMIFS(df_mutuos!N:N,df_mutuos!B:B,Conciliacao!A565)*(-1)</f>
        <v/>
      </c>
      <c r="M565" s="8">
        <f>SUMIFS(df_bloqueios_judiciais!G:G,df_bloqueios_judiciais!D:D,Conciliacao!A565,df_bloqueios_judiciais!G:G,"&lt;0")</f>
        <v/>
      </c>
      <c r="N565" s="10">
        <f>SUMIFS(df_extratos!I:I,df_extratos!F:F,Conciliacao!BE565,df_extratos!G:G,"DEBITO")+SUMIFS(df_extratos!I:I,df_extratos!F:F,Conciliacao!A565,df_extratos!G:G,"DEBITO")+SUMIFS(df_extratos!I:I,df_extratos!F:F,Conciliacao!BF565,df_extratos!G:G,"DEBITO")+SUMIFS(df_extratos!I:I,df_extratos!F:F,Conciliacao!BG565,df_extratos!G:G,"DEBITO")+SUMIFS(df_extratos!I:I,df_extratos!F:F,Conciliacao!BH565,df_extratos!G:G,"DEBITO")</f>
        <v/>
      </c>
      <c r="O565" s="11">
        <f>N565-SUM(J565:M565)</f>
        <v/>
      </c>
      <c r="P565" s="25">
        <f>SUMIFS(df_ajustes_conciliaco!D:D,df_ajustes_conciliaco!C:C,Conciliacao!A565)</f>
        <v/>
      </c>
      <c r="Q565" s="22">
        <f>O565+I565-P565</f>
        <v/>
      </c>
      <c r="BE565" s="20" t="n">
        <v>46221.5</v>
      </c>
      <c r="BF565" s="20" t="n">
        <v>46221.125</v>
      </c>
      <c r="BG565" s="20" t="n">
        <v>46221.5416666088</v>
      </c>
      <c r="BH565" s="20" t="n">
        <v>46221.625</v>
      </c>
    </row>
    <row r="566">
      <c r="A566" s="5">
        <f>A565+1</f>
        <v/>
      </c>
      <c r="B566" s="3">
        <f>-SUMIFS(df_extrato_zig!G:G,df_extrato_zig!E:E,Conciliacao!A566,df_extrato_zig!D:D,"Saque")-SUMIFS(df_extrato_zig!G:G,df_extrato_zig!E:E,Conciliacao!A566,df_extrato_zig!D:D,"Antecipação")</f>
        <v/>
      </c>
      <c r="C566" s="3">
        <f>SUMIFS(df_extrato_zig!E:E,df_extrato_zig!L:L,Conciliacao!A566,df_extrato_zig!F:F,"DINHEIRO")</f>
        <v/>
      </c>
      <c r="D566" s="3">
        <f>SUMIFS(view_parc_agrup!H:H,view_parc_agrup!G:G,Conciliacao!A566)</f>
        <v/>
      </c>
      <c r="E566" s="3">
        <f>SUMIFS(df_eventos!F:F,df_eventos!H:H,Conciliacao!A566)</f>
        <v/>
      </c>
      <c r="F566" s="3">
        <f>SUMIFS(df_mutuos!M:M,df_mutuos!B:B,Conciliacao!A566)</f>
        <v/>
      </c>
      <c r="G566" s="6">
        <f>SUMIFS(df_bloqueios_judiciais!G:G,df_bloqueios_judiciais!D:D,Conciliacao!A566,df_bloqueios_judiciais!G:G,"&gt;0")</f>
        <v/>
      </c>
      <c r="H566" s="7">
        <f>SUMIFS(df_extratos!I:I,df_extratos!F:F,Conciliacao!BE566,df_extratos!G:G,"CREDITO")+SUMIFS(df_extratos!I:I,df_extratos!F:F,Conciliacao!A566,df_extratos!G:G,"CREDITO")+SUMIFS(df_extratos!I:I,df_extratos!F:F,Conciliacao!BF566,df_extratos!G:G,"CREDITO")+SUMIFS(df_extratos!I:I,df_extratos!F:F,Conciliacao!BG566,df_extratos!G:G,"CREDITO")+SUMIFS(df_extratos!I:I,df_extratos!F:F,Conciliacao!BH566,df_extratos!G:G,"CREDITO")</f>
        <v/>
      </c>
      <c r="I566" s="9">
        <f>H566-SUM(B566:G566)</f>
        <v/>
      </c>
      <c r="J566" s="4">
        <f>SUMIFS(df_blueme_sem_parcelamento!E:E,df_blueme_sem_parcelamento!H:H,Conciliacao!A566)*(-1)</f>
        <v/>
      </c>
      <c r="K566" s="4">
        <f>SUMIFS(df_blueme_com_parcelamento!J:J,df_blueme_com_parcelamento!M:M,Conciliacao!A566)*(-1)</f>
        <v/>
      </c>
      <c r="L566" s="4">
        <f>SUMIFS(df_mutuos!N:N,df_mutuos!B:B,Conciliacao!A566)*(-1)</f>
        <v/>
      </c>
      <c r="M566" s="8">
        <f>SUMIFS(df_bloqueios_judiciais!G:G,df_bloqueios_judiciais!D:D,Conciliacao!A566,df_bloqueios_judiciais!G:G,"&lt;0")</f>
        <v/>
      </c>
      <c r="N566" s="10">
        <f>SUMIFS(df_extratos!I:I,df_extratos!F:F,Conciliacao!BE566,df_extratos!G:G,"DEBITO")+SUMIFS(df_extratos!I:I,df_extratos!F:F,Conciliacao!A566,df_extratos!G:G,"DEBITO")+SUMIFS(df_extratos!I:I,df_extratos!F:F,Conciliacao!BF566,df_extratos!G:G,"DEBITO")+SUMIFS(df_extratos!I:I,df_extratos!F:F,Conciliacao!BG566,df_extratos!G:G,"DEBITO")+SUMIFS(df_extratos!I:I,df_extratos!F:F,Conciliacao!BH566,df_extratos!G:G,"DEBITO")</f>
        <v/>
      </c>
      <c r="O566" s="11">
        <f>N566-SUM(J566:M566)</f>
        <v/>
      </c>
      <c r="P566" s="25">
        <f>SUMIFS(df_ajustes_conciliaco!D:D,df_ajustes_conciliaco!C:C,Conciliacao!A566)</f>
        <v/>
      </c>
      <c r="Q566" s="22">
        <f>O566+I566-P566</f>
        <v/>
      </c>
      <c r="BE566" s="20" t="n">
        <v>46222.5</v>
      </c>
      <c r="BF566" s="20" t="n">
        <v>46222.125</v>
      </c>
      <c r="BG566" s="20" t="n">
        <v>46222.5416666088</v>
      </c>
      <c r="BH566" s="20" t="n">
        <v>46222.625</v>
      </c>
    </row>
    <row r="567">
      <c r="A567" s="5">
        <f>A566+1</f>
        <v/>
      </c>
      <c r="B567" s="3">
        <f>-SUMIFS(df_extrato_zig!G:G,df_extrato_zig!E:E,Conciliacao!A567,df_extrato_zig!D:D,"Saque")-SUMIFS(df_extrato_zig!G:G,df_extrato_zig!E:E,Conciliacao!A567,df_extrato_zig!D:D,"Antecipação")</f>
        <v/>
      </c>
      <c r="C567" s="3">
        <f>SUMIFS(df_extrato_zig!E:E,df_extrato_zig!L:L,Conciliacao!A567,df_extrato_zig!F:F,"DINHEIRO")</f>
        <v/>
      </c>
      <c r="D567" s="3">
        <f>SUMIFS(view_parc_agrup!H:H,view_parc_agrup!G:G,Conciliacao!A567)</f>
        <v/>
      </c>
      <c r="E567" s="3">
        <f>SUMIFS(df_eventos!F:F,df_eventos!H:H,Conciliacao!A567)</f>
        <v/>
      </c>
      <c r="F567" s="3">
        <f>SUMIFS(df_mutuos!M:M,df_mutuos!B:B,Conciliacao!A567)</f>
        <v/>
      </c>
      <c r="G567" s="6">
        <f>SUMIFS(df_bloqueios_judiciais!G:G,df_bloqueios_judiciais!D:D,Conciliacao!A567,df_bloqueios_judiciais!G:G,"&gt;0")</f>
        <v/>
      </c>
      <c r="H567" s="7">
        <f>SUMIFS(df_extratos!I:I,df_extratos!F:F,Conciliacao!BE567,df_extratos!G:G,"CREDITO")+SUMIFS(df_extratos!I:I,df_extratos!F:F,Conciliacao!A567,df_extratos!G:G,"CREDITO")+SUMIFS(df_extratos!I:I,df_extratos!F:F,Conciliacao!BF567,df_extratos!G:G,"CREDITO")+SUMIFS(df_extratos!I:I,df_extratos!F:F,Conciliacao!BG567,df_extratos!G:G,"CREDITO")+SUMIFS(df_extratos!I:I,df_extratos!F:F,Conciliacao!BH567,df_extratos!G:G,"CREDITO")</f>
        <v/>
      </c>
      <c r="I567" s="9">
        <f>H567-SUM(B567:G567)</f>
        <v/>
      </c>
      <c r="J567" s="4">
        <f>SUMIFS(df_blueme_sem_parcelamento!E:E,df_blueme_sem_parcelamento!H:H,Conciliacao!A567)*(-1)</f>
        <v/>
      </c>
      <c r="K567" s="4">
        <f>SUMIFS(df_blueme_com_parcelamento!J:J,df_blueme_com_parcelamento!M:M,Conciliacao!A567)*(-1)</f>
        <v/>
      </c>
      <c r="L567" s="4">
        <f>SUMIFS(df_mutuos!N:N,df_mutuos!B:B,Conciliacao!A567)*(-1)</f>
        <v/>
      </c>
      <c r="M567" s="8">
        <f>SUMIFS(df_bloqueios_judiciais!G:G,df_bloqueios_judiciais!D:D,Conciliacao!A567,df_bloqueios_judiciais!G:G,"&lt;0")</f>
        <v/>
      </c>
      <c r="N567" s="10">
        <f>SUMIFS(df_extratos!I:I,df_extratos!F:F,Conciliacao!BE567,df_extratos!G:G,"DEBITO")+SUMIFS(df_extratos!I:I,df_extratos!F:F,Conciliacao!A567,df_extratos!G:G,"DEBITO")+SUMIFS(df_extratos!I:I,df_extratos!F:F,Conciliacao!BF567,df_extratos!G:G,"DEBITO")+SUMIFS(df_extratos!I:I,df_extratos!F:F,Conciliacao!BG567,df_extratos!G:G,"DEBITO")+SUMIFS(df_extratos!I:I,df_extratos!F:F,Conciliacao!BH567,df_extratos!G:G,"DEBITO")</f>
        <v/>
      </c>
      <c r="O567" s="11">
        <f>N567-SUM(J567:M567)</f>
        <v/>
      </c>
      <c r="P567" s="25">
        <f>SUMIFS(df_ajustes_conciliaco!D:D,df_ajustes_conciliaco!C:C,Conciliacao!A567)</f>
        <v/>
      </c>
      <c r="Q567" s="22">
        <f>O567+I567-P567</f>
        <v/>
      </c>
      <c r="BE567" s="20" t="n">
        <v>46223.5</v>
      </c>
      <c r="BF567" s="20" t="n">
        <v>46223.125</v>
      </c>
      <c r="BG567" s="20" t="n">
        <v>46223.5416666088</v>
      </c>
      <c r="BH567" s="20" t="n">
        <v>46223.625</v>
      </c>
    </row>
    <row r="568">
      <c r="A568" s="5">
        <f>A567+1</f>
        <v/>
      </c>
      <c r="B568" s="3">
        <f>-SUMIFS(df_extrato_zig!G:G,df_extrato_zig!E:E,Conciliacao!A568,df_extrato_zig!D:D,"Saque")-SUMIFS(df_extrato_zig!G:G,df_extrato_zig!E:E,Conciliacao!A568,df_extrato_zig!D:D,"Antecipação")</f>
        <v/>
      </c>
      <c r="C568" s="3">
        <f>SUMIFS(df_extrato_zig!E:E,df_extrato_zig!L:L,Conciliacao!A568,df_extrato_zig!F:F,"DINHEIRO")</f>
        <v/>
      </c>
      <c r="D568" s="3">
        <f>SUMIFS(view_parc_agrup!H:H,view_parc_agrup!G:G,Conciliacao!A568)</f>
        <v/>
      </c>
      <c r="E568" s="3">
        <f>SUMIFS(df_eventos!F:F,df_eventos!H:H,Conciliacao!A568)</f>
        <v/>
      </c>
      <c r="F568" s="3">
        <f>SUMIFS(df_mutuos!M:M,df_mutuos!B:B,Conciliacao!A568)</f>
        <v/>
      </c>
      <c r="G568" s="6">
        <f>SUMIFS(df_bloqueios_judiciais!G:G,df_bloqueios_judiciais!D:D,Conciliacao!A568,df_bloqueios_judiciais!G:G,"&gt;0")</f>
        <v/>
      </c>
      <c r="H568" s="7">
        <f>SUMIFS(df_extratos!I:I,df_extratos!F:F,Conciliacao!BE568,df_extratos!G:G,"CREDITO")+SUMIFS(df_extratos!I:I,df_extratos!F:F,Conciliacao!A568,df_extratos!G:G,"CREDITO")+SUMIFS(df_extratos!I:I,df_extratos!F:F,Conciliacao!BF568,df_extratos!G:G,"CREDITO")+SUMIFS(df_extratos!I:I,df_extratos!F:F,Conciliacao!BG568,df_extratos!G:G,"CREDITO")+SUMIFS(df_extratos!I:I,df_extratos!F:F,Conciliacao!BH568,df_extratos!G:G,"CREDITO")</f>
        <v/>
      </c>
      <c r="I568" s="9">
        <f>H568-SUM(B568:G568)</f>
        <v/>
      </c>
      <c r="J568" s="4">
        <f>SUMIFS(df_blueme_sem_parcelamento!E:E,df_blueme_sem_parcelamento!H:H,Conciliacao!A568)*(-1)</f>
        <v/>
      </c>
      <c r="K568" s="4">
        <f>SUMIFS(df_blueme_com_parcelamento!J:J,df_blueme_com_parcelamento!M:M,Conciliacao!A568)*(-1)</f>
        <v/>
      </c>
      <c r="L568" s="4">
        <f>SUMIFS(df_mutuos!N:N,df_mutuos!B:B,Conciliacao!A568)*(-1)</f>
        <v/>
      </c>
      <c r="M568" s="8">
        <f>SUMIFS(df_bloqueios_judiciais!G:G,df_bloqueios_judiciais!D:D,Conciliacao!A568,df_bloqueios_judiciais!G:G,"&lt;0")</f>
        <v/>
      </c>
      <c r="N568" s="10">
        <f>SUMIFS(df_extratos!I:I,df_extratos!F:F,Conciliacao!BE568,df_extratos!G:G,"DEBITO")+SUMIFS(df_extratos!I:I,df_extratos!F:F,Conciliacao!A568,df_extratos!G:G,"DEBITO")+SUMIFS(df_extratos!I:I,df_extratos!F:F,Conciliacao!BF568,df_extratos!G:G,"DEBITO")+SUMIFS(df_extratos!I:I,df_extratos!F:F,Conciliacao!BG568,df_extratos!G:G,"DEBITO")+SUMIFS(df_extratos!I:I,df_extratos!F:F,Conciliacao!BH568,df_extratos!G:G,"DEBITO")</f>
        <v/>
      </c>
      <c r="O568" s="11">
        <f>N568-SUM(J568:M568)</f>
        <v/>
      </c>
      <c r="P568" s="25">
        <f>SUMIFS(df_ajustes_conciliaco!D:D,df_ajustes_conciliaco!C:C,Conciliacao!A568)</f>
        <v/>
      </c>
      <c r="Q568" s="22">
        <f>O568+I568-P568</f>
        <v/>
      </c>
      <c r="BE568" s="20" t="n">
        <v>46224.5</v>
      </c>
      <c r="BF568" s="20" t="n">
        <v>46224.125</v>
      </c>
      <c r="BG568" s="20" t="n">
        <v>46224.5416666088</v>
      </c>
      <c r="BH568" s="20" t="n">
        <v>46224.625</v>
      </c>
    </row>
    <row r="569">
      <c r="A569" s="5">
        <f>A568+1</f>
        <v/>
      </c>
      <c r="B569" s="3">
        <f>-SUMIFS(df_extrato_zig!G:G,df_extrato_zig!E:E,Conciliacao!A569,df_extrato_zig!D:D,"Saque")-SUMIFS(df_extrato_zig!G:G,df_extrato_zig!E:E,Conciliacao!A569,df_extrato_zig!D:D,"Antecipação")</f>
        <v/>
      </c>
      <c r="C569" s="3">
        <f>SUMIFS(df_extrato_zig!E:E,df_extrato_zig!L:L,Conciliacao!A569,df_extrato_zig!F:F,"DINHEIRO")</f>
        <v/>
      </c>
      <c r="D569" s="3">
        <f>SUMIFS(view_parc_agrup!H:H,view_parc_agrup!G:G,Conciliacao!A569)</f>
        <v/>
      </c>
      <c r="E569" s="3">
        <f>SUMIFS(df_eventos!F:F,df_eventos!H:H,Conciliacao!A569)</f>
        <v/>
      </c>
      <c r="F569" s="3">
        <f>SUMIFS(df_mutuos!M:M,df_mutuos!B:B,Conciliacao!A569)</f>
        <v/>
      </c>
      <c r="G569" s="6">
        <f>SUMIFS(df_bloqueios_judiciais!G:G,df_bloqueios_judiciais!D:D,Conciliacao!A569,df_bloqueios_judiciais!G:G,"&gt;0")</f>
        <v/>
      </c>
      <c r="H569" s="7">
        <f>SUMIFS(df_extratos!I:I,df_extratos!F:F,Conciliacao!BE569,df_extratos!G:G,"CREDITO")+SUMIFS(df_extratos!I:I,df_extratos!F:F,Conciliacao!A569,df_extratos!G:G,"CREDITO")+SUMIFS(df_extratos!I:I,df_extratos!F:F,Conciliacao!BF569,df_extratos!G:G,"CREDITO")+SUMIFS(df_extratos!I:I,df_extratos!F:F,Conciliacao!BG569,df_extratos!G:G,"CREDITO")+SUMIFS(df_extratos!I:I,df_extratos!F:F,Conciliacao!BH569,df_extratos!G:G,"CREDITO")</f>
        <v/>
      </c>
      <c r="I569" s="9">
        <f>H569-SUM(B569:G569)</f>
        <v/>
      </c>
      <c r="J569" s="4">
        <f>SUMIFS(df_blueme_sem_parcelamento!E:E,df_blueme_sem_parcelamento!H:H,Conciliacao!A569)*(-1)</f>
        <v/>
      </c>
      <c r="K569" s="4">
        <f>SUMIFS(df_blueme_com_parcelamento!J:J,df_blueme_com_parcelamento!M:M,Conciliacao!A569)*(-1)</f>
        <v/>
      </c>
      <c r="L569" s="4">
        <f>SUMIFS(df_mutuos!N:N,df_mutuos!B:B,Conciliacao!A569)*(-1)</f>
        <v/>
      </c>
      <c r="M569" s="8">
        <f>SUMIFS(df_bloqueios_judiciais!G:G,df_bloqueios_judiciais!D:D,Conciliacao!A569,df_bloqueios_judiciais!G:G,"&lt;0")</f>
        <v/>
      </c>
      <c r="N569" s="10">
        <f>SUMIFS(df_extratos!I:I,df_extratos!F:F,Conciliacao!BE569,df_extratos!G:G,"DEBITO")+SUMIFS(df_extratos!I:I,df_extratos!F:F,Conciliacao!A569,df_extratos!G:G,"DEBITO")+SUMIFS(df_extratos!I:I,df_extratos!F:F,Conciliacao!BF569,df_extratos!G:G,"DEBITO")+SUMIFS(df_extratos!I:I,df_extratos!F:F,Conciliacao!BG569,df_extratos!G:G,"DEBITO")+SUMIFS(df_extratos!I:I,df_extratos!F:F,Conciliacao!BH569,df_extratos!G:G,"DEBITO")</f>
        <v/>
      </c>
      <c r="O569" s="11">
        <f>N569-SUM(J569:M569)</f>
        <v/>
      </c>
      <c r="P569" s="25">
        <f>SUMIFS(df_ajustes_conciliaco!D:D,df_ajustes_conciliaco!C:C,Conciliacao!A569)</f>
        <v/>
      </c>
      <c r="Q569" s="22">
        <f>O569+I569-P569</f>
        <v/>
      </c>
      <c r="BE569" s="20" t="n">
        <v>46225.5</v>
      </c>
      <c r="BF569" s="20" t="n">
        <v>46225.125</v>
      </c>
      <c r="BG569" s="20" t="n">
        <v>46225.5416666088</v>
      </c>
      <c r="BH569" s="20" t="n">
        <v>46225.625</v>
      </c>
    </row>
    <row r="570">
      <c r="A570" s="5">
        <f>A569+1</f>
        <v/>
      </c>
      <c r="B570" s="3">
        <f>-SUMIFS(df_extrato_zig!G:G,df_extrato_zig!E:E,Conciliacao!A570,df_extrato_zig!D:D,"Saque")-SUMIFS(df_extrato_zig!G:G,df_extrato_zig!E:E,Conciliacao!A570,df_extrato_zig!D:D,"Antecipação")</f>
        <v/>
      </c>
      <c r="C570" s="3">
        <f>SUMIFS(df_extrato_zig!E:E,df_extrato_zig!L:L,Conciliacao!A570,df_extrato_zig!F:F,"DINHEIRO")</f>
        <v/>
      </c>
      <c r="D570" s="3">
        <f>SUMIFS(view_parc_agrup!H:H,view_parc_agrup!G:G,Conciliacao!A570)</f>
        <v/>
      </c>
      <c r="E570" s="3">
        <f>SUMIFS(df_eventos!F:F,df_eventos!H:H,Conciliacao!A570)</f>
        <v/>
      </c>
      <c r="F570" s="3">
        <f>SUMIFS(df_mutuos!M:M,df_mutuos!B:B,Conciliacao!A570)</f>
        <v/>
      </c>
      <c r="G570" s="6">
        <f>SUMIFS(df_bloqueios_judiciais!G:G,df_bloqueios_judiciais!D:D,Conciliacao!A570,df_bloqueios_judiciais!G:G,"&gt;0")</f>
        <v/>
      </c>
      <c r="H570" s="7">
        <f>SUMIFS(df_extratos!I:I,df_extratos!F:F,Conciliacao!BE570,df_extratos!G:G,"CREDITO")+SUMIFS(df_extratos!I:I,df_extratos!F:F,Conciliacao!A570,df_extratos!G:G,"CREDITO")+SUMIFS(df_extratos!I:I,df_extratos!F:F,Conciliacao!BF570,df_extratos!G:G,"CREDITO")+SUMIFS(df_extratos!I:I,df_extratos!F:F,Conciliacao!BG570,df_extratos!G:G,"CREDITO")+SUMIFS(df_extratos!I:I,df_extratos!F:F,Conciliacao!BH570,df_extratos!G:G,"CREDITO")</f>
        <v/>
      </c>
      <c r="I570" s="9">
        <f>H570-SUM(B570:G570)</f>
        <v/>
      </c>
      <c r="J570" s="4">
        <f>SUMIFS(df_blueme_sem_parcelamento!E:E,df_blueme_sem_parcelamento!H:H,Conciliacao!A570)*(-1)</f>
        <v/>
      </c>
      <c r="K570" s="4">
        <f>SUMIFS(df_blueme_com_parcelamento!J:J,df_blueme_com_parcelamento!M:M,Conciliacao!A570)*(-1)</f>
        <v/>
      </c>
      <c r="L570" s="4">
        <f>SUMIFS(df_mutuos!N:N,df_mutuos!B:B,Conciliacao!A570)*(-1)</f>
        <v/>
      </c>
      <c r="M570" s="8">
        <f>SUMIFS(df_bloqueios_judiciais!G:G,df_bloqueios_judiciais!D:D,Conciliacao!A570,df_bloqueios_judiciais!G:G,"&lt;0")</f>
        <v/>
      </c>
      <c r="N570" s="10">
        <f>SUMIFS(df_extratos!I:I,df_extratos!F:F,Conciliacao!BE570,df_extratos!G:G,"DEBITO")+SUMIFS(df_extratos!I:I,df_extratos!F:F,Conciliacao!A570,df_extratos!G:G,"DEBITO")+SUMIFS(df_extratos!I:I,df_extratos!F:F,Conciliacao!BF570,df_extratos!G:G,"DEBITO")+SUMIFS(df_extratos!I:I,df_extratos!F:F,Conciliacao!BG570,df_extratos!G:G,"DEBITO")+SUMIFS(df_extratos!I:I,df_extratos!F:F,Conciliacao!BH570,df_extratos!G:G,"DEBITO")</f>
        <v/>
      </c>
      <c r="O570" s="11">
        <f>N570-SUM(J570:M570)</f>
        <v/>
      </c>
      <c r="P570" s="25">
        <f>SUMIFS(df_ajustes_conciliaco!D:D,df_ajustes_conciliaco!C:C,Conciliacao!A570)</f>
        <v/>
      </c>
      <c r="Q570" s="22">
        <f>O570+I570-P570</f>
        <v/>
      </c>
      <c r="BE570" s="20" t="n">
        <v>46226.5</v>
      </c>
      <c r="BF570" s="20" t="n">
        <v>46226.125</v>
      </c>
      <c r="BG570" s="20" t="n">
        <v>46226.5416666088</v>
      </c>
      <c r="BH570" s="20" t="n">
        <v>46226.625</v>
      </c>
    </row>
    <row r="571">
      <c r="A571" s="5">
        <f>A570+1</f>
        <v/>
      </c>
      <c r="B571" s="3">
        <f>-SUMIFS(df_extrato_zig!G:G,df_extrato_zig!E:E,Conciliacao!A571,df_extrato_zig!D:D,"Saque")-SUMIFS(df_extrato_zig!G:G,df_extrato_zig!E:E,Conciliacao!A571,df_extrato_zig!D:D,"Antecipação")</f>
        <v/>
      </c>
      <c r="C571" s="3">
        <f>SUMIFS(df_extrato_zig!E:E,df_extrato_zig!L:L,Conciliacao!A571,df_extrato_zig!F:F,"DINHEIRO")</f>
        <v/>
      </c>
      <c r="D571" s="3">
        <f>SUMIFS(view_parc_agrup!H:H,view_parc_agrup!G:G,Conciliacao!A571)</f>
        <v/>
      </c>
      <c r="E571" s="3">
        <f>SUMIFS(df_eventos!F:F,df_eventos!H:H,Conciliacao!A571)</f>
        <v/>
      </c>
      <c r="F571" s="3">
        <f>SUMIFS(df_mutuos!M:M,df_mutuos!B:B,Conciliacao!A571)</f>
        <v/>
      </c>
      <c r="G571" s="6">
        <f>SUMIFS(df_bloqueios_judiciais!G:G,df_bloqueios_judiciais!D:D,Conciliacao!A571,df_bloqueios_judiciais!G:G,"&gt;0")</f>
        <v/>
      </c>
      <c r="H571" s="7">
        <f>SUMIFS(df_extratos!I:I,df_extratos!F:F,Conciliacao!BE571,df_extratos!G:G,"CREDITO")+SUMIFS(df_extratos!I:I,df_extratos!F:F,Conciliacao!A571,df_extratos!G:G,"CREDITO")+SUMIFS(df_extratos!I:I,df_extratos!F:F,Conciliacao!BF571,df_extratos!G:G,"CREDITO")+SUMIFS(df_extratos!I:I,df_extratos!F:F,Conciliacao!BG571,df_extratos!G:G,"CREDITO")+SUMIFS(df_extratos!I:I,df_extratos!F:F,Conciliacao!BH571,df_extratos!G:G,"CREDITO")</f>
        <v/>
      </c>
      <c r="I571" s="9">
        <f>H571-SUM(B571:G571)</f>
        <v/>
      </c>
      <c r="J571" s="4">
        <f>SUMIFS(df_blueme_sem_parcelamento!E:E,df_blueme_sem_parcelamento!H:H,Conciliacao!A571)*(-1)</f>
        <v/>
      </c>
      <c r="K571" s="4">
        <f>SUMIFS(df_blueme_com_parcelamento!J:J,df_blueme_com_parcelamento!M:M,Conciliacao!A571)*(-1)</f>
        <v/>
      </c>
      <c r="L571" s="4">
        <f>SUMIFS(df_mutuos!N:N,df_mutuos!B:B,Conciliacao!A571)*(-1)</f>
        <v/>
      </c>
      <c r="M571" s="8">
        <f>SUMIFS(df_bloqueios_judiciais!G:G,df_bloqueios_judiciais!D:D,Conciliacao!A571,df_bloqueios_judiciais!G:G,"&lt;0")</f>
        <v/>
      </c>
      <c r="N571" s="10">
        <f>SUMIFS(df_extratos!I:I,df_extratos!F:F,Conciliacao!BE571,df_extratos!G:G,"DEBITO")+SUMIFS(df_extratos!I:I,df_extratos!F:F,Conciliacao!A571,df_extratos!G:G,"DEBITO")+SUMIFS(df_extratos!I:I,df_extratos!F:F,Conciliacao!BF571,df_extratos!G:G,"DEBITO")+SUMIFS(df_extratos!I:I,df_extratos!F:F,Conciliacao!BG571,df_extratos!G:G,"DEBITO")+SUMIFS(df_extratos!I:I,df_extratos!F:F,Conciliacao!BH571,df_extratos!G:G,"DEBITO")</f>
        <v/>
      </c>
      <c r="O571" s="11">
        <f>N571-SUM(J571:M571)</f>
        <v/>
      </c>
      <c r="P571" s="25">
        <f>SUMIFS(df_ajustes_conciliaco!D:D,df_ajustes_conciliaco!C:C,Conciliacao!A571)</f>
        <v/>
      </c>
      <c r="Q571" s="22">
        <f>O571+I571-P571</f>
        <v/>
      </c>
      <c r="BE571" s="20" t="n">
        <v>46227.5</v>
      </c>
      <c r="BF571" s="20" t="n">
        <v>46227.125</v>
      </c>
      <c r="BG571" s="20" t="n">
        <v>46227.5416666088</v>
      </c>
      <c r="BH571" s="20" t="n">
        <v>46227.625</v>
      </c>
    </row>
    <row r="572">
      <c r="A572" s="5">
        <f>A571+1</f>
        <v/>
      </c>
      <c r="B572" s="3">
        <f>-SUMIFS(df_extrato_zig!G:G,df_extrato_zig!E:E,Conciliacao!A572,df_extrato_zig!D:D,"Saque")-SUMIFS(df_extrato_zig!G:G,df_extrato_zig!E:E,Conciliacao!A572,df_extrato_zig!D:D,"Antecipação")</f>
        <v/>
      </c>
      <c r="C572" s="3">
        <f>SUMIFS(df_extrato_zig!E:E,df_extrato_zig!L:L,Conciliacao!A572,df_extrato_zig!F:F,"DINHEIRO")</f>
        <v/>
      </c>
      <c r="D572" s="3">
        <f>SUMIFS(view_parc_agrup!H:H,view_parc_agrup!G:G,Conciliacao!A572)</f>
        <v/>
      </c>
      <c r="E572" s="3">
        <f>SUMIFS(df_eventos!F:F,df_eventos!H:H,Conciliacao!A572)</f>
        <v/>
      </c>
      <c r="F572" s="3">
        <f>SUMIFS(df_mutuos!M:M,df_mutuos!B:B,Conciliacao!A572)</f>
        <v/>
      </c>
      <c r="G572" s="6">
        <f>SUMIFS(df_bloqueios_judiciais!G:G,df_bloqueios_judiciais!D:D,Conciliacao!A572,df_bloqueios_judiciais!G:G,"&gt;0")</f>
        <v/>
      </c>
      <c r="H572" s="7">
        <f>SUMIFS(df_extratos!I:I,df_extratos!F:F,Conciliacao!BE572,df_extratos!G:G,"CREDITO")+SUMIFS(df_extratos!I:I,df_extratos!F:F,Conciliacao!A572,df_extratos!G:G,"CREDITO")+SUMIFS(df_extratos!I:I,df_extratos!F:F,Conciliacao!BF572,df_extratos!G:G,"CREDITO")+SUMIFS(df_extratos!I:I,df_extratos!F:F,Conciliacao!BG572,df_extratos!G:G,"CREDITO")+SUMIFS(df_extratos!I:I,df_extratos!F:F,Conciliacao!BH572,df_extratos!G:G,"CREDITO")</f>
        <v/>
      </c>
      <c r="I572" s="9">
        <f>H572-SUM(B572:G572)</f>
        <v/>
      </c>
      <c r="J572" s="4">
        <f>SUMIFS(df_blueme_sem_parcelamento!E:E,df_blueme_sem_parcelamento!H:H,Conciliacao!A572)*(-1)</f>
        <v/>
      </c>
      <c r="K572" s="4">
        <f>SUMIFS(df_blueme_com_parcelamento!J:J,df_blueme_com_parcelamento!M:M,Conciliacao!A572)*(-1)</f>
        <v/>
      </c>
      <c r="L572" s="4">
        <f>SUMIFS(df_mutuos!N:N,df_mutuos!B:B,Conciliacao!A572)*(-1)</f>
        <v/>
      </c>
      <c r="M572" s="8">
        <f>SUMIFS(df_bloqueios_judiciais!G:G,df_bloqueios_judiciais!D:D,Conciliacao!A572,df_bloqueios_judiciais!G:G,"&lt;0")</f>
        <v/>
      </c>
      <c r="N572" s="10">
        <f>SUMIFS(df_extratos!I:I,df_extratos!F:F,Conciliacao!BE572,df_extratos!G:G,"DEBITO")+SUMIFS(df_extratos!I:I,df_extratos!F:F,Conciliacao!A572,df_extratos!G:G,"DEBITO")+SUMIFS(df_extratos!I:I,df_extratos!F:F,Conciliacao!BF572,df_extratos!G:G,"DEBITO")+SUMIFS(df_extratos!I:I,df_extratos!F:F,Conciliacao!BG572,df_extratos!G:G,"DEBITO")+SUMIFS(df_extratos!I:I,df_extratos!F:F,Conciliacao!BH572,df_extratos!G:G,"DEBITO")</f>
        <v/>
      </c>
      <c r="O572" s="11">
        <f>N572-SUM(J572:M572)</f>
        <v/>
      </c>
      <c r="P572" s="25">
        <f>SUMIFS(df_ajustes_conciliaco!D:D,df_ajustes_conciliaco!C:C,Conciliacao!A572)</f>
        <v/>
      </c>
      <c r="Q572" s="22">
        <f>O572+I572-P572</f>
        <v/>
      </c>
      <c r="BE572" s="20" t="n">
        <v>46228.5</v>
      </c>
      <c r="BF572" s="20" t="n">
        <v>46228.125</v>
      </c>
      <c r="BG572" s="20" t="n">
        <v>46228.5416666088</v>
      </c>
      <c r="BH572" s="20" t="n">
        <v>46228.625</v>
      </c>
    </row>
    <row r="573">
      <c r="A573" s="5">
        <f>A572+1</f>
        <v/>
      </c>
      <c r="B573" s="3">
        <f>-SUMIFS(df_extrato_zig!G:G,df_extrato_zig!E:E,Conciliacao!A573,df_extrato_zig!D:D,"Saque")-SUMIFS(df_extrato_zig!G:G,df_extrato_zig!E:E,Conciliacao!A573,df_extrato_zig!D:D,"Antecipação")</f>
        <v/>
      </c>
      <c r="C573" s="3">
        <f>SUMIFS(df_extrato_zig!E:E,df_extrato_zig!L:L,Conciliacao!A573,df_extrato_zig!F:F,"DINHEIRO")</f>
        <v/>
      </c>
      <c r="D573" s="3">
        <f>SUMIFS(view_parc_agrup!H:H,view_parc_agrup!G:G,Conciliacao!A573)</f>
        <v/>
      </c>
      <c r="E573" s="3">
        <f>SUMIFS(df_eventos!F:F,df_eventos!H:H,Conciliacao!A573)</f>
        <v/>
      </c>
      <c r="F573" s="3">
        <f>SUMIFS(df_mutuos!M:M,df_mutuos!B:B,Conciliacao!A573)</f>
        <v/>
      </c>
      <c r="G573" s="6">
        <f>SUMIFS(df_bloqueios_judiciais!G:G,df_bloqueios_judiciais!D:D,Conciliacao!A573,df_bloqueios_judiciais!G:G,"&gt;0")</f>
        <v/>
      </c>
      <c r="H573" s="7">
        <f>SUMIFS(df_extratos!I:I,df_extratos!F:F,Conciliacao!BE573,df_extratos!G:G,"CREDITO")+SUMIFS(df_extratos!I:I,df_extratos!F:F,Conciliacao!A573,df_extratos!G:G,"CREDITO")+SUMIFS(df_extratos!I:I,df_extratos!F:F,Conciliacao!BF573,df_extratos!G:G,"CREDITO")+SUMIFS(df_extratos!I:I,df_extratos!F:F,Conciliacao!BG573,df_extratos!G:G,"CREDITO")+SUMIFS(df_extratos!I:I,df_extratos!F:F,Conciliacao!BH573,df_extratos!G:G,"CREDITO")</f>
        <v/>
      </c>
      <c r="I573" s="9">
        <f>H573-SUM(B573:G573)</f>
        <v/>
      </c>
      <c r="J573" s="4">
        <f>SUMIFS(df_blueme_sem_parcelamento!E:E,df_blueme_sem_parcelamento!H:H,Conciliacao!A573)*(-1)</f>
        <v/>
      </c>
      <c r="K573" s="4">
        <f>SUMIFS(df_blueme_com_parcelamento!J:J,df_blueme_com_parcelamento!M:M,Conciliacao!A573)*(-1)</f>
        <v/>
      </c>
      <c r="L573" s="4">
        <f>SUMIFS(df_mutuos!N:N,df_mutuos!B:B,Conciliacao!A573)*(-1)</f>
        <v/>
      </c>
      <c r="M573" s="8">
        <f>SUMIFS(df_bloqueios_judiciais!G:G,df_bloqueios_judiciais!D:D,Conciliacao!A573,df_bloqueios_judiciais!G:G,"&lt;0")</f>
        <v/>
      </c>
      <c r="N573" s="10">
        <f>SUMIFS(df_extratos!I:I,df_extratos!F:F,Conciliacao!BE573,df_extratos!G:G,"DEBITO")+SUMIFS(df_extratos!I:I,df_extratos!F:F,Conciliacao!A573,df_extratos!G:G,"DEBITO")+SUMIFS(df_extratos!I:I,df_extratos!F:F,Conciliacao!BF573,df_extratos!G:G,"DEBITO")+SUMIFS(df_extratos!I:I,df_extratos!F:F,Conciliacao!BG573,df_extratos!G:G,"DEBITO")+SUMIFS(df_extratos!I:I,df_extratos!F:F,Conciliacao!BH573,df_extratos!G:G,"DEBITO")</f>
        <v/>
      </c>
      <c r="O573" s="11">
        <f>N573-SUM(J573:M573)</f>
        <v/>
      </c>
      <c r="P573" s="25">
        <f>SUMIFS(df_ajustes_conciliaco!D:D,df_ajustes_conciliaco!C:C,Conciliacao!A573)</f>
        <v/>
      </c>
      <c r="Q573" s="22">
        <f>O573+I573-P573</f>
        <v/>
      </c>
      <c r="BE573" s="20" t="n">
        <v>46229.5</v>
      </c>
      <c r="BF573" s="20" t="n">
        <v>46229.125</v>
      </c>
      <c r="BG573" s="20" t="n">
        <v>46229.5416666088</v>
      </c>
      <c r="BH573" s="20" t="n">
        <v>46229.625</v>
      </c>
    </row>
    <row r="574">
      <c r="A574" s="5">
        <f>A573+1</f>
        <v/>
      </c>
      <c r="B574" s="3">
        <f>-SUMIFS(df_extrato_zig!G:G,df_extrato_zig!E:E,Conciliacao!A574,df_extrato_zig!D:D,"Saque")-SUMIFS(df_extrato_zig!G:G,df_extrato_zig!E:E,Conciliacao!A574,df_extrato_zig!D:D,"Antecipação")</f>
        <v/>
      </c>
      <c r="C574" s="3">
        <f>SUMIFS(df_extrato_zig!E:E,df_extrato_zig!L:L,Conciliacao!A574,df_extrato_zig!F:F,"DINHEIRO")</f>
        <v/>
      </c>
      <c r="D574" s="3">
        <f>SUMIFS(view_parc_agrup!H:H,view_parc_agrup!G:G,Conciliacao!A574)</f>
        <v/>
      </c>
      <c r="E574" s="3">
        <f>SUMIFS(df_eventos!F:F,df_eventos!H:H,Conciliacao!A574)</f>
        <v/>
      </c>
      <c r="F574" s="3">
        <f>SUMIFS(df_mutuos!M:M,df_mutuos!B:B,Conciliacao!A574)</f>
        <v/>
      </c>
      <c r="G574" s="6">
        <f>SUMIFS(df_bloqueios_judiciais!G:G,df_bloqueios_judiciais!D:D,Conciliacao!A574,df_bloqueios_judiciais!G:G,"&gt;0")</f>
        <v/>
      </c>
      <c r="H574" s="7">
        <f>SUMIFS(df_extratos!I:I,df_extratos!F:F,Conciliacao!BE574,df_extratos!G:G,"CREDITO")+SUMIFS(df_extratos!I:I,df_extratos!F:F,Conciliacao!A574,df_extratos!G:G,"CREDITO")+SUMIFS(df_extratos!I:I,df_extratos!F:F,Conciliacao!BF574,df_extratos!G:G,"CREDITO")+SUMIFS(df_extratos!I:I,df_extratos!F:F,Conciliacao!BG574,df_extratos!G:G,"CREDITO")+SUMIFS(df_extratos!I:I,df_extratos!F:F,Conciliacao!BH574,df_extratos!G:G,"CREDITO")</f>
        <v/>
      </c>
      <c r="I574" s="9">
        <f>H574-SUM(B574:G574)</f>
        <v/>
      </c>
      <c r="J574" s="4">
        <f>SUMIFS(df_blueme_sem_parcelamento!E:E,df_blueme_sem_parcelamento!H:H,Conciliacao!A574)*(-1)</f>
        <v/>
      </c>
      <c r="K574" s="4">
        <f>SUMIFS(df_blueme_com_parcelamento!J:J,df_blueme_com_parcelamento!M:M,Conciliacao!A574)*(-1)</f>
        <v/>
      </c>
      <c r="L574" s="4">
        <f>SUMIFS(df_mutuos!N:N,df_mutuos!B:B,Conciliacao!A574)*(-1)</f>
        <v/>
      </c>
      <c r="M574" s="8">
        <f>SUMIFS(df_bloqueios_judiciais!G:G,df_bloqueios_judiciais!D:D,Conciliacao!A574,df_bloqueios_judiciais!G:G,"&lt;0")</f>
        <v/>
      </c>
      <c r="N574" s="10">
        <f>SUMIFS(df_extratos!I:I,df_extratos!F:F,Conciliacao!BE574,df_extratos!G:G,"DEBITO")+SUMIFS(df_extratos!I:I,df_extratos!F:F,Conciliacao!A574,df_extratos!G:G,"DEBITO")+SUMIFS(df_extratos!I:I,df_extratos!F:F,Conciliacao!BF574,df_extratos!G:G,"DEBITO")+SUMIFS(df_extratos!I:I,df_extratos!F:F,Conciliacao!BG574,df_extratos!G:G,"DEBITO")+SUMIFS(df_extratos!I:I,df_extratos!F:F,Conciliacao!BH574,df_extratos!G:G,"DEBITO")</f>
        <v/>
      </c>
      <c r="O574" s="11">
        <f>N574-SUM(J574:M574)</f>
        <v/>
      </c>
      <c r="P574" s="25">
        <f>SUMIFS(df_ajustes_conciliaco!D:D,df_ajustes_conciliaco!C:C,Conciliacao!A574)</f>
        <v/>
      </c>
      <c r="Q574" s="22">
        <f>O574+I574-P574</f>
        <v/>
      </c>
      <c r="BE574" s="20" t="n">
        <v>46230.5</v>
      </c>
      <c r="BF574" s="20" t="n">
        <v>46230.125</v>
      </c>
      <c r="BG574" s="20" t="n">
        <v>46230.5416666088</v>
      </c>
      <c r="BH574" s="20" t="n">
        <v>46230.625</v>
      </c>
    </row>
    <row r="575">
      <c r="A575" s="5">
        <f>A574+1</f>
        <v/>
      </c>
      <c r="B575" s="3">
        <f>-SUMIFS(df_extrato_zig!G:G,df_extrato_zig!E:E,Conciliacao!A575,df_extrato_zig!D:D,"Saque")-SUMIFS(df_extrato_zig!G:G,df_extrato_zig!E:E,Conciliacao!A575,df_extrato_zig!D:D,"Antecipação")</f>
        <v/>
      </c>
      <c r="C575" s="3">
        <f>SUMIFS(df_extrato_zig!E:E,df_extrato_zig!L:L,Conciliacao!A575,df_extrato_zig!F:F,"DINHEIRO")</f>
        <v/>
      </c>
      <c r="D575" s="3">
        <f>SUMIFS(view_parc_agrup!H:H,view_parc_agrup!G:G,Conciliacao!A575)</f>
        <v/>
      </c>
      <c r="E575" s="3">
        <f>SUMIFS(df_eventos!F:F,df_eventos!H:H,Conciliacao!A575)</f>
        <v/>
      </c>
      <c r="F575" s="3">
        <f>SUMIFS(df_mutuos!M:M,df_mutuos!B:B,Conciliacao!A575)</f>
        <v/>
      </c>
      <c r="G575" s="6">
        <f>SUMIFS(df_bloqueios_judiciais!G:G,df_bloqueios_judiciais!D:D,Conciliacao!A575,df_bloqueios_judiciais!G:G,"&gt;0")</f>
        <v/>
      </c>
      <c r="H575" s="7">
        <f>SUMIFS(df_extratos!I:I,df_extratos!F:F,Conciliacao!BE575,df_extratos!G:G,"CREDITO")+SUMIFS(df_extratos!I:I,df_extratos!F:F,Conciliacao!A575,df_extratos!G:G,"CREDITO")+SUMIFS(df_extratos!I:I,df_extratos!F:F,Conciliacao!BF575,df_extratos!G:G,"CREDITO")+SUMIFS(df_extratos!I:I,df_extratos!F:F,Conciliacao!BG575,df_extratos!G:G,"CREDITO")+SUMIFS(df_extratos!I:I,df_extratos!F:F,Conciliacao!BH575,df_extratos!G:G,"CREDITO")</f>
        <v/>
      </c>
      <c r="I575" s="9">
        <f>H575-SUM(B575:G575)</f>
        <v/>
      </c>
      <c r="J575" s="4">
        <f>SUMIFS(df_blueme_sem_parcelamento!E:E,df_blueme_sem_parcelamento!H:H,Conciliacao!A575)*(-1)</f>
        <v/>
      </c>
      <c r="K575" s="4">
        <f>SUMIFS(df_blueme_com_parcelamento!J:J,df_blueme_com_parcelamento!M:M,Conciliacao!A575)*(-1)</f>
        <v/>
      </c>
      <c r="L575" s="4">
        <f>SUMIFS(df_mutuos!N:N,df_mutuos!B:B,Conciliacao!A575)*(-1)</f>
        <v/>
      </c>
      <c r="M575" s="8">
        <f>SUMIFS(df_bloqueios_judiciais!G:G,df_bloqueios_judiciais!D:D,Conciliacao!A575,df_bloqueios_judiciais!G:G,"&lt;0")</f>
        <v/>
      </c>
      <c r="N575" s="10">
        <f>SUMIFS(df_extratos!I:I,df_extratos!F:F,Conciliacao!BE575,df_extratos!G:G,"DEBITO")+SUMIFS(df_extratos!I:I,df_extratos!F:F,Conciliacao!A575,df_extratos!G:G,"DEBITO")+SUMIFS(df_extratos!I:I,df_extratos!F:F,Conciliacao!BF575,df_extratos!G:G,"DEBITO")+SUMIFS(df_extratos!I:I,df_extratos!F:F,Conciliacao!BG575,df_extratos!G:G,"DEBITO")+SUMIFS(df_extratos!I:I,df_extratos!F:F,Conciliacao!BH575,df_extratos!G:G,"DEBITO")</f>
        <v/>
      </c>
      <c r="O575" s="11">
        <f>N575-SUM(J575:M575)</f>
        <v/>
      </c>
      <c r="P575" s="25">
        <f>SUMIFS(df_ajustes_conciliaco!D:D,df_ajustes_conciliaco!C:C,Conciliacao!A575)</f>
        <v/>
      </c>
      <c r="Q575" s="22">
        <f>O575+I575-P575</f>
        <v/>
      </c>
      <c r="BE575" s="20" t="n">
        <v>46231.5</v>
      </c>
      <c r="BF575" s="20" t="n">
        <v>46231.125</v>
      </c>
      <c r="BG575" s="20" t="n">
        <v>46231.5416666088</v>
      </c>
      <c r="BH575" s="20" t="n">
        <v>46231.625</v>
      </c>
    </row>
    <row r="576">
      <c r="A576" s="5">
        <f>A575+1</f>
        <v/>
      </c>
      <c r="B576" s="3">
        <f>-SUMIFS(df_extrato_zig!G:G,df_extrato_zig!E:E,Conciliacao!A576,df_extrato_zig!D:D,"Saque")-SUMIFS(df_extrato_zig!G:G,df_extrato_zig!E:E,Conciliacao!A576,df_extrato_zig!D:D,"Antecipação")</f>
        <v/>
      </c>
      <c r="C576" s="3">
        <f>SUMIFS(df_extrato_zig!E:E,df_extrato_zig!L:L,Conciliacao!A576,df_extrato_zig!F:F,"DINHEIRO")</f>
        <v/>
      </c>
      <c r="D576" s="3">
        <f>SUMIFS(view_parc_agrup!H:H,view_parc_agrup!G:G,Conciliacao!A576)</f>
        <v/>
      </c>
      <c r="E576" s="3">
        <f>SUMIFS(df_eventos!F:F,df_eventos!H:H,Conciliacao!A576)</f>
        <v/>
      </c>
      <c r="F576" s="3">
        <f>SUMIFS(df_mutuos!M:M,df_mutuos!B:B,Conciliacao!A576)</f>
        <v/>
      </c>
      <c r="G576" s="6">
        <f>SUMIFS(df_bloqueios_judiciais!G:G,df_bloqueios_judiciais!D:D,Conciliacao!A576,df_bloqueios_judiciais!G:G,"&gt;0")</f>
        <v/>
      </c>
      <c r="H576" s="7">
        <f>SUMIFS(df_extratos!I:I,df_extratos!F:F,Conciliacao!BE576,df_extratos!G:G,"CREDITO")+SUMIFS(df_extratos!I:I,df_extratos!F:F,Conciliacao!A576,df_extratos!G:G,"CREDITO")+SUMIFS(df_extratos!I:I,df_extratos!F:F,Conciliacao!BF576,df_extratos!G:G,"CREDITO")+SUMIFS(df_extratos!I:I,df_extratos!F:F,Conciliacao!BG576,df_extratos!G:G,"CREDITO")+SUMIFS(df_extratos!I:I,df_extratos!F:F,Conciliacao!BH576,df_extratos!G:G,"CREDITO")</f>
        <v/>
      </c>
      <c r="I576" s="9">
        <f>H576-SUM(B576:G576)</f>
        <v/>
      </c>
      <c r="J576" s="4">
        <f>SUMIFS(df_blueme_sem_parcelamento!E:E,df_blueme_sem_parcelamento!H:H,Conciliacao!A576)*(-1)</f>
        <v/>
      </c>
      <c r="K576" s="4">
        <f>SUMIFS(df_blueme_com_parcelamento!J:J,df_blueme_com_parcelamento!M:M,Conciliacao!A576)*(-1)</f>
        <v/>
      </c>
      <c r="L576" s="4">
        <f>SUMIFS(df_mutuos!N:N,df_mutuos!B:B,Conciliacao!A576)*(-1)</f>
        <v/>
      </c>
      <c r="M576" s="8">
        <f>SUMIFS(df_bloqueios_judiciais!G:G,df_bloqueios_judiciais!D:D,Conciliacao!A576,df_bloqueios_judiciais!G:G,"&lt;0")</f>
        <v/>
      </c>
      <c r="N576" s="10">
        <f>SUMIFS(df_extratos!I:I,df_extratos!F:F,Conciliacao!BE576,df_extratos!G:G,"DEBITO")+SUMIFS(df_extratos!I:I,df_extratos!F:F,Conciliacao!A576,df_extratos!G:G,"DEBITO")+SUMIFS(df_extratos!I:I,df_extratos!F:F,Conciliacao!BF576,df_extratos!G:G,"DEBITO")+SUMIFS(df_extratos!I:I,df_extratos!F:F,Conciliacao!BG576,df_extratos!G:G,"DEBITO")+SUMIFS(df_extratos!I:I,df_extratos!F:F,Conciliacao!BH576,df_extratos!G:G,"DEBITO")</f>
        <v/>
      </c>
      <c r="O576" s="11">
        <f>N576-SUM(J576:M576)</f>
        <v/>
      </c>
      <c r="P576" s="25">
        <f>SUMIFS(df_ajustes_conciliaco!D:D,df_ajustes_conciliaco!C:C,Conciliacao!A576)</f>
        <v/>
      </c>
      <c r="Q576" s="22">
        <f>O576+I576-P576</f>
        <v/>
      </c>
      <c r="BE576" s="20" t="n">
        <v>46232.5</v>
      </c>
      <c r="BF576" s="20" t="n">
        <v>46232.125</v>
      </c>
      <c r="BG576" s="20" t="n">
        <v>46232.5416666088</v>
      </c>
      <c r="BH576" s="20" t="n">
        <v>46232.625</v>
      </c>
    </row>
    <row r="577">
      <c r="A577" s="5">
        <f>A576+1</f>
        <v/>
      </c>
      <c r="B577" s="3">
        <f>-SUMIFS(df_extrato_zig!G:G,df_extrato_zig!E:E,Conciliacao!A577,df_extrato_zig!D:D,"Saque")-SUMIFS(df_extrato_zig!G:G,df_extrato_zig!E:E,Conciliacao!A577,df_extrato_zig!D:D,"Antecipação")</f>
        <v/>
      </c>
      <c r="C577" s="3">
        <f>SUMIFS(df_extrato_zig!E:E,df_extrato_zig!L:L,Conciliacao!A577,df_extrato_zig!F:F,"DINHEIRO")</f>
        <v/>
      </c>
      <c r="D577" s="3">
        <f>SUMIFS(view_parc_agrup!H:H,view_parc_agrup!G:G,Conciliacao!A577)</f>
        <v/>
      </c>
      <c r="E577" s="3">
        <f>SUMIFS(df_eventos!F:F,df_eventos!H:H,Conciliacao!A577)</f>
        <v/>
      </c>
      <c r="F577" s="3">
        <f>SUMIFS(df_mutuos!M:M,df_mutuos!B:B,Conciliacao!A577)</f>
        <v/>
      </c>
      <c r="G577" s="6">
        <f>SUMIFS(df_bloqueios_judiciais!G:G,df_bloqueios_judiciais!D:D,Conciliacao!A577,df_bloqueios_judiciais!G:G,"&gt;0")</f>
        <v/>
      </c>
      <c r="H577" s="7">
        <f>SUMIFS(df_extratos!I:I,df_extratos!F:F,Conciliacao!BE577,df_extratos!G:G,"CREDITO")+SUMIFS(df_extratos!I:I,df_extratos!F:F,Conciliacao!A577,df_extratos!G:G,"CREDITO")+SUMIFS(df_extratos!I:I,df_extratos!F:F,Conciliacao!BF577,df_extratos!G:G,"CREDITO")+SUMIFS(df_extratos!I:I,df_extratos!F:F,Conciliacao!BG577,df_extratos!G:G,"CREDITO")+SUMIFS(df_extratos!I:I,df_extratos!F:F,Conciliacao!BH577,df_extratos!G:G,"CREDITO")</f>
        <v/>
      </c>
      <c r="I577" s="9">
        <f>H577-SUM(B577:G577)</f>
        <v/>
      </c>
      <c r="J577" s="4">
        <f>SUMIFS(df_blueme_sem_parcelamento!E:E,df_blueme_sem_parcelamento!H:H,Conciliacao!A577)*(-1)</f>
        <v/>
      </c>
      <c r="K577" s="4">
        <f>SUMIFS(df_blueme_com_parcelamento!J:J,df_blueme_com_parcelamento!M:M,Conciliacao!A577)*(-1)</f>
        <v/>
      </c>
      <c r="L577" s="4">
        <f>SUMIFS(df_mutuos!N:N,df_mutuos!B:B,Conciliacao!A577)*(-1)</f>
        <v/>
      </c>
      <c r="M577" s="8">
        <f>SUMIFS(df_bloqueios_judiciais!G:G,df_bloqueios_judiciais!D:D,Conciliacao!A577,df_bloqueios_judiciais!G:G,"&lt;0")</f>
        <v/>
      </c>
      <c r="N577" s="10">
        <f>SUMIFS(df_extratos!I:I,df_extratos!F:F,Conciliacao!BE577,df_extratos!G:G,"DEBITO")+SUMIFS(df_extratos!I:I,df_extratos!F:F,Conciliacao!A577,df_extratos!G:G,"DEBITO")+SUMIFS(df_extratos!I:I,df_extratos!F:F,Conciliacao!BF577,df_extratos!G:G,"DEBITO")+SUMIFS(df_extratos!I:I,df_extratos!F:F,Conciliacao!BG577,df_extratos!G:G,"DEBITO")+SUMIFS(df_extratos!I:I,df_extratos!F:F,Conciliacao!BH577,df_extratos!G:G,"DEBITO")</f>
        <v/>
      </c>
      <c r="O577" s="11">
        <f>N577-SUM(J577:M577)</f>
        <v/>
      </c>
      <c r="P577" s="25">
        <f>SUMIFS(df_ajustes_conciliaco!D:D,df_ajustes_conciliaco!C:C,Conciliacao!A577)</f>
        <v/>
      </c>
      <c r="Q577" s="22">
        <f>O577+I577-P577</f>
        <v/>
      </c>
      <c r="BE577" s="20" t="n">
        <v>46233.5</v>
      </c>
      <c r="BF577" s="20" t="n">
        <v>46233.125</v>
      </c>
      <c r="BG577" s="20" t="n">
        <v>46233.5416666088</v>
      </c>
      <c r="BH577" s="20" t="n">
        <v>46233.625</v>
      </c>
    </row>
    <row r="578">
      <c r="A578" s="5">
        <f>A577+1</f>
        <v/>
      </c>
      <c r="B578" s="3">
        <f>-SUMIFS(df_extrato_zig!G:G,df_extrato_zig!E:E,Conciliacao!A578,df_extrato_zig!D:D,"Saque")-SUMIFS(df_extrato_zig!G:G,df_extrato_zig!E:E,Conciliacao!A578,df_extrato_zig!D:D,"Antecipação")</f>
        <v/>
      </c>
      <c r="C578" s="3">
        <f>SUMIFS(df_extrato_zig!E:E,df_extrato_zig!L:L,Conciliacao!A578,df_extrato_zig!F:F,"DINHEIRO")</f>
        <v/>
      </c>
      <c r="D578" s="3">
        <f>SUMIFS(view_parc_agrup!H:H,view_parc_agrup!G:G,Conciliacao!A578)</f>
        <v/>
      </c>
      <c r="E578" s="3">
        <f>SUMIFS(df_eventos!F:F,df_eventos!H:H,Conciliacao!A578)</f>
        <v/>
      </c>
      <c r="F578" s="3">
        <f>SUMIFS(df_mutuos!M:M,df_mutuos!B:B,Conciliacao!A578)</f>
        <v/>
      </c>
      <c r="G578" s="6">
        <f>SUMIFS(df_bloqueios_judiciais!G:G,df_bloqueios_judiciais!D:D,Conciliacao!A578,df_bloqueios_judiciais!G:G,"&gt;0")</f>
        <v/>
      </c>
      <c r="H578" s="7">
        <f>SUMIFS(df_extratos!I:I,df_extratos!F:F,Conciliacao!BE578,df_extratos!G:G,"CREDITO")+SUMIFS(df_extratos!I:I,df_extratos!F:F,Conciliacao!A578,df_extratos!G:G,"CREDITO")+SUMIFS(df_extratos!I:I,df_extratos!F:F,Conciliacao!BF578,df_extratos!G:G,"CREDITO")+SUMIFS(df_extratos!I:I,df_extratos!F:F,Conciliacao!BG578,df_extratos!G:G,"CREDITO")+SUMIFS(df_extratos!I:I,df_extratos!F:F,Conciliacao!BH578,df_extratos!G:G,"CREDITO")</f>
        <v/>
      </c>
      <c r="I578" s="9">
        <f>H578-SUM(B578:G578)</f>
        <v/>
      </c>
      <c r="J578" s="4">
        <f>SUMIFS(df_blueme_sem_parcelamento!E:E,df_blueme_sem_parcelamento!H:H,Conciliacao!A578)*(-1)</f>
        <v/>
      </c>
      <c r="K578" s="4">
        <f>SUMIFS(df_blueme_com_parcelamento!J:J,df_blueme_com_parcelamento!M:M,Conciliacao!A578)*(-1)</f>
        <v/>
      </c>
      <c r="L578" s="4">
        <f>SUMIFS(df_mutuos!N:N,df_mutuos!B:B,Conciliacao!A578)*(-1)</f>
        <v/>
      </c>
      <c r="M578" s="8">
        <f>SUMIFS(df_bloqueios_judiciais!G:G,df_bloqueios_judiciais!D:D,Conciliacao!A578,df_bloqueios_judiciais!G:G,"&lt;0")</f>
        <v/>
      </c>
      <c r="N578" s="10">
        <f>SUMIFS(df_extratos!I:I,df_extratos!F:F,Conciliacao!BE578,df_extratos!G:G,"DEBITO")+SUMIFS(df_extratos!I:I,df_extratos!F:F,Conciliacao!A578,df_extratos!G:G,"DEBITO")+SUMIFS(df_extratos!I:I,df_extratos!F:F,Conciliacao!BF578,df_extratos!G:G,"DEBITO")+SUMIFS(df_extratos!I:I,df_extratos!F:F,Conciliacao!BG578,df_extratos!G:G,"DEBITO")+SUMIFS(df_extratos!I:I,df_extratos!F:F,Conciliacao!BH578,df_extratos!G:G,"DEBITO")</f>
        <v/>
      </c>
      <c r="O578" s="11">
        <f>N578-SUM(J578:M578)</f>
        <v/>
      </c>
      <c r="P578" s="25">
        <f>SUMIFS(df_ajustes_conciliaco!D:D,df_ajustes_conciliaco!C:C,Conciliacao!A578)</f>
        <v/>
      </c>
      <c r="Q578" s="22">
        <f>O578+I578-P578</f>
        <v/>
      </c>
      <c r="BE578" s="20" t="n">
        <v>46234.5</v>
      </c>
      <c r="BF578" s="20" t="n">
        <v>46234.125</v>
      </c>
      <c r="BG578" s="20" t="n">
        <v>46234.5416666088</v>
      </c>
      <c r="BH578" s="20" t="n">
        <v>46234.625</v>
      </c>
    </row>
    <row r="579">
      <c r="A579" s="5">
        <f>A578+1</f>
        <v/>
      </c>
      <c r="B579" s="3">
        <f>-SUMIFS(df_extrato_zig!G:G,df_extrato_zig!E:E,Conciliacao!A579,df_extrato_zig!D:D,"Saque")-SUMIFS(df_extrato_zig!G:G,df_extrato_zig!E:E,Conciliacao!A579,df_extrato_zig!D:D,"Antecipação")</f>
        <v/>
      </c>
      <c r="C579" s="3">
        <f>SUMIFS(df_extrato_zig!E:E,df_extrato_zig!L:L,Conciliacao!A579,df_extrato_zig!F:F,"DINHEIRO")</f>
        <v/>
      </c>
      <c r="D579" s="3">
        <f>SUMIFS(view_parc_agrup!H:H,view_parc_agrup!G:G,Conciliacao!A579)</f>
        <v/>
      </c>
      <c r="E579" s="3">
        <f>SUMIFS(df_eventos!F:F,df_eventos!H:H,Conciliacao!A579)</f>
        <v/>
      </c>
      <c r="F579" s="3">
        <f>SUMIFS(df_mutuos!M:M,df_mutuos!B:B,Conciliacao!A579)</f>
        <v/>
      </c>
      <c r="G579" s="6">
        <f>SUMIFS(df_bloqueios_judiciais!G:G,df_bloqueios_judiciais!D:D,Conciliacao!A579,df_bloqueios_judiciais!G:G,"&gt;0")</f>
        <v/>
      </c>
      <c r="H579" s="7">
        <f>SUMIFS(df_extratos!I:I,df_extratos!F:F,Conciliacao!BE579,df_extratos!G:G,"CREDITO")+SUMIFS(df_extratos!I:I,df_extratos!F:F,Conciliacao!A579,df_extratos!G:G,"CREDITO")+SUMIFS(df_extratos!I:I,df_extratos!F:F,Conciliacao!BF579,df_extratos!G:G,"CREDITO")+SUMIFS(df_extratos!I:I,df_extratos!F:F,Conciliacao!BG579,df_extratos!G:G,"CREDITO")+SUMIFS(df_extratos!I:I,df_extratos!F:F,Conciliacao!BH579,df_extratos!G:G,"CREDITO")</f>
        <v/>
      </c>
      <c r="I579" s="9">
        <f>H579-SUM(B579:G579)</f>
        <v/>
      </c>
      <c r="J579" s="4">
        <f>SUMIFS(df_blueme_sem_parcelamento!E:E,df_blueme_sem_parcelamento!H:H,Conciliacao!A579)*(-1)</f>
        <v/>
      </c>
      <c r="K579" s="4">
        <f>SUMIFS(df_blueme_com_parcelamento!J:J,df_blueme_com_parcelamento!M:M,Conciliacao!A579)*(-1)</f>
        <v/>
      </c>
      <c r="L579" s="4">
        <f>SUMIFS(df_mutuos!N:N,df_mutuos!B:B,Conciliacao!A579)*(-1)</f>
        <v/>
      </c>
      <c r="M579" s="8">
        <f>SUMIFS(df_bloqueios_judiciais!G:G,df_bloqueios_judiciais!D:D,Conciliacao!A579,df_bloqueios_judiciais!G:G,"&lt;0")</f>
        <v/>
      </c>
      <c r="N579" s="10">
        <f>SUMIFS(df_extratos!I:I,df_extratos!F:F,Conciliacao!BE579,df_extratos!G:G,"DEBITO")+SUMIFS(df_extratos!I:I,df_extratos!F:F,Conciliacao!A579,df_extratos!G:G,"DEBITO")+SUMIFS(df_extratos!I:I,df_extratos!F:F,Conciliacao!BF579,df_extratos!G:G,"DEBITO")+SUMIFS(df_extratos!I:I,df_extratos!F:F,Conciliacao!BG579,df_extratos!G:G,"DEBITO")+SUMIFS(df_extratos!I:I,df_extratos!F:F,Conciliacao!BH579,df_extratos!G:G,"DEBITO")</f>
        <v/>
      </c>
      <c r="O579" s="11">
        <f>N579-SUM(J579:M579)</f>
        <v/>
      </c>
      <c r="P579" s="25">
        <f>SUMIFS(df_ajustes_conciliaco!D:D,df_ajustes_conciliaco!C:C,Conciliacao!A579)</f>
        <v/>
      </c>
      <c r="Q579" s="22">
        <f>O579+I579-P579</f>
        <v/>
      </c>
      <c r="BE579" s="20" t="n">
        <v>46235.5</v>
      </c>
      <c r="BF579" s="20" t="n">
        <v>46235.125</v>
      </c>
      <c r="BG579" s="20" t="n">
        <v>46235.5416666088</v>
      </c>
      <c r="BH579" s="20" t="n">
        <v>46235.625</v>
      </c>
    </row>
    <row r="580">
      <c r="A580" s="5">
        <f>A579+1</f>
        <v/>
      </c>
      <c r="B580" s="3">
        <f>-SUMIFS(df_extrato_zig!G:G,df_extrato_zig!E:E,Conciliacao!A580,df_extrato_zig!D:D,"Saque")-SUMIFS(df_extrato_zig!G:G,df_extrato_zig!E:E,Conciliacao!A580,df_extrato_zig!D:D,"Antecipação")</f>
        <v/>
      </c>
      <c r="C580" s="3">
        <f>SUMIFS(df_extrato_zig!E:E,df_extrato_zig!L:L,Conciliacao!A580,df_extrato_zig!F:F,"DINHEIRO")</f>
        <v/>
      </c>
      <c r="D580" s="3">
        <f>SUMIFS(view_parc_agrup!H:H,view_parc_agrup!G:G,Conciliacao!A580)</f>
        <v/>
      </c>
      <c r="E580" s="3">
        <f>SUMIFS(df_eventos!F:F,df_eventos!H:H,Conciliacao!A580)</f>
        <v/>
      </c>
      <c r="F580" s="3">
        <f>SUMIFS(df_mutuos!M:M,df_mutuos!B:B,Conciliacao!A580)</f>
        <v/>
      </c>
      <c r="G580" s="6">
        <f>SUMIFS(df_bloqueios_judiciais!G:G,df_bloqueios_judiciais!D:D,Conciliacao!A580,df_bloqueios_judiciais!G:G,"&gt;0")</f>
        <v/>
      </c>
      <c r="H580" s="7">
        <f>SUMIFS(df_extratos!I:I,df_extratos!F:F,Conciliacao!BE580,df_extratos!G:G,"CREDITO")+SUMIFS(df_extratos!I:I,df_extratos!F:F,Conciliacao!A580,df_extratos!G:G,"CREDITO")+SUMIFS(df_extratos!I:I,df_extratos!F:F,Conciliacao!BF580,df_extratos!G:G,"CREDITO")+SUMIFS(df_extratos!I:I,df_extratos!F:F,Conciliacao!BG580,df_extratos!G:G,"CREDITO")+SUMIFS(df_extratos!I:I,df_extratos!F:F,Conciliacao!BH580,df_extratos!G:G,"CREDITO")</f>
        <v/>
      </c>
      <c r="I580" s="9">
        <f>H580-SUM(B580:G580)</f>
        <v/>
      </c>
      <c r="J580" s="4">
        <f>SUMIFS(df_blueme_sem_parcelamento!E:E,df_blueme_sem_parcelamento!H:H,Conciliacao!A580)*(-1)</f>
        <v/>
      </c>
      <c r="K580" s="4">
        <f>SUMIFS(df_blueme_com_parcelamento!J:J,df_blueme_com_parcelamento!M:M,Conciliacao!A580)*(-1)</f>
        <v/>
      </c>
      <c r="L580" s="4">
        <f>SUMIFS(df_mutuos!N:N,df_mutuos!B:B,Conciliacao!A580)*(-1)</f>
        <v/>
      </c>
      <c r="M580" s="8">
        <f>SUMIFS(df_bloqueios_judiciais!G:G,df_bloqueios_judiciais!D:D,Conciliacao!A580,df_bloqueios_judiciais!G:G,"&lt;0")</f>
        <v/>
      </c>
      <c r="N580" s="10">
        <f>SUMIFS(df_extratos!I:I,df_extratos!F:F,Conciliacao!BE580,df_extratos!G:G,"DEBITO")+SUMIFS(df_extratos!I:I,df_extratos!F:F,Conciliacao!A580,df_extratos!G:G,"DEBITO")+SUMIFS(df_extratos!I:I,df_extratos!F:F,Conciliacao!BF580,df_extratos!G:G,"DEBITO")+SUMIFS(df_extratos!I:I,df_extratos!F:F,Conciliacao!BG580,df_extratos!G:G,"DEBITO")+SUMIFS(df_extratos!I:I,df_extratos!F:F,Conciliacao!BH580,df_extratos!G:G,"DEBITO")</f>
        <v/>
      </c>
      <c r="O580" s="11">
        <f>N580-SUM(J580:M580)</f>
        <v/>
      </c>
      <c r="P580" s="25">
        <f>SUMIFS(df_ajustes_conciliaco!D:D,df_ajustes_conciliaco!C:C,Conciliacao!A580)</f>
        <v/>
      </c>
      <c r="Q580" s="22">
        <f>O580+I580-P580</f>
        <v/>
      </c>
      <c r="BE580" s="20" t="n">
        <v>46236.5</v>
      </c>
      <c r="BF580" s="20" t="n">
        <v>46236.125</v>
      </c>
      <c r="BG580" s="20" t="n">
        <v>46236.5416666088</v>
      </c>
      <c r="BH580" s="20" t="n">
        <v>46236.625</v>
      </c>
    </row>
    <row r="581">
      <c r="A581" s="5">
        <f>A580+1</f>
        <v/>
      </c>
      <c r="B581" s="3">
        <f>-SUMIFS(df_extrato_zig!G:G,df_extrato_zig!E:E,Conciliacao!A581,df_extrato_zig!D:D,"Saque")-SUMIFS(df_extrato_zig!G:G,df_extrato_zig!E:E,Conciliacao!A581,df_extrato_zig!D:D,"Antecipação")</f>
        <v/>
      </c>
      <c r="C581" s="3">
        <f>SUMIFS(df_extrato_zig!E:E,df_extrato_zig!L:L,Conciliacao!A581,df_extrato_zig!F:F,"DINHEIRO")</f>
        <v/>
      </c>
      <c r="D581" s="3">
        <f>SUMIFS(view_parc_agrup!H:H,view_parc_agrup!G:G,Conciliacao!A581)</f>
        <v/>
      </c>
      <c r="E581" s="3">
        <f>SUMIFS(df_eventos!F:F,df_eventos!H:H,Conciliacao!A581)</f>
        <v/>
      </c>
      <c r="F581" s="3">
        <f>SUMIFS(df_mutuos!M:M,df_mutuos!B:B,Conciliacao!A581)</f>
        <v/>
      </c>
      <c r="G581" s="6">
        <f>SUMIFS(df_bloqueios_judiciais!G:G,df_bloqueios_judiciais!D:D,Conciliacao!A581,df_bloqueios_judiciais!G:G,"&gt;0")</f>
        <v/>
      </c>
      <c r="H581" s="7">
        <f>SUMIFS(df_extratos!I:I,df_extratos!F:F,Conciliacao!BE581,df_extratos!G:G,"CREDITO")+SUMIFS(df_extratos!I:I,df_extratos!F:F,Conciliacao!A581,df_extratos!G:G,"CREDITO")+SUMIFS(df_extratos!I:I,df_extratos!F:F,Conciliacao!BF581,df_extratos!G:G,"CREDITO")+SUMIFS(df_extratos!I:I,df_extratos!F:F,Conciliacao!BG581,df_extratos!G:G,"CREDITO")+SUMIFS(df_extratos!I:I,df_extratos!F:F,Conciliacao!BH581,df_extratos!G:G,"CREDITO")</f>
        <v/>
      </c>
      <c r="I581" s="9">
        <f>H581-SUM(B581:G581)</f>
        <v/>
      </c>
      <c r="J581" s="4">
        <f>SUMIFS(df_blueme_sem_parcelamento!E:E,df_blueme_sem_parcelamento!H:H,Conciliacao!A581)*(-1)</f>
        <v/>
      </c>
      <c r="K581" s="4">
        <f>SUMIFS(df_blueme_com_parcelamento!J:J,df_blueme_com_parcelamento!M:M,Conciliacao!A581)*(-1)</f>
        <v/>
      </c>
      <c r="L581" s="4">
        <f>SUMIFS(df_mutuos!N:N,df_mutuos!B:B,Conciliacao!A581)*(-1)</f>
        <v/>
      </c>
      <c r="M581" s="8">
        <f>SUMIFS(df_bloqueios_judiciais!G:G,df_bloqueios_judiciais!D:D,Conciliacao!A581,df_bloqueios_judiciais!G:G,"&lt;0")</f>
        <v/>
      </c>
      <c r="N581" s="10">
        <f>SUMIFS(df_extratos!I:I,df_extratos!F:F,Conciliacao!BE581,df_extratos!G:G,"DEBITO")+SUMIFS(df_extratos!I:I,df_extratos!F:F,Conciliacao!A581,df_extratos!G:G,"DEBITO")+SUMIFS(df_extratos!I:I,df_extratos!F:F,Conciliacao!BF581,df_extratos!G:G,"DEBITO")+SUMIFS(df_extratos!I:I,df_extratos!F:F,Conciliacao!BG581,df_extratos!G:G,"DEBITO")+SUMIFS(df_extratos!I:I,df_extratos!F:F,Conciliacao!BH581,df_extratos!G:G,"DEBITO")</f>
        <v/>
      </c>
      <c r="O581" s="11">
        <f>N581-SUM(J581:M581)</f>
        <v/>
      </c>
      <c r="P581" s="25">
        <f>SUMIFS(df_ajustes_conciliaco!D:D,df_ajustes_conciliaco!C:C,Conciliacao!A581)</f>
        <v/>
      </c>
      <c r="Q581" s="22">
        <f>O581+I581-P581</f>
        <v/>
      </c>
      <c r="BE581" s="20" t="n">
        <v>46237.5</v>
      </c>
      <c r="BF581" s="20" t="n">
        <v>46237.125</v>
      </c>
      <c r="BG581" s="20" t="n">
        <v>46237.5416666088</v>
      </c>
      <c r="BH581" s="20" t="n">
        <v>46237.625</v>
      </c>
    </row>
    <row r="582">
      <c r="A582" s="5">
        <f>A581+1</f>
        <v/>
      </c>
      <c r="B582" s="3">
        <f>-SUMIFS(df_extrato_zig!G:G,df_extrato_zig!E:E,Conciliacao!A582,df_extrato_zig!D:D,"Saque")-SUMIFS(df_extrato_zig!G:G,df_extrato_zig!E:E,Conciliacao!A582,df_extrato_zig!D:D,"Antecipação")</f>
        <v/>
      </c>
      <c r="C582" s="3">
        <f>SUMIFS(df_extrato_zig!E:E,df_extrato_zig!L:L,Conciliacao!A582,df_extrato_zig!F:F,"DINHEIRO")</f>
        <v/>
      </c>
      <c r="D582" s="3">
        <f>SUMIFS(view_parc_agrup!H:H,view_parc_agrup!G:G,Conciliacao!A582)</f>
        <v/>
      </c>
      <c r="E582" s="3">
        <f>SUMIFS(df_eventos!F:F,df_eventos!H:H,Conciliacao!A582)</f>
        <v/>
      </c>
      <c r="F582" s="3">
        <f>SUMIFS(df_mutuos!M:M,df_mutuos!B:B,Conciliacao!A582)</f>
        <v/>
      </c>
      <c r="G582" s="6">
        <f>SUMIFS(df_bloqueios_judiciais!G:G,df_bloqueios_judiciais!D:D,Conciliacao!A582,df_bloqueios_judiciais!G:G,"&gt;0")</f>
        <v/>
      </c>
      <c r="H582" s="7">
        <f>SUMIFS(df_extratos!I:I,df_extratos!F:F,Conciliacao!BE582,df_extratos!G:G,"CREDITO")+SUMIFS(df_extratos!I:I,df_extratos!F:F,Conciliacao!A582,df_extratos!G:G,"CREDITO")+SUMIFS(df_extratos!I:I,df_extratos!F:F,Conciliacao!BF582,df_extratos!G:G,"CREDITO")+SUMIFS(df_extratos!I:I,df_extratos!F:F,Conciliacao!BG582,df_extratos!G:G,"CREDITO")+SUMIFS(df_extratos!I:I,df_extratos!F:F,Conciliacao!BH582,df_extratos!G:G,"CREDITO")</f>
        <v/>
      </c>
      <c r="I582" s="9">
        <f>H582-SUM(B582:G582)</f>
        <v/>
      </c>
      <c r="J582" s="4">
        <f>SUMIFS(df_blueme_sem_parcelamento!E:E,df_blueme_sem_parcelamento!H:H,Conciliacao!A582)*(-1)</f>
        <v/>
      </c>
      <c r="K582" s="4">
        <f>SUMIFS(df_blueme_com_parcelamento!J:J,df_blueme_com_parcelamento!M:M,Conciliacao!A582)*(-1)</f>
        <v/>
      </c>
      <c r="L582" s="4">
        <f>SUMIFS(df_mutuos!N:N,df_mutuos!B:B,Conciliacao!A582)*(-1)</f>
        <v/>
      </c>
      <c r="M582" s="8">
        <f>SUMIFS(df_bloqueios_judiciais!G:G,df_bloqueios_judiciais!D:D,Conciliacao!A582,df_bloqueios_judiciais!G:G,"&lt;0")</f>
        <v/>
      </c>
      <c r="N582" s="10">
        <f>SUMIFS(df_extratos!I:I,df_extratos!F:F,Conciliacao!BE582,df_extratos!G:G,"DEBITO")+SUMIFS(df_extratos!I:I,df_extratos!F:F,Conciliacao!A582,df_extratos!G:G,"DEBITO")+SUMIFS(df_extratos!I:I,df_extratos!F:F,Conciliacao!BF582,df_extratos!G:G,"DEBITO")+SUMIFS(df_extratos!I:I,df_extratos!F:F,Conciliacao!BG582,df_extratos!G:G,"DEBITO")+SUMIFS(df_extratos!I:I,df_extratos!F:F,Conciliacao!BH582,df_extratos!G:G,"DEBITO")</f>
        <v/>
      </c>
      <c r="O582" s="11">
        <f>N582-SUM(J582:M582)</f>
        <v/>
      </c>
      <c r="P582" s="25">
        <f>SUMIFS(df_ajustes_conciliaco!D:D,df_ajustes_conciliaco!C:C,Conciliacao!A582)</f>
        <v/>
      </c>
      <c r="Q582" s="22">
        <f>O582+I582-P582</f>
        <v/>
      </c>
      <c r="BE582" s="20" t="n">
        <v>46238.5</v>
      </c>
      <c r="BF582" s="20" t="n">
        <v>46238.125</v>
      </c>
      <c r="BG582" s="20" t="n">
        <v>46238.5416666088</v>
      </c>
      <c r="BH582" s="20" t="n">
        <v>46238.625</v>
      </c>
    </row>
    <row r="583">
      <c r="A583" s="5">
        <f>A582+1</f>
        <v/>
      </c>
      <c r="B583" s="3">
        <f>-SUMIFS(df_extrato_zig!G:G,df_extrato_zig!E:E,Conciliacao!A583,df_extrato_zig!D:D,"Saque")-SUMIFS(df_extrato_zig!G:G,df_extrato_zig!E:E,Conciliacao!A583,df_extrato_zig!D:D,"Antecipação")</f>
        <v/>
      </c>
      <c r="C583" s="3">
        <f>SUMIFS(df_extrato_zig!E:E,df_extrato_zig!L:L,Conciliacao!A583,df_extrato_zig!F:F,"DINHEIRO")</f>
        <v/>
      </c>
      <c r="D583" s="3">
        <f>SUMIFS(view_parc_agrup!H:H,view_parc_agrup!G:G,Conciliacao!A583)</f>
        <v/>
      </c>
      <c r="E583" s="3">
        <f>SUMIFS(df_eventos!F:F,df_eventos!H:H,Conciliacao!A583)</f>
        <v/>
      </c>
      <c r="F583" s="3">
        <f>SUMIFS(df_mutuos!M:M,df_mutuos!B:B,Conciliacao!A583)</f>
        <v/>
      </c>
      <c r="G583" s="6">
        <f>SUMIFS(df_bloqueios_judiciais!G:G,df_bloqueios_judiciais!D:D,Conciliacao!A583,df_bloqueios_judiciais!G:G,"&gt;0")</f>
        <v/>
      </c>
      <c r="H583" s="7">
        <f>SUMIFS(df_extratos!I:I,df_extratos!F:F,Conciliacao!BE583,df_extratos!G:G,"CREDITO")+SUMIFS(df_extratos!I:I,df_extratos!F:F,Conciliacao!A583,df_extratos!G:G,"CREDITO")+SUMIFS(df_extratos!I:I,df_extratos!F:F,Conciliacao!BF583,df_extratos!G:G,"CREDITO")+SUMIFS(df_extratos!I:I,df_extratos!F:F,Conciliacao!BG583,df_extratos!G:G,"CREDITO")+SUMIFS(df_extratos!I:I,df_extratos!F:F,Conciliacao!BH583,df_extratos!G:G,"CREDITO")</f>
        <v/>
      </c>
      <c r="I583" s="9">
        <f>H583-SUM(B583:G583)</f>
        <v/>
      </c>
      <c r="J583" s="4">
        <f>SUMIFS(df_blueme_sem_parcelamento!E:E,df_blueme_sem_parcelamento!H:H,Conciliacao!A583)*(-1)</f>
        <v/>
      </c>
      <c r="K583" s="4">
        <f>SUMIFS(df_blueme_com_parcelamento!J:J,df_blueme_com_parcelamento!M:M,Conciliacao!A583)*(-1)</f>
        <v/>
      </c>
      <c r="L583" s="4">
        <f>SUMIFS(df_mutuos!N:N,df_mutuos!B:B,Conciliacao!A583)*(-1)</f>
        <v/>
      </c>
      <c r="M583" s="8">
        <f>SUMIFS(df_bloqueios_judiciais!G:G,df_bloqueios_judiciais!D:D,Conciliacao!A583,df_bloqueios_judiciais!G:G,"&lt;0")</f>
        <v/>
      </c>
      <c r="N583" s="10">
        <f>SUMIFS(df_extratos!I:I,df_extratos!F:F,Conciliacao!BE583,df_extratos!G:G,"DEBITO")+SUMIFS(df_extratos!I:I,df_extratos!F:F,Conciliacao!A583,df_extratos!G:G,"DEBITO")+SUMIFS(df_extratos!I:I,df_extratos!F:F,Conciliacao!BF583,df_extratos!G:G,"DEBITO")+SUMIFS(df_extratos!I:I,df_extratos!F:F,Conciliacao!BG583,df_extratos!G:G,"DEBITO")+SUMIFS(df_extratos!I:I,df_extratos!F:F,Conciliacao!BH583,df_extratos!G:G,"DEBITO")</f>
        <v/>
      </c>
      <c r="O583" s="11">
        <f>N583-SUM(J583:M583)</f>
        <v/>
      </c>
      <c r="P583" s="25">
        <f>SUMIFS(df_ajustes_conciliaco!D:D,df_ajustes_conciliaco!C:C,Conciliacao!A583)</f>
        <v/>
      </c>
      <c r="Q583" s="22">
        <f>O583+I583-P583</f>
        <v/>
      </c>
      <c r="BE583" s="20" t="n">
        <v>46239.5</v>
      </c>
      <c r="BF583" s="20" t="n">
        <v>46239.125</v>
      </c>
      <c r="BG583" s="20" t="n">
        <v>46239.5416666088</v>
      </c>
      <c r="BH583" s="20" t="n">
        <v>46239.625</v>
      </c>
    </row>
    <row r="584">
      <c r="A584" s="5">
        <f>A583+1</f>
        <v/>
      </c>
      <c r="B584" s="3">
        <f>-SUMIFS(df_extrato_zig!G:G,df_extrato_zig!E:E,Conciliacao!A584,df_extrato_zig!D:D,"Saque")-SUMIFS(df_extrato_zig!G:G,df_extrato_zig!E:E,Conciliacao!A584,df_extrato_zig!D:D,"Antecipação")</f>
        <v/>
      </c>
      <c r="C584" s="3">
        <f>SUMIFS(df_extrato_zig!E:E,df_extrato_zig!L:L,Conciliacao!A584,df_extrato_zig!F:F,"DINHEIRO")</f>
        <v/>
      </c>
      <c r="D584" s="3">
        <f>SUMIFS(view_parc_agrup!H:H,view_parc_agrup!G:G,Conciliacao!A584)</f>
        <v/>
      </c>
      <c r="E584" s="3">
        <f>SUMIFS(df_eventos!F:F,df_eventos!H:H,Conciliacao!A584)</f>
        <v/>
      </c>
      <c r="F584" s="3">
        <f>SUMIFS(df_mutuos!M:M,df_mutuos!B:B,Conciliacao!A584)</f>
        <v/>
      </c>
      <c r="G584" s="6">
        <f>SUMIFS(df_bloqueios_judiciais!G:G,df_bloqueios_judiciais!D:D,Conciliacao!A584,df_bloqueios_judiciais!G:G,"&gt;0")</f>
        <v/>
      </c>
      <c r="H584" s="7">
        <f>SUMIFS(df_extratos!I:I,df_extratos!F:F,Conciliacao!BE584,df_extratos!G:G,"CREDITO")+SUMIFS(df_extratos!I:I,df_extratos!F:F,Conciliacao!A584,df_extratos!G:G,"CREDITO")+SUMIFS(df_extratos!I:I,df_extratos!F:F,Conciliacao!BF584,df_extratos!G:G,"CREDITO")+SUMIFS(df_extratos!I:I,df_extratos!F:F,Conciliacao!BG584,df_extratos!G:G,"CREDITO")+SUMIFS(df_extratos!I:I,df_extratos!F:F,Conciliacao!BH584,df_extratos!G:G,"CREDITO")</f>
        <v/>
      </c>
      <c r="I584" s="9">
        <f>H584-SUM(B584:G584)</f>
        <v/>
      </c>
      <c r="J584" s="4">
        <f>SUMIFS(df_blueme_sem_parcelamento!E:E,df_blueme_sem_parcelamento!H:H,Conciliacao!A584)*(-1)</f>
        <v/>
      </c>
      <c r="K584" s="4">
        <f>SUMIFS(df_blueme_com_parcelamento!J:J,df_blueme_com_parcelamento!M:M,Conciliacao!A584)*(-1)</f>
        <v/>
      </c>
      <c r="L584" s="4">
        <f>SUMIFS(df_mutuos!N:N,df_mutuos!B:B,Conciliacao!A584)*(-1)</f>
        <v/>
      </c>
      <c r="M584" s="8">
        <f>SUMIFS(df_bloqueios_judiciais!G:G,df_bloqueios_judiciais!D:D,Conciliacao!A584,df_bloqueios_judiciais!G:G,"&lt;0")</f>
        <v/>
      </c>
      <c r="N584" s="10">
        <f>SUMIFS(df_extratos!I:I,df_extratos!F:F,Conciliacao!BE584,df_extratos!G:G,"DEBITO")+SUMIFS(df_extratos!I:I,df_extratos!F:F,Conciliacao!A584,df_extratos!G:G,"DEBITO")+SUMIFS(df_extratos!I:I,df_extratos!F:F,Conciliacao!BF584,df_extratos!G:G,"DEBITO")+SUMIFS(df_extratos!I:I,df_extratos!F:F,Conciliacao!BG584,df_extratos!G:G,"DEBITO")+SUMIFS(df_extratos!I:I,df_extratos!F:F,Conciliacao!BH584,df_extratos!G:G,"DEBITO")</f>
        <v/>
      </c>
      <c r="O584" s="11">
        <f>N584-SUM(J584:M584)</f>
        <v/>
      </c>
      <c r="P584" s="25">
        <f>SUMIFS(df_ajustes_conciliaco!D:D,df_ajustes_conciliaco!C:C,Conciliacao!A584)</f>
        <v/>
      </c>
      <c r="Q584" s="22">
        <f>O584+I584-P584</f>
        <v/>
      </c>
      <c r="BE584" s="20" t="n">
        <v>46240.5</v>
      </c>
      <c r="BF584" s="20" t="n">
        <v>46240.125</v>
      </c>
      <c r="BG584" s="20" t="n">
        <v>46240.5416666088</v>
      </c>
      <c r="BH584" s="20" t="n">
        <v>46240.625</v>
      </c>
    </row>
    <row r="585">
      <c r="A585" s="5">
        <f>A584+1</f>
        <v/>
      </c>
      <c r="B585" s="3">
        <f>-SUMIFS(df_extrato_zig!G:G,df_extrato_zig!E:E,Conciliacao!A585,df_extrato_zig!D:D,"Saque")-SUMIFS(df_extrato_zig!G:G,df_extrato_zig!E:E,Conciliacao!A585,df_extrato_zig!D:D,"Antecipação")</f>
        <v/>
      </c>
      <c r="C585" s="3">
        <f>SUMIFS(df_extrato_zig!E:E,df_extrato_zig!L:L,Conciliacao!A585,df_extrato_zig!F:F,"DINHEIRO")</f>
        <v/>
      </c>
      <c r="D585" s="3">
        <f>SUMIFS(view_parc_agrup!H:H,view_parc_agrup!G:G,Conciliacao!A585)</f>
        <v/>
      </c>
      <c r="E585" s="3">
        <f>SUMIFS(df_eventos!F:F,df_eventos!H:H,Conciliacao!A585)</f>
        <v/>
      </c>
      <c r="F585" s="3">
        <f>SUMIFS(df_mutuos!M:M,df_mutuos!B:B,Conciliacao!A585)</f>
        <v/>
      </c>
      <c r="G585" s="6">
        <f>SUMIFS(df_bloqueios_judiciais!G:G,df_bloqueios_judiciais!D:D,Conciliacao!A585,df_bloqueios_judiciais!G:G,"&gt;0")</f>
        <v/>
      </c>
      <c r="H585" s="7">
        <f>SUMIFS(df_extratos!I:I,df_extratos!F:F,Conciliacao!BE585,df_extratos!G:G,"CREDITO")+SUMIFS(df_extratos!I:I,df_extratos!F:F,Conciliacao!A585,df_extratos!G:G,"CREDITO")+SUMIFS(df_extratos!I:I,df_extratos!F:F,Conciliacao!BF585,df_extratos!G:G,"CREDITO")+SUMIFS(df_extratos!I:I,df_extratos!F:F,Conciliacao!BG585,df_extratos!G:G,"CREDITO")+SUMIFS(df_extratos!I:I,df_extratos!F:F,Conciliacao!BH585,df_extratos!G:G,"CREDITO")</f>
        <v/>
      </c>
      <c r="I585" s="9">
        <f>H585-SUM(B585:G585)</f>
        <v/>
      </c>
      <c r="J585" s="4">
        <f>SUMIFS(df_blueme_sem_parcelamento!E:E,df_blueme_sem_parcelamento!H:H,Conciliacao!A585)*(-1)</f>
        <v/>
      </c>
      <c r="K585" s="4">
        <f>SUMIFS(df_blueme_com_parcelamento!J:J,df_blueme_com_parcelamento!M:M,Conciliacao!A585)*(-1)</f>
        <v/>
      </c>
      <c r="L585" s="4">
        <f>SUMIFS(df_mutuos!N:N,df_mutuos!B:B,Conciliacao!A585)*(-1)</f>
        <v/>
      </c>
      <c r="M585" s="8">
        <f>SUMIFS(df_bloqueios_judiciais!G:G,df_bloqueios_judiciais!D:D,Conciliacao!A585,df_bloqueios_judiciais!G:G,"&lt;0")</f>
        <v/>
      </c>
      <c r="N585" s="10">
        <f>SUMIFS(df_extratos!I:I,df_extratos!F:F,Conciliacao!BE585,df_extratos!G:G,"DEBITO")+SUMIFS(df_extratos!I:I,df_extratos!F:F,Conciliacao!A585,df_extratos!G:G,"DEBITO")+SUMIFS(df_extratos!I:I,df_extratos!F:F,Conciliacao!BF585,df_extratos!G:G,"DEBITO")+SUMIFS(df_extratos!I:I,df_extratos!F:F,Conciliacao!BG585,df_extratos!G:G,"DEBITO")+SUMIFS(df_extratos!I:I,df_extratos!F:F,Conciliacao!BH585,df_extratos!G:G,"DEBITO")</f>
        <v/>
      </c>
      <c r="O585" s="11">
        <f>N585-SUM(J585:M585)</f>
        <v/>
      </c>
      <c r="P585" s="25">
        <f>SUMIFS(df_ajustes_conciliaco!D:D,df_ajustes_conciliaco!C:C,Conciliacao!A585)</f>
        <v/>
      </c>
      <c r="Q585" s="22">
        <f>O585+I585-P585</f>
        <v/>
      </c>
      <c r="BE585" s="20" t="n">
        <v>46241.5</v>
      </c>
      <c r="BF585" s="20" t="n">
        <v>46241.125</v>
      </c>
      <c r="BG585" s="20" t="n">
        <v>46241.5416666088</v>
      </c>
      <c r="BH585" s="20" t="n">
        <v>46241.625</v>
      </c>
    </row>
    <row r="586">
      <c r="A586" s="5">
        <f>A585+1</f>
        <v/>
      </c>
      <c r="B586" s="3">
        <f>-SUMIFS(df_extrato_zig!G:G,df_extrato_zig!E:E,Conciliacao!A586,df_extrato_zig!D:D,"Saque")-SUMIFS(df_extrato_zig!G:G,df_extrato_zig!E:E,Conciliacao!A586,df_extrato_zig!D:D,"Antecipação")</f>
        <v/>
      </c>
      <c r="C586" s="3">
        <f>SUMIFS(df_extrato_zig!E:E,df_extrato_zig!L:L,Conciliacao!A586,df_extrato_zig!F:F,"DINHEIRO")</f>
        <v/>
      </c>
      <c r="D586" s="3">
        <f>SUMIFS(view_parc_agrup!H:H,view_parc_agrup!G:G,Conciliacao!A586)</f>
        <v/>
      </c>
      <c r="E586" s="3">
        <f>SUMIFS(df_eventos!F:F,df_eventos!H:H,Conciliacao!A586)</f>
        <v/>
      </c>
      <c r="F586" s="3">
        <f>SUMIFS(df_mutuos!M:M,df_mutuos!B:B,Conciliacao!A586)</f>
        <v/>
      </c>
      <c r="G586" s="6">
        <f>SUMIFS(df_bloqueios_judiciais!G:G,df_bloqueios_judiciais!D:D,Conciliacao!A586,df_bloqueios_judiciais!G:G,"&gt;0")</f>
        <v/>
      </c>
      <c r="H586" s="7">
        <f>SUMIFS(df_extratos!I:I,df_extratos!F:F,Conciliacao!BE586,df_extratos!G:G,"CREDITO")+SUMIFS(df_extratos!I:I,df_extratos!F:F,Conciliacao!A586,df_extratos!G:G,"CREDITO")+SUMIFS(df_extratos!I:I,df_extratos!F:F,Conciliacao!BF586,df_extratos!G:G,"CREDITO")+SUMIFS(df_extratos!I:I,df_extratos!F:F,Conciliacao!BG586,df_extratos!G:G,"CREDITO")+SUMIFS(df_extratos!I:I,df_extratos!F:F,Conciliacao!BH586,df_extratos!G:G,"CREDITO")</f>
        <v/>
      </c>
      <c r="I586" s="9">
        <f>H586-SUM(B586:G586)</f>
        <v/>
      </c>
      <c r="J586" s="4">
        <f>SUMIFS(df_blueme_sem_parcelamento!E:E,df_blueme_sem_parcelamento!H:H,Conciliacao!A586)*(-1)</f>
        <v/>
      </c>
      <c r="K586" s="4">
        <f>SUMIFS(df_blueme_com_parcelamento!J:J,df_blueme_com_parcelamento!M:M,Conciliacao!A586)*(-1)</f>
        <v/>
      </c>
      <c r="L586" s="4">
        <f>SUMIFS(df_mutuos!N:N,df_mutuos!B:B,Conciliacao!A586)*(-1)</f>
        <v/>
      </c>
      <c r="M586" s="8">
        <f>SUMIFS(df_bloqueios_judiciais!G:G,df_bloqueios_judiciais!D:D,Conciliacao!A586,df_bloqueios_judiciais!G:G,"&lt;0")</f>
        <v/>
      </c>
      <c r="N586" s="10">
        <f>SUMIFS(df_extratos!I:I,df_extratos!F:F,Conciliacao!BE586,df_extratos!G:G,"DEBITO")+SUMIFS(df_extratos!I:I,df_extratos!F:F,Conciliacao!A586,df_extratos!G:G,"DEBITO")+SUMIFS(df_extratos!I:I,df_extratos!F:F,Conciliacao!BF586,df_extratos!G:G,"DEBITO")+SUMIFS(df_extratos!I:I,df_extratos!F:F,Conciliacao!BG586,df_extratos!G:G,"DEBITO")+SUMIFS(df_extratos!I:I,df_extratos!F:F,Conciliacao!BH586,df_extratos!G:G,"DEBITO")</f>
        <v/>
      </c>
      <c r="O586" s="11">
        <f>N586-SUM(J586:M586)</f>
        <v/>
      </c>
      <c r="P586" s="25">
        <f>SUMIFS(df_ajustes_conciliaco!D:D,df_ajustes_conciliaco!C:C,Conciliacao!A586)</f>
        <v/>
      </c>
      <c r="Q586" s="22">
        <f>O586+I586-P586</f>
        <v/>
      </c>
      <c r="BE586" s="20" t="n">
        <v>46242.5</v>
      </c>
      <c r="BF586" s="20" t="n">
        <v>46242.125</v>
      </c>
      <c r="BG586" s="20" t="n">
        <v>46242.5416666088</v>
      </c>
      <c r="BH586" s="20" t="n">
        <v>46242.625</v>
      </c>
    </row>
    <row r="587">
      <c r="A587" s="5">
        <f>A586+1</f>
        <v/>
      </c>
      <c r="B587" s="3">
        <f>-SUMIFS(df_extrato_zig!G:G,df_extrato_zig!E:E,Conciliacao!A587,df_extrato_zig!D:D,"Saque")-SUMIFS(df_extrato_zig!G:G,df_extrato_zig!E:E,Conciliacao!A587,df_extrato_zig!D:D,"Antecipação")</f>
        <v/>
      </c>
      <c r="C587" s="3">
        <f>SUMIFS(df_extrato_zig!E:E,df_extrato_zig!L:L,Conciliacao!A587,df_extrato_zig!F:F,"DINHEIRO")</f>
        <v/>
      </c>
      <c r="D587" s="3">
        <f>SUMIFS(view_parc_agrup!H:H,view_parc_agrup!G:G,Conciliacao!A587)</f>
        <v/>
      </c>
      <c r="E587" s="3">
        <f>SUMIFS(df_eventos!F:F,df_eventos!H:H,Conciliacao!A587)</f>
        <v/>
      </c>
      <c r="F587" s="3">
        <f>SUMIFS(df_mutuos!M:M,df_mutuos!B:B,Conciliacao!A587)</f>
        <v/>
      </c>
      <c r="G587" s="6">
        <f>SUMIFS(df_bloqueios_judiciais!G:G,df_bloqueios_judiciais!D:D,Conciliacao!A587,df_bloqueios_judiciais!G:G,"&gt;0")</f>
        <v/>
      </c>
      <c r="H587" s="7">
        <f>SUMIFS(df_extratos!I:I,df_extratos!F:F,Conciliacao!BE587,df_extratos!G:G,"CREDITO")+SUMIFS(df_extratos!I:I,df_extratos!F:F,Conciliacao!A587,df_extratos!G:G,"CREDITO")+SUMIFS(df_extratos!I:I,df_extratos!F:F,Conciliacao!BF587,df_extratos!G:G,"CREDITO")+SUMIFS(df_extratos!I:I,df_extratos!F:F,Conciliacao!BG587,df_extratos!G:G,"CREDITO")+SUMIFS(df_extratos!I:I,df_extratos!F:F,Conciliacao!BH587,df_extratos!G:G,"CREDITO")</f>
        <v/>
      </c>
      <c r="I587" s="9">
        <f>H587-SUM(B587:G587)</f>
        <v/>
      </c>
      <c r="J587" s="4">
        <f>SUMIFS(df_blueme_sem_parcelamento!E:E,df_blueme_sem_parcelamento!H:H,Conciliacao!A587)*(-1)</f>
        <v/>
      </c>
      <c r="K587" s="4">
        <f>SUMIFS(df_blueme_com_parcelamento!J:J,df_blueme_com_parcelamento!M:M,Conciliacao!A587)*(-1)</f>
        <v/>
      </c>
      <c r="L587" s="4">
        <f>SUMIFS(df_mutuos!N:N,df_mutuos!B:B,Conciliacao!A587)*(-1)</f>
        <v/>
      </c>
      <c r="M587" s="8">
        <f>SUMIFS(df_bloqueios_judiciais!G:G,df_bloqueios_judiciais!D:D,Conciliacao!A587,df_bloqueios_judiciais!G:G,"&lt;0")</f>
        <v/>
      </c>
      <c r="N587" s="10">
        <f>SUMIFS(df_extratos!I:I,df_extratos!F:F,Conciliacao!BE587,df_extratos!G:G,"DEBITO")+SUMIFS(df_extratos!I:I,df_extratos!F:F,Conciliacao!A587,df_extratos!G:G,"DEBITO")+SUMIFS(df_extratos!I:I,df_extratos!F:F,Conciliacao!BF587,df_extratos!G:G,"DEBITO")+SUMIFS(df_extratos!I:I,df_extratos!F:F,Conciliacao!BG587,df_extratos!G:G,"DEBITO")+SUMIFS(df_extratos!I:I,df_extratos!F:F,Conciliacao!BH587,df_extratos!G:G,"DEBITO")</f>
        <v/>
      </c>
      <c r="O587" s="11">
        <f>N587-SUM(J587:M587)</f>
        <v/>
      </c>
      <c r="P587" s="25">
        <f>SUMIFS(df_ajustes_conciliaco!D:D,df_ajustes_conciliaco!C:C,Conciliacao!A587)</f>
        <v/>
      </c>
      <c r="Q587" s="22">
        <f>O587+I587-P587</f>
        <v/>
      </c>
      <c r="BE587" s="20" t="n">
        <v>46243.5</v>
      </c>
      <c r="BF587" s="20" t="n">
        <v>46243.125</v>
      </c>
      <c r="BG587" s="20" t="n">
        <v>46243.5416666088</v>
      </c>
      <c r="BH587" s="20" t="n">
        <v>46243.625</v>
      </c>
    </row>
    <row r="588">
      <c r="A588" s="5">
        <f>A587+1</f>
        <v/>
      </c>
      <c r="B588" s="3">
        <f>-SUMIFS(df_extrato_zig!G:G,df_extrato_zig!E:E,Conciliacao!A588,df_extrato_zig!D:D,"Saque")-SUMIFS(df_extrato_zig!G:G,df_extrato_zig!E:E,Conciliacao!A588,df_extrato_zig!D:D,"Antecipação")</f>
        <v/>
      </c>
      <c r="C588" s="3">
        <f>SUMIFS(df_extrato_zig!E:E,df_extrato_zig!L:L,Conciliacao!A588,df_extrato_zig!F:F,"DINHEIRO")</f>
        <v/>
      </c>
      <c r="D588" s="3">
        <f>SUMIFS(view_parc_agrup!H:H,view_parc_agrup!G:G,Conciliacao!A588)</f>
        <v/>
      </c>
      <c r="E588" s="3">
        <f>SUMIFS(df_eventos!F:F,df_eventos!H:H,Conciliacao!A588)</f>
        <v/>
      </c>
      <c r="F588" s="3">
        <f>SUMIFS(df_mutuos!M:M,df_mutuos!B:B,Conciliacao!A588)</f>
        <v/>
      </c>
      <c r="G588" s="6">
        <f>SUMIFS(df_bloqueios_judiciais!G:G,df_bloqueios_judiciais!D:D,Conciliacao!A588,df_bloqueios_judiciais!G:G,"&gt;0")</f>
        <v/>
      </c>
      <c r="H588" s="7">
        <f>SUMIFS(df_extratos!I:I,df_extratos!F:F,Conciliacao!BE588,df_extratos!G:G,"CREDITO")+SUMIFS(df_extratos!I:I,df_extratos!F:F,Conciliacao!A588,df_extratos!G:G,"CREDITO")+SUMIFS(df_extratos!I:I,df_extratos!F:F,Conciliacao!BF588,df_extratos!G:G,"CREDITO")+SUMIFS(df_extratos!I:I,df_extratos!F:F,Conciliacao!BG588,df_extratos!G:G,"CREDITO")+SUMIFS(df_extratos!I:I,df_extratos!F:F,Conciliacao!BH588,df_extratos!G:G,"CREDITO")</f>
        <v/>
      </c>
      <c r="I588" s="9">
        <f>H588-SUM(B588:G588)</f>
        <v/>
      </c>
      <c r="J588" s="4">
        <f>SUMIFS(df_blueme_sem_parcelamento!E:E,df_blueme_sem_parcelamento!H:H,Conciliacao!A588)*(-1)</f>
        <v/>
      </c>
      <c r="K588" s="4">
        <f>SUMIFS(df_blueme_com_parcelamento!J:J,df_blueme_com_parcelamento!M:M,Conciliacao!A588)*(-1)</f>
        <v/>
      </c>
      <c r="L588" s="4">
        <f>SUMIFS(df_mutuos!N:N,df_mutuos!B:B,Conciliacao!A588)*(-1)</f>
        <v/>
      </c>
      <c r="M588" s="8">
        <f>SUMIFS(df_bloqueios_judiciais!G:G,df_bloqueios_judiciais!D:D,Conciliacao!A588,df_bloqueios_judiciais!G:G,"&lt;0")</f>
        <v/>
      </c>
      <c r="N588" s="10">
        <f>SUMIFS(df_extratos!I:I,df_extratos!F:F,Conciliacao!BE588,df_extratos!G:G,"DEBITO")+SUMIFS(df_extratos!I:I,df_extratos!F:F,Conciliacao!A588,df_extratos!G:G,"DEBITO")+SUMIFS(df_extratos!I:I,df_extratos!F:F,Conciliacao!BF588,df_extratos!G:G,"DEBITO")+SUMIFS(df_extratos!I:I,df_extratos!F:F,Conciliacao!BG588,df_extratos!G:G,"DEBITO")+SUMIFS(df_extratos!I:I,df_extratos!F:F,Conciliacao!BH588,df_extratos!G:G,"DEBITO")</f>
        <v/>
      </c>
      <c r="O588" s="11">
        <f>N588-SUM(J588:M588)</f>
        <v/>
      </c>
      <c r="P588" s="25">
        <f>SUMIFS(df_ajustes_conciliaco!D:D,df_ajustes_conciliaco!C:C,Conciliacao!A588)</f>
        <v/>
      </c>
      <c r="Q588" s="22">
        <f>O588+I588-P588</f>
        <v/>
      </c>
      <c r="BE588" s="20" t="n">
        <v>46244.5</v>
      </c>
      <c r="BF588" s="20" t="n">
        <v>46244.125</v>
      </c>
      <c r="BG588" s="20" t="n">
        <v>46244.5416666088</v>
      </c>
      <c r="BH588" s="20" t="n">
        <v>46244.625</v>
      </c>
    </row>
    <row r="589">
      <c r="A589" s="5">
        <f>A588+1</f>
        <v/>
      </c>
      <c r="B589" s="3">
        <f>-SUMIFS(df_extrato_zig!G:G,df_extrato_zig!E:E,Conciliacao!A589,df_extrato_zig!D:D,"Saque")-SUMIFS(df_extrato_zig!G:G,df_extrato_zig!E:E,Conciliacao!A589,df_extrato_zig!D:D,"Antecipação")</f>
        <v/>
      </c>
      <c r="C589" s="3">
        <f>SUMIFS(df_extrato_zig!E:E,df_extrato_zig!L:L,Conciliacao!A589,df_extrato_zig!F:F,"DINHEIRO")</f>
        <v/>
      </c>
      <c r="D589" s="3">
        <f>SUMIFS(view_parc_agrup!H:H,view_parc_agrup!G:G,Conciliacao!A589)</f>
        <v/>
      </c>
      <c r="E589" s="3">
        <f>SUMIFS(df_eventos!F:F,df_eventos!H:H,Conciliacao!A589)</f>
        <v/>
      </c>
      <c r="F589" s="3">
        <f>SUMIFS(df_mutuos!M:M,df_mutuos!B:B,Conciliacao!A589)</f>
        <v/>
      </c>
      <c r="G589" s="6">
        <f>SUMIFS(df_bloqueios_judiciais!G:G,df_bloqueios_judiciais!D:D,Conciliacao!A589,df_bloqueios_judiciais!G:G,"&gt;0")</f>
        <v/>
      </c>
      <c r="H589" s="7">
        <f>SUMIFS(df_extratos!I:I,df_extratos!F:F,Conciliacao!BE589,df_extratos!G:G,"CREDITO")+SUMIFS(df_extratos!I:I,df_extratos!F:F,Conciliacao!A589,df_extratos!G:G,"CREDITO")+SUMIFS(df_extratos!I:I,df_extratos!F:F,Conciliacao!BF589,df_extratos!G:G,"CREDITO")+SUMIFS(df_extratos!I:I,df_extratos!F:F,Conciliacao!BG589,df_extratos!G:G,"CREDITO")+SUMIFS(df_extratos!I:I,df_extratos!F:F,Conciliacao!BH589,df_extratos!G:G,"CREDITO")</f>
        <v/>
      </c>
      <c r="I589" s="9">
        <f>H589-SUM(B589:G589)</f>
        <v/>
      </c>
      <c r="J589" s="4">
        <f>SUMIFS(df_blueme_sem_parcelamento!E:E,df_blueme_sem_parcelamento!H:H,Conciliacao!A589)*(-1)</f>
        <v/>
      </c>
      <c r="K589" s="4">
        <f>SUMIFS(df_blueme_com_parcelamento!J:J,df_blueme_com_parcelamento!M:M,Conciliacao!A589)*(-1)</f>
        <v/>
      </c>
      <c r="L589" s="4">
        <f>SUMIFS(df_mutuos!N:N,df_mutuos!B:B,Conciliacao!A589)*(-1)</f>
        <v/>
      </c>
      <c r="M589" s="8">
        <f>SUMIFS(df_bloqueios_judiciais!G:G,df_bloqueios_judiciais!D:D,Conciliacao!A589,df_bloqueios_judiciais!G:G,"&lt;0")</f>
        <v/>
      </c>
      <c r="N589" s="10">
        <f>SUMIFS(df_extratos!I:I,df_extratos!F:F,Conciliacao!BE589,df_extratos!G:G,"DEBITO")+SUMIFS(df_extratos!I:I,df_extratos!F:F,Conciliacao!A589,df_extratos!G:G,"DEBITO")+SUMIFS(df_extratos!I:I,df_extratos!F:F,Conciliacao!BF589,df_extratos!G:G,"DEBITO")+SUMIFS(df_extratos!I:I,df_extratos!F:F,Conciliacao!BG589,df_extratos!G:G,"DEBITO")+SUMIFS(df_extratos!I:I,df_extratos!F:F,Conciliacao!BH589,df_extratos!G:G,"DEBITO")</f>
        <v/>
      </c>
      <c r="O589" s="11">
        <f>N589-SUM(J589:M589)</f>
        <v/>
      </c>
      <c r="P589" s="25">
        <f>SUMIFS(df_ajustes_conciliaco!D:D,df_ajustes_conciliaco!C:C,Conciliacao!A589)</f>
        <v/>
      </c>
      <c r="Q589" s="22">
        <f>O589+I589-P589</f>
        <v/>
      </c>
      <c r="BE589" s="20" t="n">
        <v>46245.5</v>
      </c>
      <c r="BF589" s="20" t="n">
        <v>46245.125</v>
      </c>
      <c r="BG589" s="20" t="n">
        <v>46245.5416666088</v>
      </c>
      <c r="BH589" s="20" t="n">
        <v>46245.625</v>
      </c>
    </row>
    <row r="590">
      <c r="A590" s="5">
        <f>A589+1</f>
        <v/>
      </c>
      <c r="B590" s="3">
        <f>-SUMIFS(df_extrato_zig!G:G,df_extrato_zig!E:E,Conciliacao!A590,df_extrato_zig!D:D,"Saque")-SUMIFS(df_extrato_zig!G:G,df_extrato_zig!E:E,Conciliacao!A590,df_extrato_zig!D:D,"Antecipação")</f>
        <v/>
      </c>
      <c r="C590" s="3">
        <f>SUMIFS(df_extrato_zig!E:E,df_extrato_zig!L:L,Conciliacao!A590,df_extrato_zig!F:F,"DINHEIRO")</f>
        <v/>
      </c>
      <c r="D590" s="3">
        <f>SUMIFS(view_parc_agrup!H:H,view_parc_agrup!G:G,Conciliacao!A590)</f>
        <v/>
      </c>
      <c r="E590" s="3">
        <f>SUMIFS(df_eventos!F:F,df_eventos!H:H,Conciliacao!A590)</f>
        <v/>
      </c>
      <c r="F590" s="3">
        <f>SUMIFS(df_mutuos!M:M,df_mutuos!B:B,Conciliacao!A590)</f>
        <v/>
      </c>
      <c r="G590" s="6">
        <f>SUMIFS(df_bloqueios_judiciais!G:G,df_bloqueios_judiciais!D:D,Conciliacao!A590,df_bloqueios_judiciais!G:G,"&gt;0")</f>
        <v/>
      </c>
      <c r="H590" s="7">
        <f>SUMIFS(df_extratos!I:I,df_extratos!F:F,Conciliacao!BE590,df_extratos!G:G,"CREDITO")+SUMIFS(df_extratos!I:I,df_extratos!F:F,Conciliacao!A590,df_extratos!G:G,"CREDITO")+SUMIFS(df_extratos!I:I,df_extratos!F:F,Conciliacao!BF590,df_extratos!G:G,"CREDITO")+SUMIFS(df_extratos!I:I,df_extratos!F:F,Conciliacao!BG590,df_extratos!G:G,"CREDITO")+SUMIFS(df_extratos!I:I,df_extratos!F:F,Conciliacao!BH590,df_extratos!G:G,"CREDITO")</f>
        <v/>
      </c>
      <c r="I590" s="9">
        <f>H590-SUM(B590:G590)</f>
        <v/>
      </c>
      <c r="J590" s="4">
        <f>SUMIFS(df_blueme_sem_parcelamento!E:E,df_blueme_sem_parcelamento!H:H,Conciliacao!A590)*(-1)</f>
        <v/>
      </c>
      <c r="K590" s="4">
        <f>SUMIFS(df_blueme_com_parcelamento!J:J,df_blueme_com_parcelamento!M:M,Conciliacao!A590)*(-1)</f>
        <v/>
      </c>
      <c r="L590" s="4">
        <f>SUMIFS(df_mutuos!N:N,df_mutuos!B:B,Conciliacao!A590)*(-1)</f>
        <v/>
      </c>
      <c r="M590" s="8">
        <f>SUMIFS(df_bloqueios_judiciais!G:G,df_bloqueios_judiciais!D:D,Conciliacao!A590,df_bloqueios_judiciais!G:G,"&lt;0")</f>
        <v/>
      </c>
      <c r="N590" s="10">
        <f>SUMIFS(df_extratos!I:I,df_extratos!F:F,Conciliacao!BE590,df_extratos!G:G,"DEBITO")+SUMIFS(df_extratos!I:I,df_extratos!F:F,Conciliacao!A590,df_extratos!G:G,"DEBITO")+SUMIFS(df_extratos!I:I,df_extratos!F:F,Conciliacao!BF590,df_extratos!G:G,"DEBITO")+SUMIFS(df_extratos!I:I,df_extratos!F:F,Conciliacao!BG590,df_extratos!G:G,"DEBITO")+SUMIFS(df_extratos!I:I,df_extratos!F:F,Conciliacao!BH590,df_extratos!G:G,"DEBITO")</f>
        <v/>
      </c>
      <c r="O590" s="11">
        <f>N590-SUM(J590:M590)</f>
        <v/>
      </c>
      <c r="P590" s="25">
        <f>SUMIFS(df_ajustes_conciliaco!D:D,df_ajustes_conciliaco!C:C,Conciliacao!A590)</f>
        <v/>
      </c>
      <c r="Q590" s="22">
        <f>O590+I590-P590</f>
        <v/>
      </c>
      <c r="BE590" s="20" t="n">
        <v>46246.5</v>
      </c>
      <c r="BF590" s="20" t="n">
        <v>46246.125</v>
      </c>
      <c r="BG590" s="20" t="n">
        <v>46246.5416666088</v>
      </c>
      <c r="BH590" s="20" t="n">
        <v>46246.625</v>
      </c>
    </row>
    <row r="591">
      <c r="A591" s="5">
        <f>A590+1</f>
        <v/>
      </c>
      <c r="B591" s="3">
        <f>-SUMIFS(df_extrato_zig!G:G,df_extrato_zig!E:E,Conciliacao!A591,df_extrato_zig!D:D,"Saque")-SUMIFS(df_extrato_zig!G:G,df_extrato_zig!E:E,Conciliacao!A591,df_extrato_zig!D:D,"Antecipação")</f>
        <v/>
      </c>
      <c r="C591" s="3">
        <f>SUMIFS(df_extrato_zig!E:E,df_extrato_zig!L:L,Conciliacao!A591,df_extrato_zig!F:F,"DINHEIRO")</f>
        <v/>
      </c>
      <c r="D591" s="3">
        <f>SUMIFS(view_parc_agrup!H:H,view_parc_agrup!G:G,Conciliacao!A591)</f>
        <v/>
      </c>
      <c r="E591" s="3">
        <f>SUMIFS(df_eventos!F:F,df_eventos!H:H,Conciliacao!A591)</f>
        <v/>
      </c>
      <c r="F591" s="3">
        <f>SUMIFS(df_mutuos!M:M,df_mutuos!B:B,Conciliacao!A591)</f>
        <v/>
      </c>
      <c r="G591" s="6">
        <f>SUMIFS(df_bloqueios_judiciais!G:G,df_bloqueios_judiciais!D:D,Conciliacao!A591,df_bloqueios_judiciais!G:G,"&gt;0")</f>
        <v/>
      </c>
      <c r="H591" s="7">
        <f>SUMIFS(df_extratos!I:I,df_extratos!F:F,Conciliacao!BE591,df_extratos!G:G,"CREDITO")+SUMIFS(df_extratos!I:I,df_extratos!F:F,Conciliacao!A591,df_extratos!G:G,"CREDITO")+SUMIFS(df_extratos!I:I,df_extratos!F:F,Conciliacao!BF591,df_extratos!G:G,"CREDITO")+SUMIFS(df_extratos!I:I,df_extratos!F:F,Conciliacao!BG591,df_extratos!G:G,"CREDITO")+SUMIFS(df_extratos!I:I,df_extratos!F:F,Conciliacao!BH591,df_extratos!G:G,"CREDITO")</f>
        <v/>
      </c>
      <c r="I591" s="9">
        <f>H591-SUM(B591:G591)</f>
        <v/>
      </c>
      <c r="J591" s="4">
        <f>SUMIFS(df_blueme_sem_parcelamento!E:E,df_blueme_sem_parcelamento!H:H,Conciliacao!A591)*(-1)</f>
        <v/>
      </c>
      <c r="K591" s="4">
        <f>SUMIFS(df_blueme_com_parcelamento!J:J,df_blueme_com_parcelamento!M:M,Conciliacao!A591)*(-1)</f>
        <v/>
      </c>
      <c r="L591" s="4">
        <f>SUMIFS(df_mutuos!N:N,df_mutuos!B:B,Conciliacao!A591)*(-1)</f>
        <v/>
      </c>
      <c r="M591" s="8">
        <f>SUMIFS(df_bloqueios_judiciais!G:G,df_bloqueios_judiciais!D:D,Conciliacao!A591,df_bloqueios_judiciais!G:G,"&lt;0")</f>
        <v/>
      </c>
      <c r="N591" s="10">
        <f>SUMIFS(df_extratos!I:I,df_extratos!F:F,Conciliacao!BE591,df_extratos!G:G,"DEBITO")+SUMIFS(df_extratos!I:I,df_extratos!F:F,Conciliacao!A591,df_extratos!G:G,"DEBITO")+SUMIFS(df_extratos!I:I,df_extratos!F:F,Conciliacao!BF591,df_extratos!G:G,"DEBITO")+SUMIFS(df_extratos!I:I,df_extratos!F:F,Conciliacao!BG591,df_extratos!G:G,"DEBITO")+SUMIFS(df_extratos!I:I,df_extratos!F:F,Conciliacao!BH591,df_extratos!G:G,"DEBITO")</f>
        <v/>
      </c>
      <c r="O591" s="11">
        <f>N591-SUM(J591:M591)</f>
        <v/>
      </c>
      <c r="P591" s="25">
        <f>SUMIFS(df_ajustes_conciliaco!D:D,df_ajustes_conciliaco!C:C,Conciliacao!A591)</f>
        <v/>
      </c>
      <c r="Q591" s="22">
        <f>O591+I591-P591</f>
        <v/>
      </c>
      <c r="BE591" s="20" t="n">
        <v>46247.5</v>
      </c>
      <c r="BF591" s="20" t="n">
        <v>46247.125</v>
      </c>
      <c r="BG591" s="20" t="n">
        <v>46247.5416666088</v>
      </c>
      <c r="BH591" s="20" t="n">
        <v>46247.625</v>
      </c>
    </row>
    <row r="592">
      <c r="A592" s="5">
        <f>A591+1</f>
        <v/>
      </c>
      <c r="B592" s="3">
        <f>-SUMIFS(df_extrato_zig!G:G,df_extrato_zig!E:E,Conciliacao!A592,df_extrato_zig!D:D,"Saque")-SUMIFS(df_extrato_zig!G:G,df_extrato_zig!E:E,Conciliacao!A592,df_extrato_zig!D:D,"Antecipação")</f>
        <v/>
      </c>
      <c r="C592" s="3">
        <f>SUMIFS(df_extrato_zig!E:E,df_extrato_zig!L:L,Conciliacao!A592,df_extrato_zig!F:F,"DINHEIRO")</f>
        <v/>
      </c>
      <c r="D592" s="3">
        <f>SUMIFS(view_parc_agrup!H:H,view_parc_agrup!G:G,Conciliacao!A592)</f>
        <v/>
      </c>
      <c r="E592" s="3">
        <f>SUMIFS(df_eventos!F:F,df_eventos!H:H,Conciliacao!A592)</f>
        <v/>
      </c>
      <c r="F592" s="3">
        <f>SUMIFS(df_mutuos!M:M,df_mutuos!B:B,Conciliacao!A592)</f>
        <v/>
      </c>
      <c r="G592" s="6">
        <f>SUMIFS(df_bloqueios_judiciais!G:G,df_bloqueios_judiciais!D:D,Conciliacao!A592,df_bloqueios_judiciais!G:G,"&gt;0")</f>
        <v/>
      </c>
      <c r="H592" s="7">
        <f>SUMIFS(df_extratos!I:I,df_extratos!F:F,Conciliacao!BE592,df_extratos!G:G,"CREDITO")+SUMIFS(df_extratos!I:I,df_extratos!F:F,Conciliacao!A592,df_extratos!G:G,"CREDITO")+SUMIFS(df_extratos!I:I,df_extratos!F:F,Conciliacao!BF592,df_extratos!G:G,"CREDITO")+SUMIFS(df_extratos!I:I,df_extratos!F:F,Conciliacao!BG592,df_extratos!G:G,"CREDITO")+SUMIFS(df_extratos!I:I,df_extratos!F:F,Conciliacao!BH592,df_extratos!G:G,"CREDITO")</f>
        <v/>
      </c>
      <c r="I592" s="9">
        <f>H592-SUM(B592:G592)</f>
        <v/>
      </c>
      <c r="J592" s="4">
        <f>SUMIFS(df_blueme_sem_parcelamento!E:E,df_blueme_sem_parcelamento!H:H,Conciliacao!A592)*(-1)</f>
        <v/>
      </c>
      <c r="K592" s="4">
        <f>SUMIFS(df_blueme_com_parcelamento!J:J,df_blueme_com_parcelamento!M:M,Conciliacao!A592)*(-1)</f>
        <v/>
      </c>
      <c r="L592" s="4">
        <f>SUMIFS(df_mutuos!N:N,df_mutuos!B:B,Conciliacao!A592)*(-1)</f>
        <v/>
      </c>
      <c r="M592" s="8">
        <f>SUMIFS(df_bloqueios_judiciais!G:G,df_bloqueios_judiciais!D:D,Conciliacao!A592,df_bloqueios_judiciais!G:G,"&lt;0")</f>
        <v/>
      </c>
      <c r="N592" s="10">
        <f>SUMIFS(df_extratos!I:I,df_extratos!F:F,Conciliacao!BE592,df_extratos!G:G,"DEBITO")+SUMIFS(df_extratos!I:I,df_extratos!F:F,Conciliacao!A592,df_extratos!G:G,"DEBITO")+SUMIFS(df_extratos!I:I,df_extratos!F:F,Conciliacao!BF592,df_extratos!G:G,"DEBITO")+SUMIFS(df_extratos!I:I,df_extratos!F:F,Conciliacao!BG592,df_extratos!G:G,"DEBITO")+SUMIFS(df_extratos!I:I,df_extratos!F:F,Conciliacao!BH592,df_extratos!G:G,"DEBITO")</f>
        <v/>
      </c>
      <c r="O592" s="11">
        <f>N592-SUM(J592:M592)</f>
        <v/>
      </c>
      <c r="P592" s="25">
        <f>SUMIFS(df_ajustes_conciliaco!D:D,df_ajustes_conciliaco!C:C,Conciliacao!A592)</f>
        <v/>
      </c>
      <c r="Q592" s="22">
        <f>O592+I592-P592</f>
        <v/>
      </c>
      <c r="BE592" s="20" t="n">
        <v>46248.5</v>
      </c>
      <c r="BF592" s="20" t="n">
        <v>46248.125</v>
      </c>
      <c r="BG592" s="20" t="n">
        <v>46248.5416666088</v>
      </c>
      <c r="BH592" s="20" t="n">
        <v>46248.625</v>
      </c>
    </row>
    <row r="593">
      <c r="A593" s="5">
        <f>A592+1</f>
        <v/>
      </c>
      <c r="B593" s="3">
        <f>-SUMIFS(df_extrato_zig!G:G,df_extrato_zig!E:E,Conciliacao!A593,df_extrato_zig!D:D,"Saque")-SUMIFS(df_extrato_zig!G:G,df_extrato_zig!E:E,Conciliacao!A593,df_extrato_zig!D:D,"Antecipação")</f>
        <v/>
      </c>
      <c r="C593" s="3">
        <f>SUMIFS(df_extrato_zig!E:E,df_extrato_zig!L:L,Conciliacao!A593,df_extrato_zig!F:F,"DINHEIRO")</f>
        <v/>
      </c>
      <c r="D593" s="3">
        <f>SUMIFS(view_parc_agrup!H:H,view_parc_agrup!G:G,Conciliacao!A593)</f>
        <v/>
      </c>
      <c r="E593" s="3">
        <f>SUMIFS(df_eventos!F:F,df_eventos!H:H,Conciliacao!A593)</f>
        <v/>
      </c>
      <c r="F593" s="3">
        <f>SUMIFS(df_mutuos!M:M,df_mutuos!B:B,Conciliacao!A593)</f>
        <v/>
      </c>
      <c r="G593" s="6">
        <f>SUMIFS(df_bloqueios_judiciais!G:G,df_bloqueios_judiciais!D:D,Conciliacao!A593,df_bloqueios_judiciais!G:G,"&gt;0")</f>
        <v/>
      </c>
      <c r="H593" s="7">
        <f>SUMIFS(df_extratos!I:I,df_extratos!F:F,Conciliacao!BE593,df_extratos!G:G,"CREDITO")+SUMIFS(df_extratos!I:I,df_extratos!F:F,Conciliacao!A593,df_extratos!G:G,"CREDITO")+SUMIFS(df_extratos!I:I,df_extratos!F:F,Conciliacao!BF593,df_extratos!G:G,"CREDITO")+SUMIFS(df_extratos!I:I,df_extratos!F:F,Conciliacao!BG593,df_extratos!G:G,"CREDITO")+SUMIFS(df_extratos!I:I,df_extratos!F:F,Conciliacao!BH593,df_extratos!G:G,"CREDITO")</f>
        <v/>
      </c>
      <c r="I593" s="9">
        <f>H593-SUM(B593:G593)</f>
        <v/>
      </c>
      <c r="J593" s="4">
        <f>SUMIFS(df_blueme_sem_parcelamento!E:E,df_blueme_sem_parcelamento!H:H,Conciliacao!A593)*(-1)</f>
        <v/>
      </c>
      <c r="K593" s="4">
        <f>SUMIFS(df_blueme_com_parcelamento!J:J,df_blueme_com_parcelamento!M:M,Conciliacao!A593)*(-1)</f>
        <v/>
      </c>
      <c r="L593" s="4">
        <f>SUMIFS(df_mutuos!N:N,df_mutuos!B:B,Conciliacao!A593)*(-1)</f>
        <v/>
      </c>
      <c r="M593" s="8">
        <f>SUMIFS(df_bloqueios_judiciais!G:G,df_bloqueios_judiciais!D:D,Conciliacao!A593,df_bloqueios_judiciais!G:G,"&lt;0")</f>
        <v/>
      </c>
      <c r="N593" s="10">
        <f>SUMIFS(df_extratos!I:I,df_extratos!F:F,Conciliacao!BE593,df_extratos!G:G,"DEBITO")+SUMIFS(df_extratos!I:I,df_extratos!F:F,Conciliacao!A593,df_extratos!G:G,"DEBITO")+SUMIFS(df_extratos!I:I,df_extratos!F:F,Conciliacao!BF593,df_extratos!G:G,"DEBITO")+SUMIFS(df_extratos!I:I,df_extratos!F:F,Conciliacao!BG593,df_extratos!G:G,"DEBITO")+SUMIFS(df_extratos!I:I,df_extratos!F:F,Conciliacao!BH593,df_extratos!G:G,"DEBITO")</f>
        <v/>
      </c>
      <c r="O593" s="11">
        <f>N593-SUM(J593:M593)</f>
        <v/>
      </c>
      <c r="P593" s="25">
        <f>SUMIFS(df_ajustes_conciliaco!D:D,df_ajustes_conciliaco!C:C,Conciliacao!A593)</f>
        <v/>
      </c>
      <c r="Q593" s="22">
        <f>O593+I593-P593</f>
        <v/>
      </c>
      <c r="BE593" s="20" t="n">
        <v>46249.5</v>
      </c>
      <c r="BF593" s="20" t="n">
        <v>46249.125</v>
      </c>
      <c r="BG593" s="20" t="n">
        <v>46249.5416666088</v>
      </c>
      <c r="BH593" s="20" t="n">
        <v>46249.625</v>
      </c>
    </row>
    <row r="594">
      <c r="A594" s="5">
        <f>A593+1</f>
        <v/>
      </c>
      <c r="B594" s="3">
        <f>-SUMIFS(df_extrato_zig!G:G,df_extrato_zig!E:E,Conciliacao!A594,df_extrato_zig!D:D,"Saque")-SUMIFS(df_extrato_zig!G:G,df_extrato_zig!E:E,Conciliacao!A594,df_extrato_zig!D:D,"Antecipação")</f>
        <v/>
      </c>
      <c r="C594" s="3">
        <f>SUMIFS(df_extrato_zig!E:E,df_extrato_zig!L:L,Conciliacao!A594,df_extrato_zig!F:F,"DINHEIRO")</f>
        <v/>
      </c>
      <c r="D594" s="3">
        <f>SUMIFS(view_parc_agrup!H:H,view_parc_agrup!G:G,Conciliacao!A594)</f>
        <v/>
      </c>
      <c r="E594" s="3">
        <f>SUMIFS(df_eventos!F:F,df_eventos!H:H,Conciliacao!A594)</f>
        <v/>
      </c>
      <c r="F594" s="3">
        <f>SUMIFS(df_mutuos!M:M,df_mutuos!B:B,Conciliacao!A594)</f>
        <v/>
      </c>
      <c r="G594" s="6">
        <f>SUMIFS(df_bloqueios_judiciais!G:G,df_bloqueios_judiciais!D:D,Conciliacao!A594,df_bloqueios_judiciais!G:G,"&gt;0")</f>
        <v/>
      </c>
      <c r="H594" s="7">
        <f>SUMIFS(df_extratos!I:I,df_extratos!F:F,Conciliacao!BE594,df_extratos!G:G,"CREDITO")+SUMIFS(df_extratos!I:I,df_extratos!F:F,Conciliacao!A594,df_extratos!G:G,"CREDITO")+SUMIFS(df_extratos!I:I,df_extratos!F:F,Conciliacao!BF594,df_extratos!G:G,"CREDITO")+SUMIFS(df_extratos!I:I,df_extratos!F:F,Conciliacao!BG594,df_extratos!G:G,"CREDITO")+SUMIFS(df_extratos!I:I,df_extratos!F:F,Conciliacao!BH594,df_extratos!G:G,"CREDITO")</f>
        <v/>
      </c>
      <c r="I594" s="9">
        <f>H594-SUM(B594:G594)</f>
        <v/>
      </c>
      <c r="J594" s="4">
        <f>SUMIFS(df_blueme_sem_parcelamento!E:E,df_blueme_sem_parcelamento!H:H,Conciliacao!A594)*(-1)</f>
        <v/>
      </c>
      <c r="K594" s="4">
        <f>SUMIFS(df_blueme_com_parcelamento!J:J,df_blueme_com_parcelamento!M:M,Conciliacao!A594)*(-1)</f>
        <v/>
      </c>
      <c r="L594" s="4">
        <f>SUMIFS(df_mutuos!N:N,df_mutuos!B:B,Conciliacao!A594)*(-1)</f>
        <v/>
      </c>
      <c r="M594" s="8">
        <f>SUMIFS(df_bloqueios_judiciais!G:G,df_bloqueios_judiciais!D:D,Conciliacao!A594,df_bloqueios_judiciais!G:G,"&lt;0")</f>
        <v/>
      </c>
      <c r="N594" s="10">
        <f>SUMIFS(df_extratos!I:I,df_extratos!F:F,Conciliacao!BE594,df_extratos!G:G,"DEBITO")+SUMIFS(df_extratos!I:I,df_extratos!F:F,Conciliacao!A594,df_extratos!G:G,"DEBITO")+SUMIFS(df_extratos!I:I,df_extratos!F:F,Conciliacao!BF594,df_extratos!G:G,"DEBITO")+SUMIFS(df_extratos!I:I,df_extratos!F:F,Conciliacao!BG594,df_extratos!G:G,"DEBITO")+SUMIFS(df_extratos!I:I,df_extratos!F:F,Conciliacao!BH594,df_extratos!G:G,"DEBITO")</f>
        <v/>
      </c>
      <c r="O594" s="11">
        <f>N594-SUM(J594:M594)</f>
        <v/>
      </c>
      <c r="P594" s="25">
        <f>SUMIFS(df_ajustes_conciliaco!D:D,df_ajustes_conciliaco!C:C,Conciliacao!A594)</f>
        <v/>
      </c>
      <c r="Q594" s="22">
        <f>O594+I594-P594</f>
        <v/>
      </c>
      <c r="BE594" s="20" t="n">
        <v>46250.5</v>
      </c>
      <c r="BF594" s="20" t="n">
        <v>46250.125</v>
      </c>
      <c r="BG594" s="20" t="n">
        <v>46250.5416666088</v>
      </c>
      <c r="BH594" s="20" t="n">
        <v>46250.625</v>
      </c>
    </row>
    <row r="595">
      <c r="A595" s="5">
        <f>A594+1</f>
        <v/>
      </c>
      <c r="B595" s="3">
        <f>-SUMIFS(df_extrato_zig!G:G,df_extrato_zig!E:E,Conciliacao!A595,df_extrato_zig!D:D,"Saque")-SUMIFS(df_extrato_zig!G:G,df_extrato_zig!E:E,Conciliacao!A595,df_extrato_zig!D:D,"Antecipação")</f>
        <v/>
      </c>
      <c r="C595" s="3">
        <f>SUMIFS(df_extrato_zig!E:E,df_extrato_zig!L:L,Conciliacao!A595,df_extrato_zig!F:F,"DINHEIRO")</f>
        <v/>
      </c>
      <c r="D595" s="3">
        <f>SUMIFS(view_parc_agrup!H:H,view_parc_agrup!G:G,Conciliacao!A595)</f>
        <v/>
      </c>
      <c r="E595" s="3">
        <f>SUMIFS(df_eventos!F:F,df_eventos!H:H,Conciliacao!A595)</f>
        <v/>
      </c>
      <c r="F595" s="3">
        <f>SUMIFS(df_mutuos!M:M,df_mutuos!B:B,Conciliacao!A595)</f>
        <v/>
      </c>
      <c r="G595" s="6">
        <f>SUMIFS(df_bloqueios_judiciais!G:G,df_bloqueios_judiciais!D:D,Conciliacao!A595,df_bloqueios_judiciais!G:G,"&gt;0")</f>
        <v/>
      </c>
      <c r="H595" s="7">
        <f>SUMIFS(df_extratos!I:I,df_extratos!F:F,Conciliacao!BE595,df_extratos!G:G,"CREDITO")+SUMIFS(df_extratos!I:I,df_extratos!F:F,Conciliacao!A595,df_extratos!G:G,"CREDITO")+SUMIFS(df_extratos!I:I,df_extratos!F:F,Conciliacao!BF595,df_extratos!G:G,"CREDITO")+SUMIFS(df_extratos!I:I,df_extratos!F:F,Conciliacao!BG595,df_extratos!G:G,"CREDITO")+SUMIFS(df_extratos!I:I,df_extratos!F:F,Conciliacao!BH595,df_extratos!G:G,"CREDITO")</f>
        <v/>
      </c>
      <c r="I595" s="9">
        <f>H595-SUM(B595:G595)</f>
        <v/>
      </c>
      <c r="J595" s="4">
        <f>SUMIFS(df_blueme_sem_parcelamento!E:E,df_blueme_sem_parcelamento!H:H,Conciliacao!A595)*(-1)</f>
        <v/>
      </c>
      <c r="K595" s="4">
        <f>SUMIFS(df_blueme_com_parcelamento!J:J,df_blueme_com_parcelamento!M:M,Conciliacao!A595)*(-1)</f>
        <v/>
      </c>
      <c r="L595" s="4">
        <f>SUMIFS(df_mutuos!N:N,df_mutuos!B:B,Conciliacao!A595)*(-1)</f>
        <v/>
      </c>
      <c r="M595" s="8">
        <f>SUMIFS(df_bloqueios_judiciais!G:G,df_bloqueios_judiciais!D:D,Conciliacao!A595,df_bloqueios_judiciais!G:G,"&lt;0")</f>
        <v/>
      </c>
      <c r="N595" s="10">
        <f>SUMIFS(df_extratos!I:I,df_extratos!F:F,Conciliacao!BE595,df_extratos!G:G,"DEBITO")+SUMIFS(df_extratos!I:I,df_extratos!F:F,Conciliacao!A595,df_extratos!G:G,"DEBITO")+SUMIFS(df_extratos!I:I,df_extratos!F:F,Conciliacao!BF595,df_extratos!G:G,"DEBITO")+SUMIFS(df_extratos!I:I,df_extratos!F:F,Conciliacao!BG595,df_extratos!G:G,"DEBITO")+SUMIFS(df_extratos!I:I,df_extratos!F:F,Conciliacao!BH595,df_extratos!G:G,"DEBITO")</f>
        <v/>
      </c>
      <c r="O595" s="11">
        <f>N595-SUM(J595:M595)</f>
        <v/>
      </c>
      <c r="P595" s="25">
        <f>SUMIFS(df_ajustes_conciliaco!D:D,df_ajustes_conciliaco!C:C,Conciliacao!A595)</f>
        <v/>
      </c>
      <c r="Q595" s="22">
        <f>O595+I595-P595</f>
        <v/>
      </c>
      <c r="BE595" s="20" t="n">
        <v>46251.5</v>
      </c>
      <c r="BF595" s="20" t="n">
        <v>46251.125</v>
      </c>
      <c r="BG595" s="20" t="n">
        <v>46251.5416666088</v>
      </c>
      <c r="BH595" s="20" t="n">
        <v>46251.625</v>
      </c>
    </row>
    <row r="596">
      <c r="A596" s="5">
        <f>A595+1</f>
        <v/>
      </c>
      <c r="B596" s="3">
        <f>-SUMIFS(df_extrato_zig!G:G,df_extrato_zig!E:E,Conciliacao!A596,df_extrato_zig!D:D,"Saque")-SUMIFS(df_extrato_zig!G:G,df_extrato_zig!E:E,Conciliacao!A596,df_extrato_zig!D:D,"Antecipação")</f>
        <v/>
      </c>
      <c r="C596" s="3">
        <f>SUMIFS(df_extrato_zig!E:E,df_extrato_zig!L:L,Conciliacao!A596,df_extrato_zig!F:F,"DINHEIRO")</f>
        <v/>
      </c>
      <c r="D596" s="3">
        <f>SUMIFS(view_parc_agrup!H:H,view_parc_agrup!G:G,Conciliacao!A596)</f>
        <v/>
      </c>
      <c r="E596" s="3">
        <f>SUMIFS(df_eventos!F:F,df_eventos!H:H,Conciliacao!A596)</f>
        <v/>
      </c>
      <c r="F596" s="3">
        <f>SUMIFS(df_mutuos!M:M,df_mutuos!B:B,Conciliacao!A596)</f>
        <v/>
      </c>
      <c r="G596" s="6">
        <f>SUMIFS(df_bloqueios_judiciais!G:G,df_bloqueios_judiciais!D:D,Conciliacao!A596,df_bloqueios_judiciais!G:G,"&gt;0")</f>
        <v/>
      </c>
      <c r="H596" s="7">
        <f>SUMIFS(df_extratos!I:I,df_extratos!F:F,Conciliacao!BE596,df_extratos!G:G,"CREDITO")+SUMIFS(df_extratos!I:I,df_extratos!F:F,Conciliacao!A596,df_extratos!G:G,"CREDITO")+SUMIFS(df_extratos!I:I,df_extratos!F:F,Conciliacao!BF596,df_extratos!G:G,"CREDITO")+SUMIFS(df_extratos!I:I,df_extratos!F:F,Conciliacao!BG596,df_extratos!G:G,"CREDITO")+SUMIFS(df_extratos!I:I,df_extratos!F:F,Conciliacao!BH596,df_extratos!G:G,"CREDITO")</f>
        <v/>
      </c>
      <c r="I596" s="9">
        <f>H596-SUM(B596:G596)</f>
        <v/>
      </c>
      <c r="J596" s="4">
        <f>SUMIFS(df_blueme_sem_parcelamento!E:E,df_blueme_sem_parcelamento!H:H,Conciliacao!A596)*(-1)</f>
        <v/>
      </c>
      <c r="K596" s="4">
        <f>SUMIFS(df_blueme_com_parcelamento!J:J,df_blueme_com_parcelamento!M:M,Conciliacao!A596)*(-1)</f>
        <v/>
      </c>
      <c r="L596" s="4">
        <f>SUMIFS(df_mutuos!N:N,df_mutuos!B:B,Conciliacao!A596)*(-1)</f>
        <v/>
      </c>
      <c r="M596" s="8">
        <f>SUMIFS(df_bloqueios_judiciais!G:G,df_bloqueios_judiciais!D:D,Conciliacao!A596,df_bloqueios_judiciais!G:G,"&lt;0")</f>
        <v/>
      </c>
      <c r="N596" s="10">
        <f>SUMIFS(df_extratos!I:I,df_extratos!F:F,Conciliacao!BE596,df_extratos!G:G,"DEBITO")+SUMIFS(df_extratos!I:I,df_extratos!F:F,Conciliacao!A596,df_extratos!G:G,"DEBITO")+SUMIFS(df_extratos!I:I,df_extratos!F:F,Conciliacao!BF596,df_extratos!G:G,"DEBITO")+SUMIFS(df_extratos!I:I,df_extratos!F:F,Conciliacao!BG596,df_extratos!G:G,"DEBITO")+SUMIFS(df_extratos!I:I,df_extratos!F:F,Conciliacao!BH596,df_extratos!G:G,"DEBITO")</f>
        <v/>
      </c>
      <c r="O596" s="11">
        <f>N596-SUM(J596:M596)</f>
        <v/>
      </c>
      <c r="P596" s="25">
        <f>SUMIFS(df_ajustes_conciliaco!D:D,df_ajustes_conciliaco!C:C,Conciliacao!A596)</f>
        <v/>
      </c>
      <c r="Q596" s="22">
        <f>O596+I596-P596</f>
        <v/>
      </c>
      <c r="BE596" s="20" t="n">
        <v>46252.5</v>
      </c>
      <c r="BF596" s="20" t="n">
        <v>46252.125</v>
      </c>
      <c r="BG596" s="20" t="n">
        <v>46252.5416666088</v>
      </c>
      <c r="BH596" s="20" t="n">
        <v>46252.625</v>
      </c>
    </row>
    <row r="597">
      <c r="A597" s="5">
        <f>A596+1</f>
        <v/>
      </c>
      <c r="B597" s="3">
        <f>-SUMIFS(df_extrato_zig!G:G,df_extrato_zig!E:E,Conciliacao!A597,df_extrato_zig!D:D,"Saque")-SUMIFS(df_extrato_zig!G:G,df_extrato_zig!E:E,Conciliacao!A597,df_extrato_zig!D:D,"Antecipação")</f>
        <v/>
      </c>
      <c r="C597" s="3">
        <f>SUMIFS(df_extrato_zig!E:E,df_extrato_zig!L:L,Conciliacao!A597,df_extrato_zig!F:F,"DINHEIRO")</f>
        <v/>
      </c>
      <c r="D597" s="3">
        <f>SUMIFS(view_parc_agrup!H:H,view_parc_agrup!G:G,Conciliacao!A597)</f>
        <v/>
      </c>
      <c r="E597" s="3">
        <f>SUMIFS(df_eventos!F:F,df_eventos!H:H,Conciliacao!A597)</f>
        <v/>
      </c>
      <c r="F597" s="3">
        <f>SUMIFS(df_mutuos!M:M,df_mutuos!B:B,Conciliacao!A597)</f>
        <v/>
      </c>
      <c r="G597" s="6">
        <f>SUMIFS(df_bloqueios_judiciais!G:G,df_bloqueios_judiciais!D:D,Conciliacao!A597,df_bloqueios_judiciais!G:G,"&gt;0")</f>
        <v/>
      </c>
      <c r="H597" s="7">
        <f>SUMIFS(df_extratos!I:I,df_extratos!F:F,Conciliacao!BE597,df_extratos!G:G,"CREDITO")+SUMIFS(df_extratos!I:I,df_extratos!F:F,Conciliacao!A597,df_extratos!G:G,"CREDITO")+SUMIFS(df_extratos!I:I,df_extratos!F:F,Conciliacao!BF597,df_extratos!G:G,"CREDITO")+SUMIFS(df_extratos!I:I,df_extratos!F:F,Conciliacao!BG597,df_extratos!G:G,"CREDITO")+SUMIFS(df_extratos!I:I,df_extratos!F:F,Conciliacao!BH597,df_extratos!G:G,"CREDITO")</f>
        <v/>
      </c>
      <c r="I597" s="9">
        <f>H597-SUM(B597:G597)</f>
        <v/>
      </c>
      <c r="J597" s="4">
        <f>SUMIFS(df_blueme_sem_parcelamento!E:E,df_blueme_sem_parcelamento!H:H,Conciliacao!A597)*(-1)</f>
        <v/>
      </c>
      <c r="K597" s="4">
        <f>SUMIFS(df_blueme_com_parcelamento!J:J,df_blueme_com_parcelamento!M:M,Conciliacao!A597)*(-1)</f>
        <v/>
      </c>
      <c r="L597" s="4">
        <f>SUMIFS(df_mutuos!N:N,df_mutuos!B:B,Conciliacao!A597)*(-1)</f>
        <v/>
      </c>
      <c r="M597" s="8">
        <f>SUMIFS(df_bloqueios_judiciais!G:G,df_bloqueios_judiciais!D:D,Conciliacao!A597,df_bloqueios_judiciais!G:G,"&lt;0")</f>
        <v/>
      </c>
      <c r="N597" s="10">
        <f>SUMIFS(df_extratos!I:I,df_extratos!F:F,Conciliacao!BE597,df_extratos!G:G,"DEBITO")+SUMIFS(df_extratos!I:I,df_extratos!F:F,Conciliacao!A597,df_extratos!G:G,"DEBITO")+SUMIFS(df_extratos!I:I,df_extratos!F:F,Conciliacao!BF597,df_extratos!G:G,"DEBITO")+SUMIFS(df_extratos!I:I,df_extratos!F:F,Conciliacao!BG597,df_extratos!G:G,"DEBITO")+SUMIFS(df_extratos!I:I,df_extratos!F:F,Conciliacao!BH597,df_extratos!G:G,"DEBITO")</f>
        <v/>
      </c>
      <c r="O597" s="11">
        <f>N597-SUM(J597:M597)</f>
        <v/>
      </c>
      <c r="P597" s="25">
        <f>SUMIFS(df_ajustes_conciliaco!D:D,df_ajustes_conciliaco!C:C,Conciliacao!A597)</f>
        <v/>
      </c>
      <c r="Q597" s="22">
        <f>O597+I597-P597</f>
        <v/>
      </c>
      <c r="BE597" s="20" t="n">
        <v>46253.5</v>
      </c>
      <c r="BF597" s="20" t="n">
        <v>46253.125</v>
      </c>
      <c r="BG597" s="20" t="n">
        <v>46253.5416666088</v>
      </c>
      <c r="BH597" s="20" t="n">
        <v>46253.625</v>
      </c>
    </row>
    <row r="598">
      <c r="A598" s="5">
        <f>A597+1</f>
        <v/>
      </c>
      <c r="B598" s="3">
        <f>-SUMIFS(df_extrato_zig!G:G,df_extrato_zig!E:E,Conciliacao!A598,df_extrato_zig!D:D,"Saque")-SUMIFS(df_extrato_zig!G:G,df_extrato_zig!E:E,Conciliacao!A598,df_extrato_zig!D:D,"Antecipação")</f>
        <v/>
      </c>
      <c r="C598" s="3">
        <f>SUMIFS(df_extrato_zig!E:E,df_extrato_zig!L:L,Conciliacao!A598,df_extrato_zig!F:F,"DINHEIRO")</f>
        <v/>
      </c>
      <c r="D598" s="3">
        <f>SUMIFS(view_parc_agrup!H:H,view_parc_agrup!G:G,Conciliacao!A598)</f>
        <v/>
      </c>
      <c r="E598" s="3">
        <f>SUMIFS(df_eventos!F:F,df_eventos!H:H,Conciliacao!A598)</f>
        <v/>
      </c>
      <c r="F598" s="3">
        <f>SUMIFS(df_mutuos!M:M,df_mutuos!B:B,Conciliacao!A598)</f>
        <v/>
      </c>
      <c r="G598" s="6">
        <f>SUMIFS(df_bloqueios_judiciais!G:G,df_bloqueios_judiciais!D:D,Conciliacao!A598,df_bloqueios_judiciais!G:G,"&gt;0")</f>
        <v/>
      </c>
      <c r="H598" s="7">
        <f>SUMIFS(df_extratos!I:I,df_extratos!F:F,Conciliacao!BE598,df_extratos!G:G,"CREDITO")+SUMIFS(df_extratos!I:I,df_extratos!F:F,Conciliacao!A598,df_extratos!G:G,"CREDITO")+SUMIFS(df_extratos!I:I,df_extratos!F:F,Conciliacao!BF598,df_extratos!G:G,"CREDITO")+SUMIFS(df_extratos!I:I,df_extratos!F:F,Conciliacao!BG598,df_extratos!G:G,"CREDITO")+SUMIFS(df_extratos!I:I,df_extratos!F:F,Conciliacao!BH598,df_extratos!G:G,"CREDITO")</f>
        <v/>
      </c>
      <c r="I598" s="9">
        <f>H598-SUM(B598:G598)</f>
        <v/>
      </c>
      <c r="J598" s="4">
        <f>SUMIFS(df_blueme_sem_parcelamento!E:E,df_blueme_sem_parcelamento!H:H,Conciliacao!A598)*(-1)</f>
        <v/>
      </c>
      <c r="K598" s="4">
        <f>SUMIFS(df_blueme_com_parcelamento!J:J,df_blueme_com_parcelamento!M:M,Conciliacao!A598)*(-1)</f>
        <v/>
      </c>
      <c r="L598" s="4">
        <f>SUMIFS(df_mutuos!N:N,df_mutuos!B:B,Conciliacao!A598)*(-1)</f>
        <v/>
      </c>
      <c r="M598" s="8">
        <f>SUMIFS(df_bloqueios_judiciais!G:G,df_bloqueios_judiciais!D:D,Conciliacao!A598,df_bloqueios_judiciais!G:G,"&lt;0")</f>
        <v/>
      </c>
      <c r="N598" s="10">
        <f>SUMIFS(df_extratos!I:I,df_extratos!F:F,Conciliacao!BE598,df_extratos!G:G,"DEBITO")+SUMIFS(df_extratos!I:I,df_extratos!F:F,Conciliacao!A598,df_extratos!G:G,"DEBITO")+SUMIFS(df_extratos!I:I,df_extratos!F:F,Conciliacao!BF598,df_extratos!G:G,"DEBITO")+SUMIFS(df_extratos!I:I,df_extratos!F:F,Conciliacao!BG598,df_extratos!G:G,"DEBITO")+SUMIFS(df_extratos!I:I,df_extratos!F:F,Conciliacao!BH598,df_extratos!G:G,"DEBITO")</f>
        <v/>
      </c>
      <c r="O598" s="11">
        <f>N598-SUM(J598:M598)</f>
        <v/>
      </c>
      <c r="P598" s="25">
        <f>SUMIFS(df_ajustes_conciliaco!D:D,df_ajustes_conciliaco!C:C,Conciliacao!A598)</f>
        <v/>
      </c>
      <c r="Q598" s="22">
        <f>O598+I598-P598</f>
        <v/>
      </c>
      <c r="BE598" s="20" t="n">
        <v>46254.5</v>
      </c>
      <c r="BF598" s="20" t="n">
        <v>46254.125</v>
      </c>
      <c r="BG598" s="20" t="n">
        <v>46254.5416666088</v>
      </c>
      <c r="BH598" s="20" t="n">
        <v>46254.625</v>
      </c>
    </row>
    <row r="599">
      <c r="A599" s="5">
        <f>A598+1</f>
        <v/>
      </c>
      <c r="B599" s="3">
        <f>-SUMIFS(df_extrato_zig!G:G,df_extrato_zig!E:E,Conciliacao!A599,df_extrato_zig!D:D,"Saque")-SUMIFS(df_extrato_zig!G:G,df_extrato_zig!E:E,Conciliacao!A599,df_extrato_zig!D:D,"Antecipação")</f>
        <v/>
      </c>
      <c r="C599" s="3">
        <f>SUMIFS(df_extrato_zig!E:E,df_extrato_zig!L:L,Conciliacao!A599,df_extrato_zig!F:F,"DINHEIRO")</f>
        <v/>
      </c>
      <c r="D599" s="3">
        <f>SUMIFS(view_parc_agrup!H:H,view_parc_agrup!G:G,Conciliacao!A599)</f>
        <v/>
      </c>
      <c r="E599" s="3">
        <f>SUMIFS(df_eventos!F:F,df_eventos!H:H,Conciliacao!A599)</f>
        <v/>
      </c>
      <c r="F599" s="3">
        <f>SUMIFS(df_mutuos!M:M,df_mutuos!B:B,Conciliacao!A599)</f>
        <v/>
      </c>
      <c r="G599" s="6">
        <f>SUMIFS(df_bloqueios_judiciais!G:G,df_bloqueios_judiciais!D:D,Conciliacao!A599,df_bloqueios_judiciais!G:G,"&gt;0")</f>
        <v/>
      </c>
      <c r="H599" s="7">
        <f>SUMIFS(df_extratos!I:I,df_extratos!F:F,Conciliacao!BE599,df_extratos!G:G,"CREDITO")+SUMIFS(df_extratos!I:I,df_extratos!F:F,Conciliacao!A599,df_extratos!G:G,"CREDITO")+SUMIFS(df_extratos!I:I,df_extratos!F:F,Conciliacao!BF599,df_extratos!G:G,"CREDITO")+SUMIFS(df_extratos!I:I,df_extratos!F:F,Conciliacao!BG599,df_extratos!G:G,"CREDITO")+SUMIFS(df_extratos!I:I,df_extratos!F:F,Conciliacao!BH599,df_extratos!G:G,"CREDITO")</f>
        <v/>
      </c>
      <c r="I599" s="9">
        <f>H599-SUM(B599:G599)</f>
        <v/>
      </c>
      <c r="J599" s="4">
        <f>SUMIFS(df_blueme_sem_parcelamento!E:E,df_blueme_sem_parcelamento!H:H,Conciliacao!A599)*(-1)</f>
        <v/>
      </c>
      <c r="K599" s="4">
        <f>SUMIFS(df_blueme_com_parcelamento!J:J,df_blueme_com_parcelamento!M:M,Conciliacao!A599)*(-1)</f>
        <v/>
      </c>
      <c r="L599" s="4">
        <f>SUMIFS(df_mutuos!N:N,df_mutuos!B:B,Conciliacao!A599)*(-1)</f>
        <v/>
      </c>
      <c r="M599" s="8">
        <f>SUMIFS(df_bloqueios_judiciais!G:G,df_bloqueios_judiciais!D:D,Conciliacao!A599,df_bloqueios_judiciais!G:G,"&lt;0")</f>
        <v/>
      </c>
      <c r="N599" s="10">
        <f>SUMIFS(df_extratos!I:I,df_extratos!F:F,Conciliacao!BE599,df_extratos!G:G,"DEBITO")+SUMIFS(df_extratos!I:I,df_extratos!F:F,Conciliacao!A599,df_extratos!G:G,"DEBITO")+SUMIFS(df_extratos!I:I,df_extratos!F:F,Conciliacao!BF599,df_extratos!G:G,"DEBITO")+SUMIFS(df_extratos!I:I,df_extratos!F:F,Conciliacao!BG599,df_extratos!G:G,"DEBITO")+SUMIFS(df_extratos!I:I,df_extratos!F:F,Conciliacao!BH599,df_extratos!G:G,"DEBITO")</f>
        <v/>
      </c>
      <c r="O599" s="11">
        <f>N599-SUM(J599:M599)</f>
        <v/>
      </c>
      <c r="P599" s="25">
        <f>SUMIFS(df_ajustes_conciliaco!D:D,df_ajustes_conciliaco!C:C,Conciliacao!A599)</f>
        <v/>
      </c>
      <c r="Q599" s="22">
        <f>O599+I599-P599</f>
        <v/>
      </c>
      <c r="BE599" s="20" t="n">
        <v>46255.5</v>
      </c>
      <c r="BF599" s="20" t="n">
        <v>46255.125</v>
      </c>
      <c r="BG599" s="20" t="n">
        <v>46255.5416666088</v>
      </c>
      <c r="BH599" s="20" t="n">
        <v>46255.625</v>
      </c>
    </row>
    <row r="600">
      <c r="A600" s="5">
        <f>A599+1</f>
        <v/>
      </c>
      <c r="B600" s="3">
        <f>-SUMIFS(df_extrato_zig!G:G,df_extrato_zig!E:E,Conciliacao!A600,df_extrato_zig!D:D,"Saque")-SUMIFS(df_extrato_zig!G:G,df_extrato_zig!E:E,Conciliacao!A600,df_extrato_zig!D:D,"Antecipação")</f>
        <v/>
      </c>
      <c r="C600" s="3">
        <f>SUMIFS(df_extrato_zig!E:E,df_extrato_zig!L:L,Conciliacao!A600,df_extrato_zig!F:F,"DINHEIRO")</f>
        <v/>
      </c>
      <c r="D600" s="3">
        <f>SUMIFS(view_parc_agrup!H:H,view_parc_agrup!G:G,Conciliacao!A600)</f>
        <v/>
      </c>
      <c r="E600" s="3">
        <f>SUMIFS(df_eventos!F:F,df_eventos!H:H,Conciliacao!A600)</f>
        <v/>
      </c>
      <c r="F600" s="3">
        <f>SUMIFS(df_mutuos!M:M,df_mutuos!B:B,Conciliacao!A600)</f>
        <v/>
      </c>
      <c r="G600" s="6">
        <f>SUMIFS(df_bloqueios_judiciais!G:G,df_bloqueios_judiciais!D:D,Conciliacao!A600,df_bloqueios_judiciais!G:G,"&gt;0")</f>
        <v/>
      </c>
      <c r="H600" s="7">
        <f>SUMIFS(df_extratos!I:I,df_extratos!F:F,Conciliacao!BE600,df_extratos!G:G,"CREDITO")+SUMIFS(df_extratos!I:I,df_extratos!F:F,Conciliacao!A600,df_extratos!G:G,"CREDITO")+SUMIFS(df_extratos!I:I,df_extratos!F:F,Conciliacao!BF600,df_extratos!G:G,"CREDITO")+SUMIFS(df_extratos!I:I,df_extratos!F:F,Conciliacao!BG600,df_extratos!G:G,"CREDITO")+SUMIFS(df_extratos!I:I,df_extratos!F:F,Conciliacao!BH600,df_extratos!G:G,"CREDITO")</f>
        <v/>
      </c>
      <c r="I600" s="9">
        <f>H600-SUM(B600:G600)</f>
        <v/>
      </c>
      <c r="J600" s="4">
        <f>SUMIFS(df_blueme_sem_parcelamento!E:E,df_blueme_sem_parcelamento!H:H,Conciliacao!A600)*(-1)</f>
        <v/>
      </c>
      <c r="K600" s="4">
        <f>SUMIFS(df_blueme_com_parcelamento!J:J,df_blueme_com_parcelamento!M:M,Conciliacao!A600)*(-1)</f>
        <v/>
      </c>
      <c r="L600" s="4">
        <f>SUMIFS(df_mutuos!N:N,df_mutuos!B:B,Conciliacao!A600)*(-1)</f>
        <v/>
      </c>
      <c r="M600" s="8">
        <f>SUMIFS(df_bloqueios_judiciais!G:G,df_bloqueios_judiciais!D:D,Conciliacao!A600,df_bloqueios_judiciais!G:G,"&lt;0")</f>
        <v/>
      </c>
      <c r="N600" s="10">
        <f>SUMIFS(df_extratos!I:I,df_extratos!F:F,Conciliacao!BE600,df_extratos!G:G,"DEBITO")+SUMIFS(df_extratos!I:I,df_extratos!F:F,Conciliacao!A600,df_extratos!G:G,"DEBITO")+SUMIFS(df_extratos!I:I,df_extratos!F:F,Conciliacao!BF600,df_extratos!G:G,"DEBITO")+SUMIFS(df_extratos!I:I,df_extratos!F:F,Conciliacao!BG600,df_extratos!G:G,"DEBITO")+SUMIFS(df_extratos!I:I,df_extratos!F:F,Conciliacao!BH600,df_extratos!G:G,"DEBITO")</f>
        <v/>
      </c>
      <c r="O600" s="11">
        <f>N600-SUM(J600:M600)</f>
        <v/>
      </c>
      <c r="P600" s="25">
        <f>SUMIFS(df_ajustes_conciliaco!D:D,df_ajustes_conciliaco!C:C,Conciliacao!A600)</f>
        <v/>
      </c>
      <c r="Q600" s="22">
        <f>O600+I600-P600</f>
        <v/>
      </c>
      <c r="BE600" s="20" t="n">
        <v>46256.5</v>
      </c>
      <c r="BF600" s="20" t="n">
        <v>46256.125</v>
      </c>
      <c r="BG600" s="20" t="n">
        <v>46256.5416666088</v>
      </c>
      <c r="BH600" s="20" t="n">
        <v>46256.625</v>
      </c>
    </row>
    <row r="601">
      <c r="A601" s="5">
        <f>A600+1</f>
        <v/>
      </c>
      <c r="B601" s="3">
        <f>-SUMIFS(df_extrato_zig!G:G,df_extrato_zig!E:E,Conciliacao!A601,df_extrato_zig!D:D,"Saque")-SUMIFS(df_extrato_zig!G:G,df_extrato_zig!E:E,Conciliacao!A601,df_extrato_zig!D:D,"Antecipação")</f>
        <v/>
      </c>
      <c r="C601" s="3">
        <f>SUMIFS(df_extrato_zig!E:E,df_extrato_zig!L:L,Conciliacao!A601,df_extrato_zig!F:F,"DINHEIRO")</f>
        <v/>
      </c>
      <c r="D601" s="3">
        <f>SUMIFS(view_parc_agrup!H:H,view_parc_agrup!G:G,Conciliacao!A601)</f>
        <v/>
      </c>
      <c r="E601" s="3">
        <f>SUMIFS(df_eventos!F:F,df_eventos!H:H,Conciliacao!A601)</f>
        <v/>
      </c>
      <c r="F601" s="3">
        <f>SUMIFS(df_mutuos!M:M,df_mutuos!B:B,Conciliacao!A601)</f>
        <v/>
      </c>
      <c r="G601" s="6">
        <f>SUMIFS(df_bloqueios_judiciais!G:G,df_bloqueios_judiciais!D:D,Conciliacao!A601,df_bloqueios_judiciais!G:G,"&gt;0")</f>
        <v/>
      </c>
      <c r="H601" s="7">
        <f>SUMIFS(df_extratos!I:I,df_extratos!F:F,Conciliacao!BE601,df_extratos!G:G,"CREDITO")+SUMIFS(df_extratos!I:I,df_extratos!F:F,Conciliacao!A601,df_extratos!G:G,"CREDITO")+SUMIFS(df_extratos!I:I,df_extratos!F:F,Conciliacao!BF601,df_extratos!G:G,"CREDITO")+SUMIFS(df_extratos!I:I,df_extratos!F:F,Conciliacao!BG601,df_extratos!G:G,"CREDITO")+SUMIFS(df_extratos!I:I,df_extratos!F:F,Conciliacao!BH601,df_extratos!G:G,"CREDITO")</f>
        <v/>
      </c>
      <c r="I601" s="9">
        <f>H601-SUM(B601:G601)</f>
        <v/>
      </c>
      <c r="J601" s="4">
        <f>SUMIFS(df_blueme_sem_parcelamento!E:E,df_blueme_sem_parcelamento!H:H,Conciliacao!A601)*(-1)</f>
        <v/>
      </c>
      <c r="K601" s="4">
        <f>SUMIFS(df_blueme_com_parcelamento!J:J,df_blueme_com_parcelamento!M:M,Conciliacao!A601)*(-1)</f>
        <v/>
      </c>
      <c r="L601" s="4">
        <f>SUMIFS(df_mutuos!N:N,df_mutuos!B:B,Conciliacao!A601)*(-1)</f>
        <v/>
      </c>
      <c r="M601" s="8">
        <f>SUMIFS(df_bloqueios_judiciais!G:G,df_bloqueios_judiciais!D:D,Conciliacao!A601,df_bloqueios_judiciais!G:G,"&lt;0")</f>
        <v/>
      </c>
      <c r="N601" s="10">
        <f>SUMIFS(df_extratos!I:I,df_extratos!F:F,Conciliacao!BE601,df_extratos!G:G,"DEBITO")+SUMIFS(df_extratos!I:I,df_extratos!F:F,Conciliacao!A601,df_extratos!G:G,"DEBITO")+SUMIFS(df_extratos!I:I,df_extratos!F:F,Conciliacao!BF601,df_extratos!G:G,"DEBITO")+SUMIFS(df_extratos!I:I,df_extratos!F:F,Conciliacao!BG601,df_extratos!G:G,"DEBITO")+SUMIFS(df_extratos!I:I,df_extratos!F:F,Conciliacao!BH601,df_extratos!G:G,"DEBITO")</f>
        <v/>
      </c>
      <c r="O601" s="11">
        <f>N601-SUM(J601:M601)</f>
        <v/>
      </c>
      <c r="P601" s="25">
        <f>SUMIFS(df_ajustes_conciliaco!D:D,df_ajustes_conciliaco!C:C,Conciliacao!A601)</f>
        <v/>
      </c>
      <c r="Q601" s="22">
        <f>O601+I601-P601</f>
        <v/>
      </c>
      <c r="BE601" s="20" t="n">
        <v>46257.5</v>
      </c>
      <c r="BF601" s="20" t="n">
        <v>46257.125</v>
      </c>
      <c r="BG601" s="20" t="n">
        <v>46257.5416666088</v>
      </c>
      <c r="BH601" s="20" t="n">
        <v>46257.625</v>
      </c>
    </row>
    <row r="602">
      <c r="A602" s="5">
        <f>A601+1</f>
        <v/>
      </c>
      <c r="B602" s="3">
        <f>-SUMIFS(df_extrato_zig!G:G,df_extrato_zig!E:E,Conciliacao!A602,df_extrato_zig!D:D,"Saque")-SUMIFS(df_extrato_zig!G:G,df_extrato_zig!E:E,Conciliacao!A602,df_extrato_zig!D:D,"Antecipação")</f>
        <v/>
      </c>
      <c r="C602" s="3">
        <f>SUMIFS(df_extrato_zig!E:E,df_extrato_zig!L:L,Conciliacao!A602,df_extrato_zig!F:F,"DINHEIRO")</f>
        <v/>
      </c>
      <c r="D602" s="3">
        <f>SUMIFS(view_parc_agrup!H:H,view_parc_agrup!G:G,Conciliacao!A602)</f>
        <v/>
      </c>
      <c r="E602" s="3">
        <f>SUMIFS(df_eventos!F:F,df_eventos!H:H,Conciliacao!A602)</f>
        <v/>
      </c>
      <c r="F602" s="3">
        <f>SUMIFS(df_mutuos!M:M,df_mutuos!B:B,Conciliacao!A602)</f>
        <v/>
      </c>
      <c r="G602" s="6">
        <f>SUMIFS(df_bloqueios_judiciais!G:G,df_bloqueios_judiciais!D:D,Conciliacao!A602,df_bloqueios_judiciais!G:G,"&gt;0")</f>
        <v/>
      </c>
      <c r="H602" s="7">
        <f>SUMIFS(df_extratos!I:I,df_extratos!F:F,Conciliacao!BE602,df_extratos!G:G,"CREDITO")+SUMIFS(df_extratos!I:I,df_extratos!F:F,Conciliacao!A602,df_extratos!G:G,"CREDITO")+SUMIFS(df_extratos!I:I,df_extratos!F:F,Conciliacao!BF602,df_extratos!G:G,"CREDITO")+SUMIFS(df_extratos!I:I,df_extratos!F:F,Conciliacao!BG602,df_extratos!G:G,"CREDITO")+SUMIFS(df_extratos!I:I,df_extratos!F:F,Conciliacao!BH602,df_extratos!G:G,"CREDITO")</f>
        <v/>
      </c>
      <c r="I602" s="9">
        <f>H602-SUM(B602:G602)</f>
        <v/>
      </c>
      <c r="J602" s="4">
        <f>SUMIFS(df_blueme_sem_parcelamento!E:E,df_blueme_sem_parcelamento!H:H,Conciliacao!A602)*(-1)</f>
        <v/>
      </c>
      <c r="K602" s="4">
        <f>SUMIFS(df_blueme_com_parcelamento!J:J,df_blueme_com_parcelamento!M:M,Conciliacao!A602)*(-1)</f>
        <v/>
      </c>
      <c r="L602" s="4">
        <f>SUMIFS(df_mutuos!N:N,df_mutuos!B:B,Conciliacao!A602)*(-1)</f>
        <v/>
      </c>
      <c r="M602" s="8">
        <f>SUMIFS(df_bloqueios_judiciais!G:G,df_bloqueios_judiciais!D:D,Conciliacao!A602,df_bloqueios_judiciais!G:G,"&lt;0")</f>
        <v/>
      </c>
      <c r="N602" s="10">
        <f>SUMIFS(df_extratos!I:I,df_extratos!F:F,Conciliacao!BE602,df_extratos!G:G,"DEBITO")+SUMIFS(df_extratos!I:I,df_extratos!F:F,Conciliacao!A602,df_extratos!G:G,"DEBITO")+SUMIFS(df_extratos!I:I,df_extratos!F:F,Conciliacao!BF602,df_extratos!G:G,"DEBITO")+SUMIFS(df_extratos!I:I,df_extratos!F:F,Conciliacao!BG602,df_extratos!G:G,"DEBITO")+SUMIFS(df_extratos!I:I,df_extratos!F:F,Conciliacao!BH602,df_extratos!G:G,"DEBITO")</f>
        <v/>
      </c>
      <c r="O602" s="11">
        <f>N602-SUM(J602:M602)</f>
        <v/>
      </c>
      <c r="P602" s="25">
        <f>SUMIFS(df_ajustes_conciliaco!D:D,df_ajustes_conciliaco!C:C,Conciliacao!A602)</f>
        <v/>
      </c>
      <c r="Q602" s="22">
        <f>O602+I602-P602</f>
        <v/>
      </c>
      <c r="BE602" s="20" t="n">
        <v>46258.5</v>
      </c>
      <c r="BF602" s="20" t="n">
        <v>46258.125</v>
      </c>
      <c r="BG602" s="20" t="n">
        <v>46258.5416666088</v>
      </c>
      <c r="BH602" s="20" t="n">
        <v>46258.625</v>
      </c>
    </row>
    <row r="603">
      <c r="A603" s="5">
        <f>A602+1</f>
        <v/>
      </c>
      <c r="B603" s="3">
        <f>-SUMIFS(df_extrato_zig!G:G,df_extrato_zig!E:E,Conciliacao!A603,df_extrato_zig!D:D,"Saque")-SUMIFS(df_extrato_zig!G:G,df_extrato_zig!E:E,Conciliacao!A603,df_extrato_zig!D:D,"Antecipação")</f>
        <v/>
      </c>
      <c r="C603" s="3">
        <f>SUMIFS(df_extrato_zig!E:E,df_extrato_zig!L:L,Conciliacao!A603,df_extrato_zig!F:F,"DINHEIRO")</f>
        <v/>
      </c>
      <c r="D603" s="3">
        <f>SUMIFS(view_parc_agrup!H:H,view_parc_agrup!G:G,Conciliacao!A603)</f>
        <v/>
      </c>
      <c r="E603" s="3">
        <f>SUMIFS(df_eventos!F:F,df_eventos!H:H,Conciliacao!A603)</f>
        <v/>
      </c>
      <c r="F603" s="3">
        <f>SUMIFS(df_mutuos!M:M,df_mutuos!B:B,Conciliacao!A603)</f>
        <v/>
      </c>
      <c r="G603" s="6">
        <f>SUMIFS(df_bloqueios_judiciais!G:G,df_bloqueios_judiciais!D:D,Conciliacao!A603,df_bloqueios_judiciais!G:G,"&gt;0")</f>
        <v/>
      </c>
      <c r="H603" s="7">
        <f>SUMIFS(df_extratos!I:I,df_extratos!F:F,Conciliacao!BE603,df_extratos!G:G,"CREDITO")+SUMIFS(df_extratos!I:I,df_extratos!F:F,Conciliacao!A603,df_extratos!G:G,"CREDITO")+SUMIFS(df_extratos!I:I,df_extratos!F:F,Conciliacao!BF603,df_extratos!G:G,"CREDITO")+SUMIFS(df_extratos!I:I,df_extratos!F:F,Conciliacao!BG603,df_extratos!G:G,"CREDITO")+SUMIFS(df_extratos!I:I,df_extratos!F:F,Conciliacao!BH603,df_extratos!G:G,"CREDITO")</f>
        <v/>
      </c>
      <c r="I603" s="9">
        <f>H603-SUM(B603:G603)</f>
        <v/>
      </c>
      <c r="J603" s="4">
        <f>SUMIFS(df_blueme_sem_parcelamento!E:E,df_blueme_sem_parcelamento!H:H,Conciliacao!A603)*(-1)</f>
        <v/>
      </c>
      <c r="K603" s="4">
        <f>SUMIFS(df_blueme_com_parcelamento!J:J,df_blueme_com_parcelamento!M:M,Conciliacao!A603)*(-1)</f>
        <v/>
      </c>
      <c r="L603" s="4">
        <f>SUMIFS(df_mutuos!N:N,df_mutuos!B:B,Conciliacao!A603)*(-1)</f>
        <v/>
      </c>
      <c r="M603" s="8">
        <f>SUMIFS(df_bloqueios_judiciais!G:G,df_bloqueios_judiciais!D:D,Conciliacao!A603,df_bloqueios_judiciais!G:G,"&lt;0")</f>
        <v/>
      </c>
      <c r="N603" s="10">
        <f>SUMIFS(df_extratos!I:I,df_extratos!F:F,Conciliacao!BE603,df_extratos!G:G,"DEBITO")+SUMIFS(df_extratos!I:I,df_extratos!F:F,Conciliacao!A603,df_extratos!G:G,"DEBITO")+SUMIFS(df_extratos!I:I,df_extratos!F:F,Conciliacao!BF603,df_extratos!G:G,"DEBITO")+SUMIFS(df_extratos!I:I,df_extratos!F:F,Conciliacao!BG603,df_extratos!G:G,"DEBITO")+SUMIFS(df_extratos!I:I,df_extratos!F:F,Conciliacao!BH603,df_extratos!G:G,"DEBITO")</f>
        <v/>
      </c>
      <c r="O603" s="11">
        <f>N603-SUM(J603:M603)</f>
        <v/>
      </c>
      <c r="P603" s="25">
        <f>SUMIFS(df_ajustes_conciliaco!D:D,df_ajustes_conciliaco!C:C,Conciliacao!A603)</f>
        <v/>
      </c>
      <c r="Q603" s="22">
        <f>O603+I603-P603</f>
        <v/>
      </c>
      <c r="BE603" s="20" t="n">
        <v>46259.5</v>
      </c>
      <c r="BF603" s="20" t="n">
        <v>46259.125</v>
      </c>
      <c r="BG603" s="20" t="n">
        <v>46259.5416666088</v>
      </c>
      <c r="BH603" s="20" t="n">
        <v>46259.625</v>
      </c>
    </row>
    <row r="604">
      <c r="A604" s="5">
        <f>A603+1</f>
        <v/>
      </c>
      <c r="B604" s="3">
        <f>-SUMIFS(df_extrato_zig!G:G,df_extrato_zig!E:E,Conciliacao!A604,df_extrato_zig!D:D,"Saque")-SUMIFS(df_extrato_zig!G:G,df_extrato_zig!E:E,Conciliacao!A604,df_extrato_zig!D:D,"Antecipação")</f>
        <v/>
      </c>
      <c r="C604" s="3">
        <f>SUMIFS(df_extrato_zig!E:E,df_extrato_zig!L:L,Conciliacao!A604,df_extrato_zig!F:F,"DINHEIRO")</f>
        <v/>
      </c>
      <c r="D604" s="3">
        <f>SUMIFS(view_parc_agrup!H:H,view_parc_agrup!G:G,Conciliacao!A604)</f>
        <v/>
      </c>
      <c r="E604" s="3">
        <f>SUMIFS(df_eventos!F:F,df_eventos!H:H,Conciliacao!A604)</f>
        <v/>
      </c>
      <c r="F604" s="3">
        <f>SUMIFS(df_mutuos!M:M,df_mutuos!B:B,Conciliacao!A604)</f>
        <v/>
      </c>
      <c r="G604" s="6">
        <f>SUMIFS(df_bloqueios_judiciais!G:G,df_bloqueios_judiciais!D:D,Conciliacao!A604,df_bloqueios_judiciais!G:G,"&gt;0")</f>
        <v/>
      </c>
      <c r="H604" s="7">
        <f>SUMIFS(df_extratos!I:I,df_extratos!F:F,Conciliacao!BE604,df_extratos!G:G,"CREDITO")+SUMIFS(df_extratos!I:I,df_extratos!F:F,Conciliacao!A604,df_extratos!G:G,"CREDITO")+SUMIFS(df_extratos!I:I,df_extratos!F:F,Conciliacao!BF604,df_extratos!G:G,"CREDITO")+SUMIFS(df_extratos!I:I,df_extratos!F:F,Conciliacao!BG604,df_extratos!G:G,"CREDITO")+SUMIFS(df_extratos!I:I,df_extratos!F:F,Conciliacao!BH604,df_extratos!G:G,"CREDITO")</f>
        <v/>
      </c>
      <c r="I604" s="9">
        <f>H604-SUM(B604:G604)</f>
        <v/>
      </c>
      <c r="J604" s="4">
        <f>SUMIFS(df_blueme_sem_parcelamento!E:E,df_blueme_sem_parcelamento!H:H,Conciliacao!A604)*(-1)</f>
        <v/>
      </c>
      <c r="K604" s="4">
        <f>SUMIFS(df_blueme_com_parcelamento!J:J,df_blueme_com_parcelamento!M:M,Conciliacao!A604)*(-1)</f>
        <v/>
      </c>
      <c r="L604" s="4">
        <f>SUMIFS(df_mutuos!N:N,df_mutuos!B:B,Conciliacao!A604)*(-1)</f>
        <v/>
      </c>
      <c r="M604" s="8">
        <f>SUMIFS(df_bloqueios_judiciais!G:G,df_bloqueios_judiciais!D:D,Conciliacao!A604,df_bloqueios_judiciais!G:G,"&lt;0")</f>
        <v/>
      </c>
      <c r="N604" s="10">
        <f>SUMIFS(df_extratos!I:I,df_extratos!F:F,Conciliacao!BE604,df_extratos!G:G,"DEBITO")+SUMIFS(df_extratos!I:I,df_extratos!F:F,Conciliacao!A604,df_extratos!G:G,"DEBITO")+SUMIFS(df_extratos!I:I,df_extratos!F:F,Conciliacao!BF604,df_extratos!G:G,"DEBITO")+SUMIFS(df_extratos!I:I,df_extratos!F:F,Conciliacao!BG604,df_extratos!G:G,"DEBITO")+SUMIFS(df_extratos!I:I,df_extratos!F:F,Conciliacao!BH604,df_extratos!G:G,"DEBITO")</f>
        <v/>
      </c>
      <c r="O604" s="11">
        <f>N604-SUM(J604:M604)</f>
        <v/>
      </c>
      <c r="P604" s="25">
        <f>SUMIFS(df_ajustes_conciliaco!D:D,df_ajustes_conciliaco!C:C,Conciliacao!A604)</f>
        <v/>
      </c>
      <c r="Q604" s="22">
        <f>O604+I604-P604</f>
        <v/>
      </c>
      <c r="BE604" s="20" t="n">
        <v>46260.5</v>
      </c>
      <c r="BF604" s="20" t="n">
        <v>46260.125</v>
      </c>
      <c r="BG604" s="20" t="n">
        <v>46260.5416666088</v>
      </c>
      <c r="BH604" s="20" t="n">
        <v>46260.625</v>
      </c>
    </row>
    <row r="605">
      <c r="A605" s="5">
        <f>A604+1</f>
        <v/>
      </c>
      <c r="B605" s="3">
        <f>-SUMIFS(df_extrato_zig!G:G,df_extrato_zig!E:E,Conciliacao!A605,df_extrato_zig!D:D,"Saque")-SUMIFS(df_extrato_zig!G:G,df_extrato_zig!E:E,Conciliacao!A605,df_extrato_zig!D:D,"Antecipação")</f>
        <v/>
      </c>
      <c r="C605" s="3">
        <f>SUMIFS(df_extrato_zig!E:E,df_extrato_zig!L:L,Conciliacao!A605,df_extrato_zig!F:F,"DINHEIRO")</f>
        <v/>
      </c>
      <c r="D605" s="3">
        <f>SUMIFS(view_parc_agrup!H:H,view_parc_agrup!G:G,Conciliacao!A605)</f>
        <v/>
      </c>
      <c r="E605" s="3">
        <f>SUMIFS(df_eventos!F:F,df_eventos!H:H,Conciliacao!A605)</f>
        <v/>
      </c>
      <c r="F605" s="3">
        <f>SUMIFS(df_mutuos!M:M,df_mutuos!B:B,Conciliacao!A605)</f>
        <v/>
      </c>
      <c r="G605" s="6">
        <f>SUMIFS(df_bloqueios_judiciais!G:G,df_bloqueios_judiciais!D:D,Conciliacao!A605,df_bloqueios_judiciais!G:G,"&gt;0")</f>
        <v/>
      </c>
      <c r="H605" s="7">
        <f>SUMIFS(df_extratos!I:I,df_extratos!F:F,Conciliacao!BE605,df_extratos!G:G,"CREDITO")+SUMIFS(df_extratos!I:I,df_extratos!F:F,Conciliacao!A605,df_extratos!G:G,"CREDITO")+SUMIFS(df_extratos!I:I,df_extratos!F:F,Conciliacao!BF605,df_extratos!G:G,"CREDITO")+SUMIFS(df_extratos!I:I,df_extratos!F:F,Conciliacao!BG605,df_extratos!G:G,"CREDITO")+SUMIFS(df_extratos!I:I,df_extratos!F:F,Conciliacao!BH605,df_extratos!G:G,"CREDITO")</f>
        <v/>
      </c>
      <c r="I605" s="9">
        <f>H605-SUM(B605:G605)</f>
        <v/>
      </c>
      <c r="J605" s="4">
        <f>SUMIFS(df_blueme_sem_parcelamento!E:E,df_blueme_sem_parcelamento!H:H,Conciliacao!A605)*(-1)</f>
        <v/>
      </c>
      <c r="K605" s="4">
        <f>SUMIFS(df_blueme_com_parcelamento!J:J,df_blueme_com_parcelamento!M:M,Conciliacao!A605)*(-1)</f>
        <v/>
      </c>
      <c r="L605" s="4">
        <f>SUMIFS(df_mutuos!N:N,df_mutuos!B:B,Conciliacao!A605)*(-1)</f>
        <v/>
      </c>
      <c r="M605" s="8">
        <f>SUMIFS(df_bloqueios_judiciais!G:G,df_bloqueios_judiciais!D:D,Conciliacao!A605,df_bloqueios_judiciais!G:G,"&lt;0")</f>
        <v/>
      </c>
      <c r="N605" s="10">
        <f>SUMIFS(df_extratos!I:I,df_extratos!F:F,Conciliacao!BE605,df_extratos!G:G,"DEBITO")+SUMIFS(df_extratos!I:I,df_extratos!F:F,Conciliacao!A605,df_extratos!G:G,"DEBITO")+SUMIFS(df_extratos!I:I,df_extratos!F:F,Conciliacao!BF605,df_extratos!G:G,"DEBITO")+SUMIFS(df_extratos!I:I,df_extratos!F:F,Conciliacao!BG605,df_extratos!G:G,"DEBITO")+SUMIFS(df_extratos!I:I,df_extratos!F:F,Conciliacao!BH605,df_extratos!G:G,"DEBITO")</f>
        <v/>
      </c>
      <c r="O605" s="11">
        <f>N605-SUM(J605:M605)</f>
        <v/>
      </c>
      <c r="P605" s="25">
        <f>SUMIFS(df_ajustes_conciliaco!D:D,df_ajustes_conciliaco!C:C,Conciliacao!A605)</f>
        <v/>
      </c>
      <c r="Q605" s="22">
        <f>O605+I605-P605</f>
        <v/>
      </c>
      <c r="BE605" s="20" t="n">
        <v>46261.5</v>
      </c>
      <c r="BF605" s="20" t="n">
        <v>46261.125</v>
      </c>
      <c r="BG605" s="20" t="n">
        <v>46261.5416666088</v>
      </c>
      <c r="BH605" s="20" t="n">
        <v>46261.625</v>
      </c>
    </row>
    <row r="606">
      <c r="A606" s="5">
        <f>A605+1</f>
        <v/>
      </c>
      <c r="B606" s="3">
        <f>-SUMIFS(df_extrato_zig!G:G,df_extrato_zig!E:E,Conciliacao!A606,df_extrato_zig!D:D,"Saque")-SUMIFS(df_extrato_zig!G:G,df_extrato_zig!E:E,Conciliacao!A606,df_extrato_zig!D:D,"Antecipação")</f>
        <v/>
      </c>
      <c r="C606" s="3">
        <f>SUMIFS(df_extrato_zig!E:E,df_extrato_zig!L:L,Conciliacao!A606,df_extrato_zig!F:F,"DINHEIRO")</f>
        <v/>
      </c>
      <c r="D606" s="3">
        <f>SUMIFS(view_parc_agrup!H:H,view_parc_agrup!G:G,Conciliacao!A606)</f>
        <v/>
      </c>
      <c r="E606" s="3">
        <f>SUMIFS(df_eventos!F:F,df_eventos!H:H,Conciliacao!A606)</f>
        <v/>
      </c>
      <c r="F606" s="3">
        <f>SUMIFS(df_mutuos!M:M,df_mutuos!B:B,Conciliacao!A606)</f>
        <v/>
      </c>
      <c r="G606" s="6">
        <f>SUMIFS(df_bloqueios_judiciais!G:G,df_bloqueios_judiciais!D:D,Conciliacao!A606,df_bloqueios_judiciais!G:G,"&gt;0")</f>
        <v/>
      </c>
      <c r="H606" s="7">
        <f>SUMIFS(df_extratos!I:I,df_extratos!F:F,Conciliacao!BE606,df_extratos!G:G,"CREDITO")+SUMIFS(df_extratos!I:I,df_extratos!F:F,Conciliacao!A606,df_extratos!G:G,"CREDITO")+SUMIFS(df_extratos!I:I,df_extratos!F:F,Conciliacao!BF606,df_extratos!G:G,"CREDITO")+SUMIFS(df_extratos!I:I,df_extratos!F:F,Conciliacao!BG606,df_extratos!G:G,"CREDITO")+SUMIFS(df_extratos!I:I,df_extratos!F:F,Conciliacao!BH606,df_extratos!G:G,"CREDITO")</f>
        <v/>
      </c>
      <c r="I606" s="9">
        <f>H606-SUM(B606:G606)</f>
        <v/>
      </c>
      <c r="J606" s="4">
        <f>SUMIFS(df_blueme_sem_parcelamento!E:E,df_blueme_sem_parcelamento!H:H,Conciliacao!A606)*(-1)</f>
        <v/>
      </c>
      <c r="K606" s="4">
        <f>SUMIFS(df_blueme_com_parcelamento!J:J,df_blueme_com_parcelamento!M:M,Conciliacao!A606)*(-1)</f>
        <v/>
      </c>
      <c r="L606" s="4">
        <f>SUMIFS(df_mutuos!N:N,df_mutuos!B:B,Conciliacao!A606)*(-1)</f>
        <v/>
      </c>
      <c r="M606" s="8">
        <f>SUMIFS(df_bloqueios_judiciais!G:G,df_bloqueios_judiciais!D:D,Conciliacao!A606,df_bloqueios_judiciais!G:G,"&lt;0")</f>
        <v/>
      </c>
      <c r="N606" s="10">
        <f>SUMIFS(df_extratos!I:I,df_extratos!F:F,Conciliacao!BE606,df_extratos!G:G,"DEBITO")+SUMIFS(df_extratos!I:I,df_extratos!F:F,Conciliacao!A606,df_extratos!G:G,"DEBITO")+SUMIFS(df_extratos!I:I,df_extratos!F:F,Conciliacao!BF606,df_extratos!G:G,"DEBITO")+SUMIFS(df_extratos!I:I,df_extratos!F:F,Conciliacao!BG606,df_extratos!G:G,"DEBITO")+SUMIFS(df_extratos!I:I,df_extratos!F:F,Conciliacao!BH606,df_extratos!G:G,"DEBITO")</f>
        <v/>
      </c>
      <c r="O606" s="11">
        <f>N606-SUM(J606:M606)</f>
        <v/>
      </c>
      <c r="P606" s="25">
        <f>SUMIFS(df_ajustes_conciliaco!D:D,df_ajustes_conciliaco!C:C,Conciliacao!A606)</f>
        <v/>
      </c>
      <c r="Q606" s="22">
        <f>O606+I606-P606</f>
        <v/>
      </c>
      <c r="BE606" s="20" t="n">
        <v>46262.5</v>
      </c>
      <c r="BF606" s="20" t="n">
        <v>46262.125</v>
      </c>
      <c r="BG606" s="20" t="n">
        <v>46262.5416666088</v>
      </c>
      <c r="BH606" s="20" t="n">
        <v>46262.625</v>
      </c>
    </row>
    <row r="607">
      <c r="A607" s="5">
        <f>A606+1</f>
        <v/>
      </c>
      <c r="B607" s="3">
        <f>-SUMIFS(df_extrato_zig!G:G,df_extrato_zig!E:E,Conciliacao!A607,df_extrato_zig!D:D,"Saque")-SUMIFS(df_extrato_zig!G:G,df_extrato_zig!E:E,Conciliacao!A607,df_extrato_zig!D:D,"Antecipação")</f>
        <v/>
      </c>
      <c r="C607" s="3">
        <f>SUMIFS(df_extrato_zig!E:E,df_extrato_zig!L:L,Conciliacao!A607,df_extrato_zig!F:F,"DINHEIRO")</f>
        <v/>
      </c>
      <c r="D607" s="3">
        <f>SUMIFS(view_parc_agrup!H:H,view_parc_agrup!G:G,Conciliacao!A607)</f>
        <v/>
      </c>
      <c r="E607" s="3">
        <f>SUMIFS(df_eventos!F:F,df_eventos!H:H,Conciliacao!A607)</f>
        <v/>
      </c>
      <c r="F607" s="3">
        <f>SUMIFS(df_mutuos!M:M,df_mutuos!B:B,Conciliacao!A607)</f>
        <v/>
      </c>
      <c r="G607" s="6">
        <f>SUMIFS(df_bloqueios_judiciais!G:G,df_bloqueios_judiciais!D:D,Conciliacao!A607,df_bloqueios_judiciais!G:G,"&gt;0")</f>
        <v/>
      </c>
      <c r="H607" s="7">
        <f>SUMIFS(df_extratos!I:I,df_extratos!F:F,Conciliacao!BE607,df_extratos!G:G,"CREDITO")+SUMIFS(df_extratos!I:I,df_extratos!F:F,Conciliacao!A607,df_extratos!G:G,"CREDITO")+SUMIFS(df_extratos!I:I,df_extratos!F:F,Conciliacao!BF607,df_extratos!G:G,"CREDITO")+SUMIFS(df_extratos!I:I,df_extratos!F:F,Conciliacao!BG607,df_extratos!G:G,"CREDITO")+SUMIFS(df_extratos!I:I,df_extratos!F:F,Conciliacao!BH607,df_extratos!G:G,"CREDITO")</f>
        <v/>
      </c>
      <c r="I607" s="9">
        <f>H607-SUM(B607:G607)</f>
        <v/>
      </c>
      <c r="J607" s="4">
        <f>SUMIFS(df_blueme_sem_parcelamento!E:E,df_blueme_sem_parcelamento!H:H,Conciliacao!A607)*(-1)</f>
        <v/>
      </c>
      <c r="K607" s="4">
        <f>SUMIFS(df_blueme_com_parcelamento!J:J,df_blueme_com_parcelamento!M:M,Conciliacao!A607)*(-1)</f>
        <v/>
      </c>
      <c r="L607" s="4">
        <f>SUMIFS(df_mutuos!N:N,df_mutuos!B:B,Conciliacao!A607)*(-1)</f>
        <v/>
      </c>
      <c r="M607" s="8">
        <f>SUMIFS(df_bloqueios_judiciais!G:G,df_bloqueios_judiciais!D:D,Conciliacao!A607,df_bloqueios_judiciais!G:G,"&lt;0")</f>
        <v/>
      </c>
      <c r="N607" s="10">
        <f>SUMIFS(df_extratos!I:I,df_extratos!F:F,Conciliacao!BE607,df_extratos!G:G,"DEBITO")+SUMIFS(df_extratos!I:I,df_extratos!F:F,Conciliacao!A607,df_extratos!G:G,"DEBITO")+SUMIFS(df_extratos!I:I,df_extratos!F:F,Conciliacao!BF607,df_extratos!G:G,"DEBITO")+SUMIFS(df_extratos!I:I,df_extratos!F:F,Conciliacao!BG607,df_extratos!G:G,"DEBITO")+SUMIFS(df_extratos!I:I,df_extratos!F:F,Conciliacao!BH607,df_extratos!G:G,"DEBITO")</f>
        <v/>
      </c>
      <c r="O607" s="11">
        <f>N607-SUM(J607:M607)</f>
        <v/>
      </c>
      <c r="P607" s="25">
        <f>SUMIFS(df_ajustes_conciliaco!D:D,df_ajustes_conciliaco!C:C,Conciliacao!A607)</f>
        <v/>
      </c>
      <c r="Q607" s="22">
        <f>O607+I607-P607</f>
        <v/>
      </c>
      <c r="BE607" s="20" t="n">
        <v>46263.5</v>
      </c>
      <c r="BF607" s="20" t="n">
        <v>46263.125</v>
      </c>
      <c r="BG607" s="20" t="n">
        <v>46263.5416666088</v>
      </c>
      <c r="BH607" s="20" t="n">
        <v>46263.625</v>
      </c>
    </row>
    <row r="608">
      <c r="A608" s="5">
        <f>A607+1</f>
        <v/>
      </c>
      <c r="B608" s="3">
        <f>-SUMIFS(df_extrato_zig!G:G,df_extrato_zig!E:E,Conciliacao!A608,df_extrato_zig!D:D,"Saque")-SUMIFS(df_extrato_zig!G:G,df_extrato_zig!E:E,Conciliacao!A608,df_extrato_zig!D:D,"Antecipação")</f>
        <v/>
      </c>
      <c r="C608" s="3">
        <f>SUMIFS(df_extrato_zig!E:E,df_extrato_zig!L:L,Conciliacao!A608,df_extrato_zig!F:F,"DINHEIRO")</f>
        <v/>
      </c>
      <c r="D608" s="3">
        <f>SUMIFS(view_parc_agrup!H:H,view_parc_agrup!G:G,Conciliacao!A608)</f>
        <v/>
      </c>
      <c r="E608" s="3">
        <f>SUMIFS(df_eventos!F:F,df_eventos!H:H,Conciliacao!A608)</f>
        <v/>
      </c>
      <c r="F608" s="3">
        <f>SUMIFS(df_mutuos!M:M,df_mutuos!B:B,Conciliacao!A608)</f>
        <v/>
      </c>
      <c r="G608" s="6">
        <f>SUMIFS(df_bloqueios_judiciais!G:G,df_bloqueios_judiciais!D:D,Conciliacao!A608,df_bloqueios_judiciais!G:G,"&gt;0")</f>
        <v/>
      </c>
      <c r="H608" s="7">
        <f>SUMIFS(df_extratos!I:I,df_extratos!F:F,Conciliacao!BE608,df_extratos!G:G,"CREDITO")+SUMIFS(df_extratos!I:I,df_extratos!F:F,Conciliacao!A608,df_extratos!G:G,"CREDITO")+SUMIFS(df_extratos!I:I,df_extratos!F:F,Conciliacao!BF608,df_extratos!G:G,"CREDITO")+SUMIFS(df_extratos!I:I,df_extratos!F:F,Conciliacao!BG608,df_extratos!G:G,"CREDITO")+SUMIFS(df_extratos!I:I,df_extratos!F:F,Conciliacao!BH608,df_extratos!G:G,"CREDITO")</f>
        <v/>
      </c>
      <c r="I608" s="9">
        <f>H608-SUM(B608:G608)</f>
        <v/>
      </c>
      <c r="J608" s="4">
        <f>SUMIFS(df_blueme_sem_parcelamento!E:E,df_blueme_sem_parcelamento!H:H,Conciliacao!A608)*(-1)</f>
        <v/>
      </c>
      <c r="K608" s="4">
        <f>SUMIFS(df_blueme_com_parcelamento!J:J,df_blueme_com_parcelamento!M:M,Conciliacao!A608)*(-1)</f>
        <v/>
      </c>
      <c r="L608" s="4">
        <f>SUMIFS(df_mutuos!N:N,df_mutuos!B:B,Conciliacao!A608)*(-1)</f>
        <v/>
      </c>
      <c r="M608" s="8">
        <f>SUMIFS(df_bloqueios_judiciais!G:G,df_bloqueios_judiciais!D:D,Conciliacao!A608,df_bloqueios_judiciais!G:G,"&lt;0")</f>
        <v/>
      </c>
      <c r="N608" s="10">
        <f>SUMIFS(df_extratos!I:I,df_extratos!F:F,Conciliacao!BE608,df_extratos!G:G,"DEBITO")+SUMIFS(df_extratos!I:I,df_extratos!F:F,Conciliacao!A608,df_extratos!G:G,"DEBITO")+SUMIFS(df_extratos!I:I,df_extratos!F:F,Conciliacao!BF608,df_extratos!G:G,"DEBITO")+SUMIFS(df_extratos!I:I,df_extratos!F:F,Conciliacao!BG608,df_extratos!G:G,"DEBITO")+SUMIFS(df_extratos!I:I,df_extratos!F:F,Conciliacao!BH608,df_extratos!G:G,"DEBITO")</f>
        <v/>
      </c>
      <c r="O608" s="11">
        <f>N608-SUM(J608:M608)</f>
        <v/>
      </c>
      <c r="P608" s="25">
        <f>SUMIFS(df_ajustes_conciliaco!D:D,df_ajustes_conciliaco!C:C,Conciliacao!A608)</f>
        <v/>
      </c>
      <c r="Q608" s="22">
        <f>O608+I608-P608</f>
        <v/>
      </c>
      <c r="BE608" s="20" t="n">
        <v>46264.5</v>
      </c>
      <c r="BF608" s="20" t="n">
        <v>46264.125</v>
      </c>
      <c r="BG608" s="20" t="n">
        <v>46264.5416666088</v>
      </c>
      <c r="BH608" s="20" t="n">
        <v>46264.625</v>
      </c>
    </row>
    <row r="609">
      <c r="A609" s="5">
        <f>A608+1</f>
        <v/>
      </c>
      <c r="B609" s="3">
        <f>-SUMIFS(df_extrato_zig!G:G,df_extrato_zig!E:E,Conciliacao!A609,df_extrato_zig!D:D,"Saque")-SUMIFS(df_extrato_zig!G:G,df_extrato_zig!E:E,Conciliacao!A609,df_extrato_zig!D:D,"Antecipação")</f>
        <v/>
      </c>
      <c r="C609" s="3">
        <f>SUMIFS(df_extrato_zig!E:E,df_extrato_zig!L:L,Conciliacao!A609,df_extrato_zig!F:F,"DINHEIRO")</f>
        <v/>
      </c>
      <c r="D609" s="3">
        <f>SUMIFS(view_parc_agrup!H:H,view_parc_agrup!G:G,Conciliacao!A609)</f>
        <v/>
      </c>
      <c r="E609" s="3">
        <f>SUMIFS(df_eventos!F:F,df_eventos!H:H,Conciliacao!A609)</f>
        <v/>
      </c>
      <c r="F609" s="3">
        <f>SUMIFS(df_mutuos!M:M,df_mutuos!B:B,Conciliacao!A609)</f>
        <v/>
      </c>
      <c r="G609" s="6">
        <f>SUMIFS(df_bloqueios_judiciais!G:G,df_bloqueios_judiciais!D:D,Conciliacao!A609,df_bloqueios_judiciais!G:G,"&gt;0")</f>
        <v/>
      </c>
      <c r="H609" s="7">
        <f>SUMIFS(df_extratos!I:I,df_extratos!F:F,Conciliacao!BE609,df_extratos!G:G,"CREDITO")+SUMIFS(df_extratos!I:I,df_extratos!F:F,Conciliacao!A609,df_extratos!G:G,"CREDITO")+SUMIFS(df_extratos!I:I,df_extratos!F:F,Conciliacao!BF609,df_extratos!G:G,"CREDITO")+SUMIFS(df_extratos!I:I,df_extratos!F:F,Conciliacao!BG609,df_extratos!G:G,"CREDITO")+SUMIFS(df_extratos!I:I,df_extratos!F:F,Conciliacao!BH609,df_extratos!G:G,"CREDITO")</f>
        <v/>
      </c>
      <c r="I609" s="9">
        <f>H609-SUM(B609:G609)</f>
        <v/>
      </c>
      <c r="J609" s="4">
        <f>SUMIFS(df_blueme_sem_parcelamento!E:E,df_blueme_sem_parcelamento!H:H,Conciliacao!A609)*(-1)</f>
        <v/>
      </c>
      <c r="K609" s="4">
        <f>SUMIFS(df_blueme_com_parcelamento!J:J,df_blueme_com_parcelamento!M:M,Conciliacao!A609)*(-1)</f>
        <v/>
      </c>
      <c r="L609" s="4">
        <f>SUMIFS(df_mutuos!N:N,df_mutuos!B:B,Conciliacao!A609)*(-1)</f>
        <v/>
      </c>
      <c r="M609" s="8">
        <f>SUMIFS(df_bloqueios_judiciais!G:G,df_bloqueios_judiciais!D:D,Conciliacao!A609,df_bloqueios_judiciais!G:G,"&lt;0")</f>
        <v/>
      </c>
      <c r="N609" s="10">
        <f>SUMIFS(df_extratos!I:I,df_extratos!F:F,Conciliacao!BE609,df_extratos!G:G,"DEBITO")+SUMIFS(df_extratos!I:I,df_extratos!F:F,Conciliacao!A609,df_extratos!G:G,"DEBITO")+SUMIFS(df_extratos!I:I,df_extratos!F:F,Conciliacao!BF609,df_extratos!G:G,"DEBITO")+SUMIFS(df_extratos!I:I,df_extratos!F:F,Conciliacao!BG609,df_extratos!G:G,"DEBITO")+SUMIFS(df_extratos!I:I,df_extratos!F:F,Conciliacao!BH609,df_extratos!G:G,"DEBITO")</f>
        <v/>
      </c>
      <c r="O609" s="11">
        <f>N609-SUM(J609:M609)</f>
        <v/>
      </c>
      <c r="P609" s="25">
        <f>SUMIFS(df_ajustes_conciliaco!D:D,df_ajustes_conciliaco!C:C,Conciliacao!A609)</f>
        <v/>
      </c>
      <c r="Q609" s="22">
        <f>O609+I609-P609</f>
        <v/>
      </c>
      <c r="BE609" s="20" t="n">
        <v>46265.5</v>
      </c>
      <c r="BF609" s="20" t="n">
        <v>46265.125</v>
      </c>
      <c r="BG609" s="20" t="n">
        <v>46265.5416666088</v>
      </c>
      <c r="BH609" s="20" t="n">
        <v>46265.625</v>
      </c>
    </row>
    <row r="610">
      <c r="A610" s="5">
        <f>A609+1</f>
        <v/>
      </c>
      <c r="B610" s="3">
        <f>-SUMIFS(df_extrato_zig!G:G,df_extrato_zig!E:E,Conciliacao!A610,df_extrato_zig!D:D,"Saque")-SUMIFS(df_extrato_zig!G:G,df_extrato_zig!E:E,Conciliacao!A610,df_extrato_zig!D:D,"Antecipação")</f>
        <v/>
      </c>
      <c r="C610" s="3">
        <f>SUMIFS(df_extrato_zig!E:E,df_extrato_zig!L:L,Conciliacao!A610,df_extrato_zig!F:F,"DINHEIRO")</f>
        <v/>
      </c>
      <c r="D610" s="3">
        <f>SUMIFS(view_parc_agrup!H:H,view_parc_agrup!G:G,Conciliacao!A610)</f>
        <v/>
      </c>
      <c r="E610" s="3">
        <f>SUMIFS(df_eventos!F:F,df_eventos!H:H,Conciliacao!A610)</f>
        <v/>
      </c>
      <c r="F610" s="3">
        <f>SUMIFS(df_mutuos!M:M,df_mutuos!B:B,Conciliacao!A610)</f>
        <v/>
      </c>
      <c r="G610" s="6">
        <f>SUMIFS(df_bloqueios_judiciais!G:G,df_bloqueios_judiciais!D:D,Conciliacao!A610,df_bloqueios_judiciais!G:G,"&gt;0")</f>
        <v/>
      </c>
      <c r="H610" s="7">
        <f>SUMIFS(df_extratos!I:I,df_extratos!F:F,Conciliacao!BE610,df_extratos!G:G,"CREDITO")+SUMIFS(df_extratos!I:I,df_extratos!F:F,Conciliacao!A610,df_extratos!G:G,"CREDITO")+SUMIFS(df_extratos!I:I,df_extratos!F:F,Conciliacao!BF610,df_extratos!G:G,"CREDITO")+SUMIFS(df_extratos!I:I,df_extratos!F:F,Conciliacao!BG610,df_extratos!G:G,"CREDITO")+SUMIFS(df_extratos!I:I,df_extratos!F:F,Conciliacao!BH610,df_extratos!G:G,"CREDITO")</f>
        <v/>
      </c>
      <c r="I610" s="9">
        <f>H610-SUM(B610:G610)</f>
        <v/>
      </c>
      <c r="J610" s="4">
        <f>SUMIFS(df_blueme_sem_parcelamento!E:E,df_blueme_sem_parcelamento!H:H,Conciliacao!A610)*(-1)</f>
        <v/>
      </c>
      <c r="K610" s="4">
        <f>SUMIFS(df_blueme_com_parcelamento!J:J,df_blueme_com_parcelamento!M:M,Conciliacao!A610)*(-1)</f>
        <v/>
      </c>
      <c r="L610" s="4">
        <f>SUMIFS(df_mutuos!N:N,df_mutuos!B:B,Conciliacao!A610)*(-1)</f>
        <v/>
      </c>
      <c r="M610" s="8">
        <f>SUMIFS(df_bloqueios_judiciais!G:G,df_bloqueios_judiciais!D:D,Conciliacao!A610,df_bloqueios_judiciais!G:G,"&lt;0")</f>
        <v/>
      </c>
      <c r="N610" s="10">
        <f>SUMIFS(df_extratos!I:I,df_extratos!F:F,Conciliacao!BE610,df_extratos!G:G,"DEBITO")+SUMIFS(df_extratos!I:I,df_extratos!F:F,Conciliacao!A610,df_extratos!G:G,"DEBITO")+SUMIFS(df_extratos!I:I,df_extratos!F:F,Conciliacao!BF610,df_extratos!G:G,"DEBITO")+SUMIFS(df_extratos!I:I,df_extratos!F:F,Conciliacao!BG610,df_extratos!G:G,"DEBITO")+SUMIFS(df_extratos!I:I,df_extratos!F:F,Conciliacao!BH610,df_extratos!G:G,"DEBITO")</f>
        <v/>
      </c>
      <c r="O610" s="11">
        <f>N610-SUM(J610:M610)</f>
        <v/>
      </c>
      <c r="P610" s="25">
        <f>SUMIFS(df_ajustes_conciliaco!D:D,df_ajustes_conciliaco!C:C,Conciliacao!A610)</f>
        <v/>
      </c>
      <c r="Q610" s="22">
        <f>O610+I610-P610</f>
        <v/>
      </c>
      <c r="BE610" s="20" t="n">
        <v>46266.5</v>
      </c>
      <c r="BF610" s="20" t="n">
        <v>46266.125</v>
      </c>
      <c r="BG610" s="20" t="n">
        <v>46266.5416666088</v>
      </c>
      <c r="BH610" s="20" t="n">
        <v>46266.625</v>
      </c>
    </row>
    <row r="611">
      <c r="A611" s="5">
        <f>A610+1</f>
        <v/>
      </c>
      <c r="B611" s="3">
        <f>-SUMIFS(df_extrato_zig!G:G,df_extrato_zig!E:E,Conciliacao!A611,df_extrato_zig!D:D,"Saque")-SUMIFS(df_extrato_zig!G:G,df_extrato_zig!E:E,Conciliacao!A611,df_extrato_zig!D:D,"Antecipação")</f>
        <v/>
      </c>
      <c r="C611" s="3">
        <f>SUMIFS(df_extrato_zig!E:E,df_extrato_zig!L:L,Conciliacao!A611,df_extrato_zig!F:F,"DINHEIRO")</f>
        <v/>
      </c>
      <c r="D611" s="3">
        <f>SUMIFS(view_parc_agrup!H:H,view_parc_agrup!G:G,Conciliacao!A611)</f>
        <v/>
      </c>
      <c r="E611" s="3">
        <f>SUMIFS(df_eventos!F:F,df_eventos!H:H,Conciliacao!A611)</f>
        <v/>
      </c>
      <c r="F611" s="3">
        <f>SUMIFS(df_mutuos!M:M,df_mutuos!B:B,Conciliacao!A611)</f>
        <v/>
      </c>
      <c r="G611" s="6">
        <f>SUMIFS(df_bloqueios_judiciais!G:G,df_bloqueios_judiciais!D:D,Conciliacao!A611,df_bloqueios_judiciais!G:G,"&gt;0")</f>
        <v/>
      </c>
      <c r="H611" s="7">
        <f>SUMIFS(df_extratos!I:I,df_extratos!F:F,Conciliacao!BE611,df_extratos!G:G,"CREDITO")+SUMIFS(df_extratos!I:I,df_extratos!F:F,Conciliacao!A611,df_extratos!G:G,"CREDITO")+SUMIFS(df_extratos!I:I,df_extratos!F:F,Conciliacao!BF611,df_extratos!G:G,"CREDITO")+SUMIFS(df_extratos!I:I,df_extratos!F:F,Conciliacao!BG611,df_extratos!G:G,"CREDITO")+SUMIFS(df_extratos!I:I,df_extratos!F:F,Conciliacao!BH611,df_extratos!G:G,"CREDITO")</f>
        <v/>
      </c>
      <c r="I611" s="9">
        <f>H611-SUM(B611:G611)</f>
        <v/>
      </c>
      <c r="J611" s="4">
        <f>SUMIFS(df_blueme_sem_parcelamento!E:E,df_blueme_sem_parcelamento!H:H,Conciliacao!A611)*(-1)</f>
        <v/>
      </c>
      <c r="K611" s="4">
        <f>SUMIFS(df_blueme_com_parcelamento!J:J,df_blueme_com_parcelamento!M:M,Conciliacao!A611)*(-1)</f>
        <v/>
      </c>
      <c r="L611" s="4">
        <f>SUMIFS(df_mutuos!N:N,df_mutuos!B:B,Conciliacao!A611)*(-1)</f>
        <v/>
      </c>
      <c r="M611" s="8">
        <f>SUMIFS(df_bloqueios_judiciais!G:G,df_bloqueios_judiciais!D:D,Conciliacao!A611,df_bloqueios_judiciais!G:G,"&lt;0")</f>
        <v/>
      </c>
      <c r="N611" s="10">
        <f>SUMIFS(df_extratos!I:I,df_extratos!F:F,Conciliacao!BE611,df_extratos!G:G,"DEBITO")+SUMIFS(df_extratos!I:I,df_extratos!F:F,Conciliacao!A611,df_extratos!G:G,"DEBITO")+SUMIFS(df_extratos!I:I,df_extratos!F:F,Conciliacao!BF611,df_extratos!G:G,"DEBITO")+SUMIFS(df_extratos!I:I,df_extratos!F:F,Conciliacao!BG611,df_extratos!G:G,"DEBITO")+SUMIFS(df_extratos!I:I,df_extratos!F:F,Conciliacao!BH611,df_extratos!G:G,"DEBITO")</f>
        <v/>
      </c>
      <c r="O611" s="11">
        <f>N611-SUM(J611:M611)</f>
        <v/>
      </c>
      <c r="P611" s="25">
        <f>SUMIFS(df_ajustes_conciliaco!D:D,df_ajustes_conciliaco!C:C,Conciliacao!A611)</f>
        <v/>
      </c>
      <c r="Q611" s="22">
        <f>O611+I611-P611</f>
        <v/>
      </c>
      <c r="BE611" s="20" t="n">
        <v>46267.5</v>
      </c>
      <c r="BF611" s="20" t="n">
        <v>46267.125</v>
      </c>
      <c r="BG611" s="20" t="n">
        <v>46267.5416666088</v>
      </c>
      <c r="BH611" s="20" t="n">
        <v>46267.625</v>
      </c>
    </row>
    <row r="612">
      <c r="A612" s="5">
        <f>A611+1</f>
        <v/>
      </c>
      <c r="B612" s="3">
        <f>-SUMIFS(df_extrato_zig!G:G,df_extrato_zig!E:E,Conciliacao!A612,df_extrato_zig!D:D,"Saque")-SUMIFS(df_extrato_zig!G:G,df_extrato_zig!E:E,Conciliacao!A612,df_extrato_zig!D:D,"Antecipação")</f>
        <v/>
      </c>
      <c r="C612" s="3">
        <f>SUMIFS(df_extrato_zig!E:E,df_extrato_zig!L:L,Conciliacao!A612,df_extrato_zig!F:F,"DINHEIRO")</f>
        <v/>
      </c>
      <c r="D612" s="3">
        <f>SUMIFS(view_parc_agrup!H:H,view_parc_agrup!G:G,Conciliacao!A612)</f>
        <v/>
      </c>
      <c r="E612" s="3">
        <f>SUMIFS(df_eventos!F:F,df_eventos!H:H,Conciliacao!A612)</f>
        <v/>
      </c>
      <c r="F612" s="3">
        <f>SUMIFS(df_mutuos!M:M,df_mutuos!B:B,Conciliacao!A612)</f>
        <v/>
      </c>
      <c r="G612" s="6">
        <f>SUMIFS(df_bloqueios_judiciais!G:G,df_bloqueios_judiciais!D:D,Conciliacao!A612,df_bloqueios_judiciais!G:G,"&gt;0")</f>
        <v/>
      </c>
      <c r="H612" s="7">
        <f>SUMIFS(df_extratos!I:I,df_extratos!F:F,Conciliacao!BE612,df_extratos!G:G,"CREDITO")+SUMIFS(df_extratos!I:I,df_extratos!F:F,Conciliacao!A612,df_extratos!G:G,"CREDITO")+SUMIFS(df_extratos!I:I,df_extratos!F:F,Conciliacao!BF612,df_extratos!G:G,"CREDITO")+SUMIFS(df_extratos!I:I,df_extratos!F:F,Conciliacao!BG612,df_extratos!G:G,"CREDITO")+SUMIFS(df_extratos!I:I,df_extratos!F:F,Conciliacao!BH612,df_extratos!G:G,"CREDITO")</f>
        <v/>
      </c>
      <c r="I612" s="9">
        <f>H612-SUM(B612:G612)</f>
        <v/>
      </c>
      <c r="J612" s="4">
        <f>SUMIFS(df_blueme_sem_parcelamento!E:E,df_blueme_sem_parcelamento!H:H,Conciliacao!A612)*(-1)</f>
        <v/>
      </c>
      <c r="K612" s="4">
        <f>SUMIFS(df_blueme_com_parcelamento!J:J,df_blueme_com_parcelamento!M:M,Conciliacao!A612)*(-1)</f>
        <v/>
      </c>
      <c r="L612" s="4">
        <f>SUMIFS(df_mutuos!N:N,df_mutuos!B:B,Conciliacao!A612)*(-1)</f>
        <v/>
      </c>
      <c r="M612" s="8">
        <f>SUMIFS(df_bloqueios_judiciais!G:G,df_bloqueios_judiciais!D:D,Conciliacao!A612,df_bloqueios_judiciais!G:G,"&lt;0")</f>
        <v/>
      </c>
      <c r="N612" s="10">
        <f>SUMIFS(df_extratos!I:I,df_extratos!F:F,Conciliacao!BE612,df_extratos!G:G,"DEBITO")+SUMIFS(df_extratos!I:I,df_extratos!F:F,Conciliacao!A612,df_extratos!G:G,"DEBITO")+SUMIFS(df_extratos!I:I,df_extratos!F:F,Conciliacao!BF612,df_extratos!G:G,"DEBITO")+SUMIFS(df_extratos!I:I,df_extratos!F:F,Conciliacao!BG612,df_extratos!G:G,"DEBITO")+SUMIFS(df_extratos!I:I,df_extratos!F:F,Conciliacao!BH612,df_extratos!G:G,"DEBITO")</f>
        <v/>
      </c>
      <c r="O612" s="11">
        <f>N612-SUM(J612:M612)</f>
        <v/>
      </c>
      <c r="P612" s="25">
        <f>SUMIFS(df_ajustes_conciliaco!D:D,df_ajustes_conciliaco!C:C,Conciliacao!A612)</f>
        <v/>
      </c>
      <c r="Q612" s="22">
        <f>O612+I612-P612</f>
        <v/>
      </c>
      <c r="BE612" s="20" t="n">
        <v>46268.5</v>
      </c>
      <c r="BF612" s="20" t="n">
        <v>46268.125</v>
      </c>
      <c r="BG612" s="20" t="n">
        <v>46268.5416666088</v>
      </c>
      <c r="BH612" s="20" t="n">
        <v>46268.625</v>
      </c>
    </row>
    <row r="613">
      <c r="A613" s="5">
        <f>A612+1</f>
        <v/>
      </c>
      <c r="B613" s="3">
        <f>-SUMIFS(df_extrato_zig!G:G,df_extrato_zig!E:E,Conciliacao!A613,df_extrato_zig!D:D,"Saque")-SUMIFS(df_extrato_zig!G:G,df_extrato_zig!E:E,Conciliacao!A613,df_extrato_zig!D:D,"Antecipação")</f>
        <v/>
      </c>
      <c r="C613" s="3">
        <f>SUMIFS(df_extrato_zig!E:E,df_extrato_zig!L:L,Conciliacao!A613,df_extrato_zig!F:F,"DINHEIRO")</f>
        <v/>
      </c>
      <c r="D613" s="3">
        <f>SUMIFS(view_parc_agrup!H:H,view_parc_agrup!G:G,Conciliacao!A613)</f>
        <v/>
      </c>
      <c r="E613" s="3">
        <f>SUMIFS(df_eventos!F:F,df_eventos!H:H,Conciliacao!A613)</f>
        <v/>
      </c>
      <c r="F613" s="3">
        <f>SUMIFS(df_mutuos!M:M,df_mutuos!B:B,Conciliacao!A613)</f>
        <v/>
      </c>
      <c r="G613" s="6">
        <f>SUMIFS(df_bloqueios_judiciais!G:G,df_bloqueios_judiciais!D:D,Conciliacao!A613,df_bloqueios_judiciais!G:G,"&gt;0")</f>
        <v/>
      </c>
      <c r="H613" s="7">
        <f>SUMIFS(df_extratos!I:I,df_extratos!F:F,Conciliacao!BE613,df_extratos!G:G,"CREDITO")+SUMIFS(df_extratos!I:I,df_extratos!F:F,Conciliacao!A613,df_extratos!G:G,"CREDITO")+SUMIFS(df_extratos!I:I,df_extratos!F:F,Conciliacao!BF613,df_extratos!G:G,"CREDITO")+SUMIFS(df_extratos!I:I,df_extratos!F:F,Conciliacao!BG613,df_extratos!G:G,"CREDITO")+SUMIFS(df_extratos!I:I,df_extratos!F:F,Conciliacao!BH613,df_extratos!G:G,"CREDITO")</f>
        <v/>
      </c>
      <c r="I613" s="9">
        <f>H613-SUM(B613:G613)</f>
        <v/>
      </c>
      <c r="J613" s="4">
        <f>SUMIFS(df_blueme_sem_parcelamento!E:E,df_blueme_sem_parcelamento!H:H,Conciliacao!A613)*(-1)</f>
        <v/>
      </c>
      <c r="K613" s="4">
        <f>SUMIFS(df_blueme_com_parcelamento!J:J,df_blueme_com_parcelamento!M:M,Conciliacao!A613)*(-1)</f>
        <v/>
      </c>
      <c r="L613" s="4">
        <f>SUMIFS(df_mutuos!N:N,df_mutuos!B:B,Conciliacao!A613)*(-1)</f>
        <v/>
      </c>
      <c r="M613" s="8">
        <f>SUMIFS(df_bloqueios_judiciais!G:G,df_bloqueios_judiciais!D:D,Conciliacao!A613,df_bloqueios_judiciais!G:G,"&lt;0")</f>
        <v/>
      </c>
      <c r="N613" s="10">
        <f>SUMIFS(df_extratos!I:I,df_extratos!F:F,Conciliacao!BE613,df_extratos!G:G,"DEBITO")+SUMIFS(df_extratos!I:I,df_extratos!F:F,Conciliacao!A613,df_extratos!G:G,"DEBITO")+SUMIFS(df_extratos!I:I,df_extratos!F:F,Conciliacao!BF613,df_extratos!G:G,"DEBITO")+SUMIFS(df_extratos!I:I,df_extratos!F:F,Conciliacao!BG613,df_extratos!G:G,"DEBITO")+SUMIFS(df_extratos!I:I,df_extratos!F:F,Conciliacao!BH613,df_extratos!G:G,"DEBITO")</f>
        <v/>
      </c>
      <c r="O613" s="11">
        <f>N613-SUM(J613:M613)</f>
        <v/>
      </c>
      <c r="P613" s="25">
        <f>SUMIFS(df_ajustes_conciliaco!D:D,df_ajustes_conciliaco!C:C,Conciliacao!A613)</f>
        <v/>
      </c>
      <c r="Q613" s="22">
        <f>O613+I613-P613</f>
        <v/>
      </c>
      <c r="BE613" s="20" t="n">
        <v>46269.5</v>
      </c>
      <c r="BF613" s="20" t="n">
        <v>46269.125</v>
      </c>
      <c r="BG613" s="20" t="n">
        <v>46269.5416666088</v>
      </c>
      <c r="BH613" s="20" t="n">
        <v>46269.625</v>
      </c>
    </row>
    <row r="614">
      <c r="A614" s="5">
        <f>A613+1</f>
        <v/>
      </c>
      <c r="B614" s="3">
        <f>-SUMIFS(df_extrato_zig!G:G,df_extrato_zig!E:E,Conciliacao!A614,df_extrato_zig!D:D,"Saque")-SUMIFS(df_extrato_zig!G:G,df_extrato_zig!E:E,Conciliacao!A614,df_extrato_zig!D:D,"Antecipação")</f>
        <v/>
      </c>
      <c r="C614" s="3">
        <f>SUMIFS(df_extrato_zig!E:E,df_extrato_zig!L:L,Conciliacao!A614,df_extrato_zig!F:F,"DINHEIRO")</f>
        <v/>
      </c>
      <c r="D614" s="3">
        <f>SUMIFS(view_parc_agrup!H:H,view_parc_agrup!G:G,Conciliacao!A614)</f>
        <v/>
      </c>
      <c r="E614" s="3">
        <f>SUMIFS(df_eventos!F:F,df_eventos!H:H,Conciliacao!A614)</f>
        <v/>
      </c>
      <c r="F614" s="3">
        <f>SUMIFS(df_mutuos!M:M,df_mutuos!B:B,Conciliacao!A614)</f>
        <v/>
      </c>
      <c r="G614" s="6">
        <f>SUMIFS(df_bloqueios_judiciais!G:G,df_bloqueios_judiciais!D:D,Conciliacao!A614,df_bloqueios_judiciais!G:G,"&gt;0")</f>
        <v/>
      </c>
      <c r="H614" s="7">
        <f>SUMIFS(df_extratos!I:I,df_extratos!F:F,Conciliacao!BE614,df_extratos!G:G,"CREDITO")+SUMIFS(df_extratos!I:I,df_extratos!F:F,Conciliacao!A614,df_extratos!G:G,"CREDITO")+SUMIFS(df_extratos!I:I,df_extratos!F:F,Conciliacao!BF614,df_extratos!G:G,"CREDITO")+SUMIFS(df_extratos!I:I,df_extratos!F:F,Conciliacao!BG614,df_extratos!G:G,"CREDITO")+SUMIFS(df_extratos!I:I,df_extratos!F:F,Conciliacao!BH614,df_extratos!G:G,"CREDITO")</f>
        <v/>
      </c>
      <c r="I614" s="9">
        <f>H614-SUM(B614:G614)</f>
        <v/>
      </c>
      <c r="J614" s="4">
        <f>SUMIFS(df_blueme_sem_parcelamento!E:E,df_blueme_sem_parcelamento!H:H,Conciliacao!A614)*(-1)</f>
        <v/>
      </c>
      <c r="K614" s="4">
        <f>SUMIFS(df_blueme_com_parcelamento!J:J,df_blueme_com_parcelamento!M:M,Conciliacao!A614)*(-1)</f>
        <v/>
      </c>
      <c r="L614" s="4">
        <f>SUMIFS(df_mutuos!N:N,df_mutuos!B:B,Conciliacao!A614)*(-1)</f>
        <v/>
      </c>
      <c r="M614" s="8">
        <f>SUMIFS(df_bloqueios_judiciais!G:G,df_bloqueios_judiciais!D:D,Conciliacao!A614,df_bloqueios_judiciais!G:G,"&lt;0")</f>
        <v/>
      </c>
      <c r="N614" s="10">
        <f>SUMIFS(df_extratos!I:I,df_extratos!F:F,Conciliacao!BE614,df_extratos!G:G,"DEBITO")+SUMIFS(df_extratos!I:I,df_extratos!F:F,Conciliacao!A614,df_extratos!G:G,"DEBITO")+SUMIFS(df_extratos!I:I,df_extratos!F:F,Conciliacao!BF614,df_extratos!G:G,"DEBITO")+SUMIFS(df_extratos!I:I,df_extratos!F:F,Conciliacao!BG614,df_extratos!G:G,"DEBITO")+SUMIFS(df_extratos!I:I,df_extratos!F:F,Conciliacao!BH614,df_extratos!G:G,"DEBITO")</f>
        <v/>
      </c>
      <c r="O614" s="11">
        <f>N614-SUM(J614:M614)</f>
        <v/>
      </c>
      <c r="P614" s="25">
        <f>SUMIFS(df_ajustes_conciliaco!D:D,df_ajustes_conciliaco!C:C,Conciliacao!A614)</f>
        <v/>
      </c>
      <c r="Q614" s="22">
        <f>O614+I614-P614</f>
        <v/>
      </c>
      <c r="BE614" s="20" t="n">
        <v>46270.5</v>
      </c>
      <c r="BF614" s="20" t="n">
        <v>46270.125</v>
      </c>
      <c r="BG614" s="20" t="n">
        <v>46270.5416666088</v>
      </c>
      <c r="BH614" s="20" t="n">
        <v>46270.625</v>
      </c>
    </row>
    <row r="615">
      <c r="A615" s="5">
        <f>A614+1</f>
        <v/>
      </c>
      <c r="B615" s="3">
        <f>-SUMIFS(df_extrato_zig!G:G,df_extrato_zig!E:E,Conciliacao!A615,df_extrato_zig!D:D,"Saque")-SUMIFS(df_extrato_zig!G:G,df_extrato_zig!E:E,Conciliacao!A615,df_extrato_zig!D:D,"Antecipação")</f>
        <v/>
      </c>
      <c r="C615" s="3">
        <f>SUMIFS(df_extrato_zig!E:E,df_extrato_zig!L:L,Conciliacao!A615,df_extrato_zig!F:F,"DINHEIRO")</f>
        <v/>
      </c>
      <c r="D615" s="3">
        <f>SUMIFS(view_parc_agrup!H:H,view_parc_agrup!G:G,Conciliacao!A615)</f>
        <v/>
      </c>
      <c r="E615" s="3">
        <f>SUMIFS(df_eventos!F:F,df_eventos!H:H,Conciliacao!A615)</f>
        <v/>
      </c>
      <c r="F615" s="3">
        <f>SUMIFS(df_mutuos!M:M,df_mutuos!B:B,Conciliacao!A615)</f>
        <v/>
      </c>
      <c r="G615" s="6">
        <f>SUMIFS(df_bloqueios_judiciais!G:G,df_bloqueios_judiciais!D:D,Conciliacao!A615,df_bloqueios_judiciais!G:G,"&gt;0")</f>
        <v/>
      </c>
      <c r="H615" s="7">
        <f>SUMIFS(df_extratos!I:I,df_extratos!F:F,Conciliacao!BE615,df_extratos!G:G,"CREDITO")+SUMIFS(df_extratos!I:I,df_extratos!F:F,Conciliacao!A615,df_extratos!G:G,"CREDITO")+SUMIFS(df_extratos!I:I,df_extratos!F:F,Conciliacao!BF615,df_extratos!G:G,"CREDITO")+SUMIFS(df_extratos!I:I,df_extratos!F:F,Conciliacao!BG615,df_extratos!G:G,"CREDITO")+SUMIFS(df_extratos!I:I,df_extratos!F:F,Conciliacao!BH615,df_extratos!G:G,"CREDITO")</f>
        <v/>
      </c>
      <c r="I615" s="9">
        <f>H615-SUM(B615:G615)</f>
        <v/>
      </c>
      <c r="J615" s="4">
        <f>SUMIFS(df_blueme_sem_parcelamento!E:E,df_blueme_sem_parcelamento!H:H,Conciliacao!A615)*(-1)</f>
        <v/>
      </c>
      <c r="K615" s="4">
        <f>SUMIFS(df_blueme_com_parcelamento!J:J,df_blueme_com_parcelamento!M:M,Conciliacao!A615)*(-1)</f>
        <v/>
      </c>
      <c r="L615" s="4">
        <f>SUMIFS(df_mutuos!N:N,df_mutuos!B:B,Conciliacao!A615)*(-1)</f>
        <v/>
      </c>
      <c r="M615" s="8">
        <f>SUMIFS(df_bloqueios_judiciais!G:G,df_bloqueios_judiciais!D:D,Conciliacao!A615,df_bloqueios_judiciais!G:G,"&lt;0")</f>
        <v/>
      </c>
      <c r="N615" s="10">
        <f>SUMIFS(df_extratos!I:I,df_extratos!F:F,Conciliacao!BE615,df_extratos!G:G,"DEBITO")+SUMIFS(df_extratos!I:I,df_extratos!F:F,Conciliacao!A615,df_extratos!G:G,"DEBITO")+SUMIFS(df_extratos!I:I,df_extratos!F:F,Conciliacao!BF615,df_extratos!G:G,"DEBITO")+SUMIFS(df_extratos!I:I,df_extratos!F:F,Conciliacao!BG615,df_extratos!G:G,"DEBITO")+SUMIFS(df_extratos!I:I,df_extratos!F:F,Conciliacao!BH615,df_extratos!G:G,"DEBITO")</f>
        <v/>
      </c>
      <c r="O615" s="11">
        <f>N615-SUM(J615:M615)</f>
        <v/>
      </c>
      <c r="P615" s="25">
        <f>SUMIFS(df_ajustes_conciliaco!D:D,df_ajustes_conciliaco!C:C,Conciliacao!A615)</f>
        <v/>
      </c>
      <c r="Q615" s="22">
        <f>O615+I615-P615</f>
        <v/>
      </c>
      <c r="BE615" s="20" t="n">
        <v>46271.5</v>
      </c>
      <c r="BF615" s="20" t="n">
        <v>46271.125</v>
      </c>
      <c r="BG615" s="20" t="n">
        <v>46271.5416666088</v>
      </c>
      <c r="BH615" s="20" t="n">
        <v>46271.625</v>
      </c>
    </row>
    <row r="616">
      <c r="A616" s="5">
        <f>A615+1</f>
        <v/>
      </c>
      <c r="B616" s="3">
        <f>-SUMIFS(df_extrato_zig!G:G,df_extrato_zig!E:E,Conciliacao!A616,df_extrato_zig!D:D,"Saque")-SUMIFS(df_extrato_zig!G:G,df_extrato_zig!E:E,Conciliacao!A616,df_extrato_zig!D:D,"Antecipação")</f>
        <v/>
      </c>
      <c r="C616" s="3">
        <f>SUMIFS(df_extrato_zig!E:E,df_extrato_zig!L:L,Conciliacao!A616,df_extrato_zig!F:F,"DINHEIRO")</f>
        <v/>
      </c>
      <c r="D616" s="3">
        <f>SUMIFS(view_parc_agrup!H:H,view_parc_agrup!G:G,Conciliacao!A616)</f>
        <v/>
      </c>
      <c r="E616" s="3">
        <f>SUMIFS(df_eventos!F:F,df_eventos!H:H,Conciliacao!A616)</f>
        <v/>
      </c>
      <c r="F616" s="3">
        <f>SUMIFS(df_mutuos!M:M,df_mutuos!B:B,Conciliacao!A616)</f>
        <v/>
      </c>
      <c r="G616" s="6">
        <f>SUMIFS(df_bloqueios_judiciais!G:G,df_bloqueios_judiciais!D:D,Conciliacao!A616,df_bloqueios_judiciais!G:G,"&gt;0")</f>
        <v/>
      </c>
      <c r="H616" s="7">
        <f>SUMIFS(df_extratos!I:I,df_extratos!F:F,Conciliacao!BE616,df_extratos!G:G,"CREDITO")+SUMIFS(df_extratos!I:I,df_extratos!F:F,Conciliacao!A616,df_extratos!G:G,"CREDITO")+SUMIFS(df_extratos!I:I,df_extratos!F:F,Conciliacao!BF616,df_extratos!G:G,"CREDITO")+SUMIFS(df_extratos!I:I,df_extratos!F:F,Conciliacao!BG616,df_extratos!G:G,"CREDITO")+SUMIFS(df_extratos!I:I,df_extratos!F:F,Conciliacao!BH616,df_extratos!G:G,"CREDITO")</f>
        <v/>
      </c>
      <c r="I616" s="9">
        <f>H616-SUM(B616:G616)</f>
        <v/>
      </c>
      <c r="J616" s="4">
        <f>SUMIFS(df_blueme_sem_parcelamento!E:E,df_blueme_sem_parcelamento!H:H,Conciliacao!A616)*(-1)</f>
        <v/>
      </c>
      <c r="K616" s="4">
        <f>SUMIFS(df_blueme_com_parcelamento!J:J,df_blueme_com_parcelamento!M:M,Conciliacao!A616)*(-1)</f>
        <v/>
      </c>
      <c r="L616" s="4">
        <f>SUMIFS(df_mutuos!N:N,df_mutuos!B:B,Conciliacao!A616)*(-1)</f>
        <v/>
      </c>
      <c r="M616" s="8">
        <f>SUMIFS(df_bloqueios_judiciais!G:G,df_bloqueios_judiciais!D:D,Conciliacao!A616,df_bloqueios_judiciais!G:G,"&lt;0")</f>
        <v/>
      </c>
      <c r="N616" s="10">
        <f>SUMIFS(df_extratos!I:I,df_extratos!F:F,Conciliacao!BE616,df_extratos!G:G,"DEBITO")+SUMIFS(df_extratos!I:I,df_extratos!F:F,Conciliacao!A616,df_extratos!G:G,"DEBITO")+SUMIFS(df_extratos!I:I,df_extratos!F:F,Conciliacao!BF616,df_extratos!G:G,"DEBITO")+SUMIFS(df_extratos!I:I,df_extratos!F:F,Conciliacao!BG616,df_extratos!G:G,"DEBITO")+SUMIFS(df_extratos!I:I,df_extratos!F:F,Conciliacao!BH616,df_extratos!G:G,"DEBITO")</f>
        <v/>
      </c>
      <c r="O616" s="11">
        <f>N616-SUM(J616:M616)</f>
        <v/>
      </c>
      <c r="P616" s="25">
        <f>SUMIFS(df_ajustes_conciliaco!D:D,df_ajustes_conciliaco!C:C,Conciliacao!A616)</f>
        <v/>
      </c>
      <c r="Q616" s="22">
        <f>O616+I616-P616</f>
        <v/>
      </c>
      <c r="BE616" s="20" t="n">
        <v>46272.5</v>
      </c>
      <c r="BF616" s="20" t="n">
        <v>46272.125</v>
      </c>
      <c r="BG616" s="20" t="n">
        <v>46272.5416666088</v>
      </c>
      <c r="BH616" s="20" t="n">
        <v>46272.625</v>
      </c>
    </row>
    <row r="617">
      <c r="A617" s="5">
        <f>A616+1</f>
        <v/>
      </c>
      <c r="B617" s="3">
        <f>-SUMIFS(df_extrato_zig!G:G,df_extrato_zig!E:E,Conciliacao!A617,df_extrato_zig!D:D,"Saque")-SUMIFS(df_extrato_zig!G:G,df_extrato_zig!E:E,Conciliacao!A617,df_extrato_zig!D:D,"Antecipação")</f>
        <v/>
      </c>
      <c r="C617" s="3">
        <f>SUMIFS(df_extrato_zig!E:E,df_extrato_zig!L:L,Conciliacao!A617,df_extrato_zig!F:F,"DINHEIRO")</f>
        <v/>
      </c>
      <c r="D617" s="3">
        <f>SUMIFS(view_parc_agrup!H:H,view_parc_agrup!G:G,Conciliacao!A617)</f>
        <v/>
      </c>
      <c r="E617" s="3">
        <f>SUMIFS(df_eventos!F:F,df_eventos!H:H,Conciliacao!A617)</f>
        <v/>
      </c>
      <c r="F617" s="3">
        <f>SUMIFS(df_mutuos!M:M,df_mutuos!B:B,Conciliacao!A617)</f>
        <v/>
      </c>
      <c r="G617" s="6">
        <f>SUMIFS(df_bloqueios_judiciais!G:G,df_bloqueios_judiciais!D:D,Conciliacao!A617,df_bloqueios_judiciais!G:G,"&gt;0")</f>
        <v/>
      </c>
      <c r="H617" s="7">
        <f>SUMIFS(df_extratos!I:I,df_extratos!F:F,Conciliacao!BE617,df_extratos!G:G,"CREDITO")+SUMIFS(df_extratos!I:I,df_extratos!F:F,Conciliacao!A617,df_extratos!G:G,"CREDITO")+SUMIFS(df_extratos!I:I,df_extratos!F:F,Conciliacao!BF617,df_extratos!G:G,"CREDITO")+SUMIFS(df_extratos!I:I,df_extratos!F:F,Conciliacao!BG617,df_extratos!G:G,"CREDITO")+SUMIFS(df_extratos!I:I,df_extratos!F:F,Conciliacao!BH617,df_extratos!G:G,"CREDITO")</f>
        <v/>
      </c>
      <c r="I617" s="9">
        <f>H617-SUM(B617:G617)</f>
        <v/>
      </c>
      <c r="J617" s="4">
        <f>SUMIFS(df_blueme_sem_parcelamento!E:E,df_blueme_sem_parcelamento!H:H,Conciliacao!A617)*(-1)</f>
        <v/>
      </c>
      <c r="K617" s="4">
        <f>SUMIFS(df_blueme_com_parcelamento!J:J,df_blueme_com_parcelamento!M:M,Conciliacao!A617)*(-1)</f>
        <v/>
      </c>
      <c r="L617" s="4">
        <f>SUMIFS(df_mutuos!N:N,df_mutuos!B:B,Conciliacao!A617)*(-1)</f>
        <v/>
      </c>
      <c r="M617" s="8">
        <f>SUMIFS(df_bloqueios_judiciais!G:G,df_bloqueios_judiciais!D:D,Conciliacao!A617,df_bloqueios_judiciais!G:G,"&lt;0")</f>
        <v/>
      </c>
      <c r="N617" s="10">
        <f>SUMIFS(df_extratos!I:I,df_extratos!F:F,Conciliacao!BE617,df_extratos!G:G,"DEBITO")+SUMIFS(df_extratos!I:I,df_extratos!F:F,Conciliacao!A617,df_extratos!G:G,"DEBITO")+SUMIFS(df_extratos!I:I,df_extratos!F:F,Conciliacao!BF617,df_extratos!G:G,"DEBITO")+SUMIFS(df_extratos!I:I,df_extratos!F:F,Conciliacao!BG617,df_extratos!G:G,"DEBITO")+SUMIFS(df_extratos!I:I,df_extratos!F:F,Conciliacao!BH617,df_extratos!G:G,"DEBITO")</f>
        <v/>
      </c>
      <c r="O617" s="11">
        <f>N617-SUM(J617:M617)</f>
        <v/>
      </c>
      <c r="P617" s="25">
        <f>SUMIFS(df_ajustes_conciliaco!D:D,df_ajustes_conciliaco!C:C,Conciliacao!A617)</f>
        <v/>
      </c>
      <c r="Q617" s="22">
        <f>O617+I617-P617</f>
        <v/>
      </c>
      <c r="BE617" s="20" t="n">
        <v>46273.5</v>
      </c>
      <c r="BF617" s="20" t="n">
        <v>46273.125</v>
      </c>
      <c r="BG617" s="20" t="n">
        <v>46273.5416666088</v>
      </c>
      <c r="BH617" s="20" t="n">
        <v>46273.625</v>
      </c>
    </row>
    <row r="618">
      <c r="A618" s="5">
        <f>A617+1</f>
        <v/>
      </c>
      <c r="B618" s="3">
        <f>-SUMIFS(df_extrato_zig!G:G,df_extrato_zig!E:E,Conciliacao!A618,df_extrato_zig!D:D,"Saque")-SUMIFS(df_extrato_zig!G:G,df_extrato_zig!E:E,Conciliacao!A618,df_extrato_zig!D:D,"Antecipação")</f>
        <v/>
      </c>
      <c r="C618" s="3">
        <f>SUMIFS(df_extrato_zig!E:E,df_extrato_zig!L:L,Conciliacao!A618,df_extrato_zig!F:F,"DINHEIRO")</f>
        <v/>
      </c>
      <c r="D618" s="3">
        <f>SUMIFS(view_parc_agrup!H:H,view_parc_agrup!G:G,Conciliacao!A618)</f>
        <v/>
      </c>
      <c r="E618" s="3">
        <f>SUMIFS(df_eventos!F:F,df_eventos!H:H,Conciliacao!A618)</f>
        <v/>
      </c>
      <c r="F618" s="3">
        <f>SUMIFS(df_mutuos!M:M,df_mutuos!B:B,Conciliacao!A618)</f>
        <v/>
      </c>
      <c r="G618" s="6">
        <f>SUMIFS(df_bloqueios_judiciais!G:G,df_bloqueios_judiciais!D:D,Conciliacao!A618,df_bloqueios_judiciais!G:G,"&gt;0")</f>
        <v/>
      </c>
      <c r="H618" s="7">
        <f>SUMIFS(df_extratos!I:I,df_extratos!F:F,Conciliacao!BE618,df_extratos!G:G,"CREDITO")+SUMIFS(df_extratos!I:I,df_extratos!F:F,Conciliacao!A618,df_extratos!G:G,"CREDITO")+SUMIFS(df_extratos!I:I,df_extratos!F:F,Conciliacao!BF618,df_extratos!G:G,"CREDITO")+SUMIFS(df_extratos!I:I,df_extratos!F:F,Conciliacao!BG618,df_extratos!G:G,"CREDITO")+SUMIFS(df_extratos!I:I,df_extratos!F:F,Conciliacao!BH618,df_extratos!G:G,"CREDITO")</f>
        <v/>
      </c>
      <c r="I618" s="9">
        <f>H618-SUM(B618:G618)</f>
        <v/>
      </c>
      <c r="J618" s="4">
        <f>SUMIFS(df_blueme_sem_parcelamento!E:E,df_blueme_sem_parcelamento!H:H,Conciliacao!A618)*(-1)</f>
        <v/>
      </c>
      <c r="K618" s="4">
        <f>SUMIFS(df_blueme_com_parcelamento!J:J,df_blueme_com_parcelamento!M:M,Conciliacao!A618)*(-1)</f>
        <v/>
      </c>
      <c r="L618" s="4">
        <f>SUMIFS(df_mutuos!N:N,df_mutuos!B:B,Conciliacao!A618)*(-1)</f>
        <v/>
      </c>
      <c r="M618" s="8">
        <f>SUMIFS(df_bloqueios_judiciais!G:G,df_bloqueios_judiciais!D:D,Conciliacao!A618,df_bloqueios_judiciais!G:G,"&lt;0")</f>
        <v/>
      </c>
      <c r="N618" s="10">
        <f>SUMIFS(df_extratos!I:I,df_extratos!F:F,Conciliacao!BE618,df_extratos!G:G,"DEBITO")+SUMIFS(df_extratos!I:I,df_extratos!F:F,Conciliacao!A618,df_extratos!G:G,"DEBITO")+SUMIFS(df_extratos!I:I,df_extratos!F:F,Conciliacao!BF618,df_extratos!G:G,"DEBITO")+SUMIFS(df_extratos!I:I,df_extratos!F:F,Conciliacao!BG618,df_extratos!G:G,"DEBITO")+SUMIFS(df_extratos!I:I,df_extratos!F:F,Conciliacao!BH618,df_extratos!G:G,"DEBITO")</f>
        <v/>
      </c>
      <c r="O618" s="11">
        <f>N618-SUM(J618:M618)</f>
        <v/>
      </c>
      <c r="P618" s="25">
        <f>SUMIFS(df_ajustes_conciliaco!D:D,df_ajustes_conciliaco!C:C,Conciliacao!A618)</f>
        <v/>
      </c>
      <c r="Q618" s="22">
        <f>O618+I618-P618</f>
        <v/>
      </c>
      <c r="BE618" s="20" t="n">
        <v>46274.5</v>
      </c>
      <c r="BF618" s="20" t="n">
        <v>46274.125</v>
      </c>
      <c r="BG618" s="20" t="n">
        <v>46274.5416666088</v>
      </c>
      <c r="BH618" s="20" t="n">
        <v>46274.625</v>
      </c>
    </row>
    <row r="619">
      <c r="A619" s="5">
        <f>A618+1</f>
        <v/>
      </c>
      <c r="B619" s="3">
        <f>-SUMIFS(df_extrato_zig!G:G,df_extrato_zig!E:E,Conciliacao!A619,df_extrato_zig!D:D,"Saque")-SUMIFS(df_extrato_zig!G:G,df_extrato_zig!E:E,Conciliacao!A619,df_extrato_zig!D:D,"Antecipação")</f>
        <v/>
      </c>
      <c r="C619" s="3">
        <f>SUMIFS(df_extrato_zig!E:E,df_extrato_zig!L:L,Conciliacao!A619,df_extrato_zig!F:F,"DINHEIRO")</f>
        <v/>
      </c>
      <c r="D619" s="3">
        <f>SUMIFS(view_parc_agrup!H:H,view_parc_agrup!G:G,Conciliacao!A619)</f>
        <v/>
      </c>
      <c r="E619" s="3">
        <f>SUMIFS(df_eventos!F:F,df_eventos!H:H,Conciliacao!A619)</f>
        <v/>
      </c>
      <c r="F619" s="3">
        <f>SUMIFS(df_mutuos!M:M,df_mutuos!B:B,Conciliacao!A619)</f>
        <v/>
      </c>
      <c r="G619" s="6">
        <f>SUMIFS(df_bloqueios_judiciais!G:G,df_bloqueios_judiciais!D:D,Conciliacao!A619,df_bloqueios_judiciais!G:G,"&gt;0")</f>
        <v/>
      </c>
      <c r="H619" s="7">
        <f>SUMIFS(df_extratos!I:I,df_extratos!F:F,Conciliacao!BE619,df_extratos!G:G,"CREDITO")+SUMIFS(df_extratos!I:I,df_extratos!F:F,Conciliacao!A619,df_extratos!G:G,"CREDITO")+SUMIFS(df_extratos!I:I,df_extratos!F:F,Conciliacao!BF619,df_extratos!G:G,"CREDITO")+SUMIFS(df_extratos!I:I,df_extratos!F:F,Conciliacao!BG619,df_extratos!G:G,"CREDITO")+SUMIFS(df_extratos!I:I,df_extratos!F:F,Conciliacao!BH619,df_extratos!G:G,"CREDITO")</f>
        <v/>
      </c>
      <c r="I619" s="9">
        <f>H619-SUM(B619:G619)</f>
        <v/>
      </c>
      <c r="J619" s="4">
        <f>SUMIFS(df_blueme_sem_parcelamento!E:E,df_blueme_sem_parcelamento!H:H,Conciliacao!A619)*(-1)</f>
        <v/>
      </c>
      <c r="K619" s="4">
        <f>SUMIFS(df_blueme_com_parcelamento!J:J,df_blueme_com_parcelamento!M:M,Conciliacao!A619)*(-1)</f>
        <v/>
      </c>
      <c r="L619" s="4">
        <f>SUMIFS(df_mutuos!N:N,df_mutuos!B:B,Conciliacao!A619)*(-1)</f>
        <v/>
      </c>
      <c r="M619" s="8">
        <f>SUMIFS(df_bloqueios_judiciais!G:G,df_bloqueios_judiciais!D:D,Conciliacao!A619,df_bloqueios_judiciais!G:G,"&lt;0")</f>
        <v/>
      </c>
      <c r="N619" s="10">
        <f>SUMIFS(df_extratos!I:I,df_extratos!F:F,Conciliacao!BE619,df_extratos!G:G,"DEBITO")+SUMIFS(df_extratos!I:I,df_extratos!F:F,Conciliacao!A619,df_extratos!G:G,"DEBITO")+SUMIFS(df_extratos!I:I,df_extratos!F:F,Conciliacao!BF619,df_extratos!G:G,"DEBITO")+SUMIFS(df_extratos!I:I,df_extratos!F:F,Conciliacao!BG619,df_extratos!G:G,"DEBITO")+SUMIFS(df_extratos!I:I,df_extratos!F:F,Conciliacao!BH619,df_extratos!G:G,"DEBITO")</f>
        <v/>
      </c>
      <c r="O619" s="11">
        <f>N619-SUM(J619:M619)</f>
        <v/>
      </c>
      <c r="P619" s="25">
        <f>SUMIFS(df_ajustes_conciliaco!D:D,df_ajustes_conciliaco!C:C,Conciliacao!A619)</f>
        <v/>
      </c>
      <c r="Q619" s="22">
        <f>O619+I619-P619</f>
        <v/>
      </c>
      <c r="BE619" s="20" t="n">
        <v>46275.5</v>
      </c>
      <c r="BF619" s="20" t="n">
        <v>46275.125</v>
      </c>
      <c r="BG619" s="20" t="n">
        <v>46275.5416666088</v>
      </c>
      <c r="BH619" s="20" t="n">
        <v>46275.625</v>
      </c>
    </row>
    <row r="620">
      <c r="A620" s="5">
        <f>A619+1</f>
        <v/>
      </c>
      <c r="B620" s="3">
        <f>-SUMIFS(df_extrato_zig!G:G,df_extrato_zig!E:E,Conciliacao!A620,df_extrato_zig!D:D,"Saque")-SUMIFS(df_extrato_zig!G:G,df_extrato_zig!E:E,Conciliacao!A620,df_extrato_zig!D:D,"Antecipação")</f>
        <v/>
      </c>
      <c r="C620" s="3">
        <f>SUMIFS(df_extrato_zig!E:E,df_extrato_zig!L:L,Conciliacao!A620,df_extrato_zig!F:F,"DINHEIRO")</f>
        <v/>
      </c>
      <c r="D620" s="3">
        <f>SUMIFS(view_parc_agrup!H:H,view_parc_agrup!G:G,Conciliacao!A620)</f>
        <v/>
      </c>
      <c r="E620" s="3">
        <f>SUMIFS(df_eventos!F:F,df_eventos!H:H,Conciliacao!A620)</f>
        <v/>
      </c>
      <c r="F620" s="3">
        <f>SUMIFS(df_mutuos!M:M,df_mutuos!B:B,Conciliacao!A620)</f>
        <v/>
      </c>
      <c r="G620" s="6">
        <f>SUMIFS(df_bloqueios_judiciais!G:G,df_bloqueios_judiciais!D:D,Conciliacao!A620,df_bloqueios_judiciais!G:G,"&gt;0")</f>
        <v/>
      </c>
      <c r="H620" s="7">
        <f>SUMIFS(df_extratos!I:I,df_extratos!F:F,Conciliacao!BE620,df_extratos!G:G,"CREDITO")+SUMIFS(df_extratos!I:I,df_extratos!F:F,Conciliacao!A620,df_extratos!G:G,"CREDITO")+SUMIFS(df_extratos!I:I,df_extratos!F:F,Conciliacao!BF620,df_extratos!G:G,"CREDITO")+SUMIFS(df_extratos!I:I,df_extratos!F:F,Conciliacao!BG620,df_extratos!G:G,"CREDITO")+SUMIFS(df_extratos!I:I,df_extratos!F:F,Conciliacao!BH620,df_extratos!G:G,"CREDITO")</f>
        <v/>
      </c>
      <c r="I620" s="9">
        <f>H620-SUM(B620:G620)</f>
        <v/>
      </c>
      <c r="J620" s="4">
        <f>SUMIFS(df_blueme_sem_parcelamento!E:E,df_blueme_sem_parcelamento!H:H,Conciliacao!A620)*(-1)</f>
        <v/>
      </c>
      <c r="K620" s="4">
        <f>SUMIFS(df_blueme_com_parcelamento!J:J,df_blueme_com_parcelamento!M:M,Conciliacao!A620)*(-1)</f>
        <v/>
      </c>
      <c r="L620" s="4">
        <f>SUMIFS(df_mutuos!N:N,df_mutuos!B:B,Conciliacao!A620)*(-1)</f>
        <v/>
      </c>
      <c r="M620" s="8">
        <f>SUMIFS(df_bloqueios_judiciais!G:G,df_bloqueios_judiciais!D:D,Conciliacao!A620,df_bloqueios_judiciais!G:G,"&lt;0")</f>
        <v/>
      </c>
      <c r="N620" s="10">
        <f>SUMIFS(df_extratos!I:I,df_extratos!F:F,Conciliacao!BE620,df_extratos!G:G,"DEBITO")+SUMIFS(df_extratos!I:I,df_extratos!F:F,Conciliacao!A620,df_extratos!G:G,"DEBITO")+SUMIFS(df_extratos!I:I,df_extratos!F:F,Conciliacao!BF620,df_extratos!G:G,"DEBITO")+SUMIFS(df_extratos!I:I,df_extratos!F:F,Conciliacao!BG620,df_extratos!G:G,"DEBITO")+SUMIFS(df_extratos!I:I,df_extratos!F:F,Conciliacao!BH620,df_extratos!G:G,"DEBITO")</f>
        <v/>
      </c>
      <c r="O620" s="11">
        <f>N620-SUM(J620:M620)</f>
        <v/>
      </c>
      <c r="P620" s="25">
        <f>SUMIFS(df_ajustes_conciliaco!D:D,df_ajustes_conciliaco!C:C,Conciliacao!A620)</f>
        <v/>
      </c>
      <c r="Q620" s="22">
        <f>O620+I620-P620</f>
        <v/>
      </c>
      <c r="BE620" s="20" t="n">
        <v>46276.5</v>
      </c>
      <c r="BF620" s="20" t="n">
        <v>46276.125</v>
      </c>
      <c r="BG620" s="20" t="n">
        <v>46276.5416666088</v>
      </c>
      <c r="BH620" s="20" t="n">
        <v>46276.625</v>
      </c>
    </row>
    <row r="621">
      <c r="A621" s="5">
        <f>A620+1</f>
        <v/>
      </c>
      <c r="B621" s="3">
        <f>-SUMIFS(df_extrato_zig!G:G,df_extrato_zig!E:E,Conciliacao!A621,df_extrato_zig!D:D,"Saque")-SUMIFS(df_extrato_zig!G:G,df_extrato_zig!E:E,Conciliacao!A621,df_extrato_zig!D:D,"Antecipação")</f>
        <v/>
      </c>
      <c r="C621" s="3">
        <f>SUMIFS(df_extrato_zig!E:E,df_extrato_zig!L:L,Conciliacao!A621,df_extrato_zig!F:F,"DINHEIRO")</f>
        <v/>
      </c>
      <c r="D621" s="3">
        <f>SUMIFS(view_parc_agrup!H:H,view_parc_agrup!G:G,Conciliacao!A621)</f>
        <v/>
      </c>
      <c r="E621" s="3">
        <f>SUMIFS(df_eventos!F:F,df_eventos!H:H,Conciliacao!A621)</f>
        <v/>
      </c>
      <c r="F621" s="3">
        <f>SUMIFS(df_mutuos!M:M,df_mutuos!B:B,Conciliacao!A621)</f>
        <v/>
      </c>
      <c r="G621" s="6">
        <f>SUMIFS(df_bloqueios_judiciais!G:G,df_bloqueios_judiciais!D:D,Conciliacao!A621,df_bloqueios_judiciais!G:G,"&gt;0")</f>
        <v/>
      </c>
      <c r="H621" s="7">
        <f>SUMIFS(df_extratos!I:I,df_extratos!F:F,Conciliacao!BE621,df_extratos!G:G,"CREDITO")+SUMIFS(df_extratos!I:I,df_extratos!F:F,Conciliacao!A621,df_extratos!G:G,"CREDITO")+SUMIFS(df_extratos!I:I,df_extratos!F:F,Conciliacao!BF621,df_extratos!G:G,"CREDITO")+SUMIFS(df_extratos!I:I,df_extratos!F:F,Conciliacao!BG621,df_extratos!G:G,"CREDITO")+SUMIFS(df_extratos!I:I,df_extratos!F:F,Conciliacao!BH621,df_extratos!G:G,"CREDITO")</f>
        <v/>
      </c>
      <c r="I621" s="9">
        <f>H621-SUM(B621:G621)</f>
        <v/>
      </c>
      <c r="J621" s="4">
        <f>SUMIFS(df_blueme_sem_parcelamento!E:E,df_blueme_sem_parcelamento!H:H,Conciliacao!A621)*(-1)</f>
        <v/>
      </c>
      <c r="K621" s="4">
        <f>SUMIFS(df_blueme_com_parcelamento!J:J,df_blueme_com_parcelamento!M:M,Conciliacao!A621)*(-1)</f>
        <v/>
      </c>
      <c r="L621" s="4">
        <f>SUMIFS(df_mutuos!N:N,df_mutuos!B:B,Conciliacao!A621)*(-1)</f>
        <v/>
      </c>
      <c r="M621" s="8">
        <f>SUMIFS(df_bloqueios_judiciais!G:G,df_bloqueios_judiciais!D:D,Conciliacao!A621,df_bloqueios_judiciais!G:G,"&lt;0")</f>
        <v/>
      </c>
      <c r="N621" s="10">
        <f>SUMIFS(df_extratos!I:I,df_extratos!F:F,Conciliacao!BE621,df_extratos!G:G,"DEBITO")+SUMIFS(df_extratos!I:I,df_extratos!F:F,Conciliacao!A621,df_extratos!G:G,"DEBITO")+SUMIFS(df_extratos!I:I,df_extratos!F:F,Conciliacao!BF621,df_extratos!G:G,"DEBITO")+SUMIFS(df_extratos!I:I,df_extratos!F:F,Conciliacao!BG621,df_extratos!G:G,"DEBITO")+SUMIFS(df_extratos!I:I,df_extratos!F:F,Conciliacao!BH621,df_extratos!G:G,"DEBITO")</f>
        <v/>
      </c>
      <c r="O621" s="11">
        <f>N621-SUM(J621:M621)</f>
        <v/>
      </c>
      <c r="P621" s="25">
        <f>SUMIFS(df_ajustes_conciliaco!D:D,df_ajustes_conciliaco!C:C,Conciliacao!A621)</f>
        <v/>
      </c>
      <c r="Q621" s="22">
        <f>O621+I621-P621</f>
        <v/>
      </c>
      <c r="BE621" s="20" t="n">
        <v>46277.5</v>
      </c>
      <c r="BF621" s="20" t="n">
        <v>46277.125</v>
      </c>
      <c r="BG621" s="20" t="n">
        <v>46277.5416666088</v>
      </c>
      <c r="BH621" s="20" t="n">
        <v>46277.625</v>
      </c>
    </row>
    <row r="622">
      <c r="A622" s="5">
        <f>A621+1</f>
        <v/>
      </c>
      <c r="B622" s="3">
        <f>-SUMIFS(df_extrato_zig!G:G,df_extrato_zig!E:E,Conciliacao!A622,df_extrato_zig!D:D,"Saque")-SUMIFS(df_extrato_zig!G:G,df_extrato_zig!E:E,Conciliacao!A622,df_extrato_zig!D:D,"Antecipação")</f>
        <v/>
      </c>
      <c r="C622" s="3">
        <f>SUMIFS(df_extrato_zig!E:E,df_extrato_zig!L:L,Conciliacao!A622,df_extrato_zig!F:F,"DINHEIRO")</f>
        <v/>
      </c>
      <c r="D622" s="3">
        <f>SUMIFS(view_parc_agrup!H:H,view_parc_agrup!G:G,Conciliacao!A622)</f>
        <v/>
      </c>
      <c r="E622" s="3">
        <f>SUMIFS(df_eventos!F:F,df_eventos!H:H,Conciliacao!A622)</f>
        <v/>
      </c>
      <c r="F622" s="3">
        <f>SUMIFS(df_mutuos!M:M,df_mutuos!B:B,Conciliacao!A622)</f>
        <v/>
      </c>
      <c r="G622" s="6">
        <f>SUMIFS(df_bloqueios_judiciais!G:G,df_bloqueios_judiciais!D:D,Conciliacao!A622,df_bloqueios_judiciais!G:G,"&gt;0")</f>
        <v/>
      </c>
      <c r="H622" s="7">
        <f>SUMIFS(df_extratos!I:I,df_extratos!F:F,Conciliacao!BE622,df_extratos!G:G,"CREDITO")+SUMIFS(df_extratos!I:I,df_extratos!F:F,Conciliacao!A622,df_extratos!G:G,"CREDITO")+SUMIFS(df_extratos!I:I,df_extratos!F:F,Conciliacao!BF622,df_extratos!G:G,"CREDITO")+SUMIFS(df_extratos!I:I,df_extratos!F:F,Conciliacao!BG622,df_extratos!G:G,"CREDITO")+SUMIFS(df_extratos!I:I,df_extratos!F:F,Conciliacao!BH622,df_extratos!G:G,"CREDITO")</f>
        <v/>
      </c>
      <c r="I622" s="9">
        <f>H622-SUM(B622:G622)</f>
        <v/>
      </c>
      <c r="J622" s="4">
        <f>SUMIFS(df_blueme_sem_parcelamento!E:E,df_blueme_sem_parcelamento!H:H,Conciliacao!A622)*(-1)</f>
        <v/>
      </c>
      <c r="K622" s="4">
        <f>SUMIFS(df_blueme_com_parcelamento!J:J,df_blueme_com_parcelamento!M:M,Conciliacao!A622)*(-1)</f>
        <v/>
      </c>
      <c r="L622" s="4">
        <f>SUMIFS(df_mutuos!N:N,df_mutuos!B:B,Conciliacao!A622)*(-1)</f>
        <v/>
      </c>
      <c r="M622" s="8">
        <f>SUMIFS(df_bloqueios_judiciais!G:G,df_bloqueios_judiciais!D:D,Conciliacao!A622,df_bloqueios_judiciais!G:G,"&lt;0")</f>
        <v/>
      </c>
      <c r="N622" s="10">
        <f>SUMIFS(df_extratos!I:I,df_extratos!F:F,Conciliacao!BE622,df_extratos!G:G,"DEBITO")+SUMIFS(df_extratos!I:I,df_extratos!F:F,Conciliacao!A622,df_extratos!G:G,"DEBITO")+SUMIFS(df_extratos!I:I,df_extratos!F:F,Conciliacao!BF622,df_extratos!G:G,"DEBITO")+SUMIFS(df_extratos!I:I,df_extratos!F:F,Conciliacao!BG622,df_extratos!G:G,"DEBITO")+SUMIFS(df_extratos!I:I,df_extratos!F:F,Conciliacao!BH622,df_extratos!G:G,"DEBITO")</f>
        <v/>
      </c>
      <c r="O622" s="11">
        <f>N622-SUM(J622:M622)</f>
        <v/>
      </c>
      <c r="P622" s="25">
        <f>SUMIFS(df_ajustes_conciliaco!D:D,df_ajustes_conciliaco!C:C,Conciliacao!A622)</f>
        <v/>
      </c>
      <c r="Q622" s="22">
        <f>O622+I622-P622</f>
        <v/>
      </c>
      <c r="BE622" s="20" t="n">
        <v>46278.5</v>
      </c>
      <c r="BF622" s="20" t="n">
        <v>46278.125</v>
      </c>
      <c r="BG622" s="20" t="n">
        <v>46278.5416666088</v>
      </c>
      <c r="BH622" s="20" t="n">
        <v>46278.625</v>
      </c>
    </row>
    <row r="623">
      <c r="A623" s="5">
        <f>A622+1</f>
        <v/>
      </c>
      <c r="B623" s="3">
        <f>-SUMIFS(df_extrato_zig!G:G,df_extrato_zig!E:E,Conciliacao!A623,df_extrato_zig!D:D,"Saque")-SUMIFS(df_extrato_zig!G:G,df_extrato_zig!E:E,Conciliacao!A623,df_extrato_zig!D:D,"Antecipação")</f>
        <v/>
      </c>
      <c r="C623" s="3">
        <f>SUMIFS(df_extrato_zig!E:E,df_extrato_zig!L:L,Conciliacao!A623,df_extrato_zig!F:F,"DINHEIRO")</f>
        <v/>
      </c>
      <c r="D623" s="3">
        <f>SUMIFS(view_parc_agrup!H:H,view_parc_agrup!G:G,Conciliacao!A623)</f>
        <v/>
      </c>
      <c r="E623" s="3">
        <f>SUMIFS(df_eventos!F:F,df_eventos!H:H,Conciliacao!A623)</f>
        <v/>
      </c>
      <c r="F623" s="3">
        <f>SUMIFS(df_mutuos!M:M,df_mutuos!B:B,Conciliacao!A623)</f>
        <v/>
      </c>
      <c r="G623" s="6">
        <f>SUMIFS(df_bloqueios_judiciais!G:G,df_bloqueios_judiciais!D:D,Conciliacao!A623,df_bloqueios_judiciais!G:G,"&gt;0")</f>
        <v/>
      </c>
      <c r="H623" s="7">
        <f>SUMIFS(df_extratos!I:I,df_extratos!F:F,Conciliacao!BE623,df_extratos!G:G,"CREDITO")+SUMIFS(df_extratos!I:I,df_extratos!F:F,Conciliacao!A623,df_extratos!G:G,"CREDITO")+SUMIFS(df_extratos!I:I,df_extratos!F:F,Conciliacao!BF623,df_extratos!G:G,"CREDITO")+SUMIFS(df_extratos!I:I,df_extratos!F:F,Conciliacao!BG623,df_extratos!G:G,"CREDITO")+SUMIFS(df_extratos!I:I,df_extratos!F:F,Conciliacao!BH623,df_extratos!G:G,"CREDITO")</f>
        <v/>
      </c>
      <c r="I623" s="9">
        <f>H623-SUM(B623:G623)</f>
        <v/>
      </c>
      <c r="J623" s="4">
        <f>SUMIFS(df_blueme_sem_parcelamento!E:E,df_blueme_sem_parcelamento!H:H,Conciliacao!A623)*(-1)</f>
        <v/>
      </c>
      <c r="K623" s="4">
        <f>SUMIFS(df_blueme_com_parcelamento!J:J,df_blueme_com_parcelamento!M:M,Conciliacao!A623)*(-1)</f>
        <v/>
      </c>
      <c r="L623" s="4">
        <f>SUMIFS(df_mutuos!N:N,df_mutuos!B:B,Conciliacao!A623)*(-1)</f>
        <v/>
      </c>
      <c r="M623" s="8">
        <f>SUMIFS(df_bloqueios_judiciais!G:G,df_bloqueios_judiciais!D:D,Conciliacao!A623,df_bloqueios_judiciais!G:G,"&lt;0")</f>
        <v/>
      </c>
      <c r="N623" s="10">
        <f>SUMIFS(df_extratos!I:I,df_extratos!F:F,Conciliacao!BE623,df_extratos!G:G,"DEBITO")+SUMIFS(df_extratos!I:I,df_extratos!F:F,Conciliacao!A623,df_extratos!G:G,"DEBITO")+SUMIFS(df_extratos!I:I,df_extratos!F:F,Conciliacao!BF623,df_extratos!G:G,"DEBITO")+SUMIFS(df_extratos!I:I,df_extratos!F:F,Conciliacao!BG623,df_extratos!G:G,"DEBITO")+SUMIFS(df_extratos!I:I,df_extratos!F:F,Conciliacao!BH623,df_extratos!G:G,"DEBITO")</f>
        <v/>
      </c>
      <c r="O623" s="11">
        <f>N623-SUM(J623:M623)</f>
        <v/>
      </c>
      <c r="P623" s="25">
        <f>SUMIFS(df_ajustes_conciliaco!D:D,df_ajustes_conciliaco!C:C,Conciliacao!A623)</f>
        <v/>
      </c>
      <c r="Q623" s="22">
        <f>O623+I623-P623</f>
        <v/>
      </c>
      <c r="BE623" s="20" t="n">
        <v>46279.5</v>
      </c>
      <c r="BF623" s="20" t="n">
        <v>46279.125</v>
      </c>
      <c r="BG623" s="20" t="n">
        <v>46279.5416666088</v>
      </c>
      <c r="BH623" s="20" t="n">
        <v>46279.625</v>
      </c>
    </row>
    <row r="624">
      <c r="A624" s="5">
        <f>A623+1</f>
        <v/>
      </c>
      <c r="B624" s="3">
        <f>-SUMIFS(df_extrato_zig!G:G,df_extrato_zig!E:E,Conciliacao!A624,df_extrato_zig!D:D,"Saque")-SUMIFS(df_extrato_zig!G:G,df_extrato_zig!E:E,Conciliacao!A624,df_extrato_zig!D:D,"Antecipação")</f>
        <v/>
      </c>
      <c r="C624" s="3">
        <f>SUMIFS(df_extrato_zig!E:E,df_extrato_zig!L:L,Conciliacao!A624,df_extrato_zig!F:F,"DINHEIRO")</f>
        <v/>
      </c>
      <c r="D624" s="3">
        <f>SUMIFS(view_parc_agrup!H:H,view_parc_agrup!G:G,Conciliacao!A624)</f>
        <v/>
      </c>
      <c r="E624" s="3">
        <f>SUMIFS(df_eventos!F:F,df_eventos!H:H,Conciliacao!A624)</f>
        <v/>
      </c>
      <c r="F624" s="3">
        <f>SUMIFS(df_mutuos!M:M,df_mutuos!B:B,Conciliacao!A624)</f>
        <v/>
      </c>
      <c r="G624" s="6">
        <f>SUMIFS(df_bloqueios_judiciais!G:G,df_bloqueios_judiciais!D:D,Conciliacao!A624,df_bloqueios_judiciais!G:G,"&gt;0")</f>
        <v/>
      </c>
      <c r="H624" s="7">
        <f>SUMIFS(df_extratos!I:I,df_extratos!F:F,Conciliacao!BE624,df_extratos!G:G,"CREDITO")+SUMIFS(df_extratos!I:I,df_extratos!F:F,Conciliacao!A624,df_extratos!G:G,"CREDITO")+SUMIFS(df_extratos!I:I,df_extratos!F:F,Conciliacao!BF624,df_extratos!G:G,"CREDITO")+SUMIFS(df_extratos!I:I,df_extratos!F:F,Conciliacao!BG624,df_extratos!G:G,"CREDITO")+SUMIFS(df_extratos!I:I,df_extratos!F:F,Conciliacao!BH624,df_extratos!G:G,"CREDITO")</f>
        <v/>
      </c>
      <c r="I624" s="9">
        <f>H624-SUM(B624:G624)</f>
        <v/>
      </c>
      <c r="J624" s="4">
        <f>SUMIFS(df_blueme_sem_parcelamento!E:E,df_blueme_sem_parcelamento!H:H,Conciliacao!A624)*(-1)</f>
        <v/>
      </c>
      <c r="K624" s="4">
        <f>SUMIFS(df_blueme_com_parcelamento!J:J,df_blueme_com_parcelamento!M:M,Conciliacao!A624)*(-1)</f>
        <v/>
      </c>
      <c r="L624" s="4">
        <f>SUMIFS(df_mutuos!N:N,df_mutuos!B:B,Conciliacao!A624)*(-1)</f>
        <v/>
      </c>
      <c r="M624" s="8">
        <f>SUMIFS(df_bloqueios_judiciais!G:G,df_bloqueios_judiciais!D:D,Conciliacao!A624,df_bloqueios_judiciais!G:G,"&lt;0")</f>
        <v/>
      </c>
      <c r="N624" s="10">
        <f>SUMIFS(df_extratos!I:I,df_extratos!F:F,Conciliacao!BE624,df_extratos!G:G,"DEBITO")+SUMIFS(df_extratos!I:I,df_extratos!F:F,Conciliacao!A624,df_extratos!G:G,"DEBITO")+SUMIFS(df_extratos!I:I,df_extratos!F:F,Conciliacao!BF624,df_extratos!G:G,"DEBITO")+SUMIFS(df_extratos!I:I,df_extratos!F:F,Conciliacao!BG624,df_extratos!G:G,"DEBITO")+SUMIFS(df_extratos!I:I,df_extratos!F:F,Conciliacao!BH624,df_extratos!G:G,"DEBITO")</f>
        <v/>
      </c>
      <c r="O624" s="11">
        <f>N624-SUM(J624:M624)</f>
        <v/>
      </c>
      <c r="P624" s="25">
        <f>SUMIFS(df_ajustes_conciliaco!D:D,df_ajustes_conciliaco!C:C,Conciliacao!A624)</f>
        <v/>
      </c>
      <c r="Q624" s="22">
        <f>O624+I624-P624</f>
        <v/>
      </c>
      <c r="BE624" s="20" t="n">
        <v>46280.5</v>
      </c>
      <c r="BF624" s="20" t="n">
        <v>46280.125</v>
      </c>
      <c r="BG624" s="20" t="n">
        <v>46280.5416666088</v>
      </c>
      <c r="BH624" s="20" t="n">
        <v>46280.625</v>
      </c>
    </row>
    <row r="625">
      <c r="A625" s="5">
        <f>A624+1</f>
        <v/>
      </c>
      <c r="B625" s="3">
        <f>-SUMIFS(df_extrato_zig!G:G,df_extrato_zig!E:E,Conciliacao!A625,df_extrato_zig!D:D,"Saque")-SUMIFS(df_extrato_zig!G:G,df_extrato_zig!E:E,Conciliacao!A625,df_extrato_zig!D:D,"Antecipação")</f>
        <v/>
      </c>
      <c r="C625" s="3">
        <f>SUMIFS(df_extrato_zig!E:E,df_extrato_zig!L:L,Conciliacao!A625,df_extrato_zig!F:F,"DINHEIRO")</f>
        <v/>
      </c>
      <c r="D625" s="3">
        <f>SUMIFS(view_parc_agrup!H:H,view_parc_agrup!G:G,Conciliacao!A625)</f>
        <v/>
      </c>
      <c r="E625" s="3">
        <f>SUMIFS(df_eventos!F:F,df_eventos!H:H,Conciliacao!A625)</f>
        <v/>
      </c>
      <c r="F625" s="3">
        <f>SUMIFS(df_mutuos!M:M,df_mutuos!B:B,Conciliacao!A625)</f>
        <v/>
      </c>
      <c r="G625" s="6">
        <f>SUMIFS(df_bloqueios_judiciais!G:G,df_bloqueios_judiciais!D:D,Conciliacao!A625,df_bloqueios_judiciais!G:G,"&gt;0")</f>
        <v/>
      </c>
      <c r="H625" s="7">
        <f>SUMIFS(df_extratos!I:I,df_extratos!F:F,Conciliacao!BE625,df_extratos!G:G,"CREDITO")+SUMIFS(df_extratos!I:I,df_extratos!F:F,Conciliacao!A625,df_extratos!G:G,"CREDITO")+SUMIFS(df_extratos!I:I,df_extratos!F:F,Conciliacao!BF625,df_extratos!G:G,"CREDITO")+SUMIFS(df_extratos!I:I,df_extratos!F:F,Conciliacao!BG625,df_extratos!G:G,"CREDITO")+SUMIFS(df_extratos!I:I,df_extratos!F:F,Conciliacao!BH625,df_extratos!G:G,"CREDITO")</f>
        <v/>
      </c>
      <c r="I625" s="9">
        <f>H625-SUM(B625:G625)</f>
        <v/>
      </c>
      <c r="J625" s="4">
        <f>SUMIFS(df_blueme_sem_parcelamento!E:E,df_blueme_sem_parcelamento!H:H,Conciliacao!A625)*(-1)</f>
        <v/>
      </c>
      <c r="K625" s="4">
        <f>SUMIFS(df_blueme_com_parcelamento!J:J,df_blueme_com_parcelamento!M:M,Conciliacao!A625)*(-1)</f>
        <v/>
      </c>
      <c r="L625" s="4">
        <f>SUMIFS(df_mutuos!N:N,df_mutuos!B:B,Conciliacao!A625)*(-1)</f>
        <v/>
      </c>
      <c r="M625" s="8">
        <f>SUMIFS(df_bloqueios_judiciais!G:G,df_bloqueios_judiciais!D:D,Conciliacao!A625,df_bloqueios_judiciais!G:G,"&lt;0")</f>
        <v/>
      </c>
      <c r="N625" s="10">
        <f>SUMIFS(df_extratos!I:I,df_extratos!F:F,Conciliacao!BE625,df_extratos!G:G,"DEBITO")+SUMIFS(df_extratos!I:I,df_extratos!F:F,Conciliacao!A625,df_extratos!G:G,"DEBITO")+SUMIFS(df_extratos!I:I,df_extratos!F:F,Conciliacao!BF625,df_extratos!G:G,"DEBITO")+SUMIFS(df_extratos!I:I,df_extratos!F:F,Conciliacao!BG625,df_extratos!G:G,"DEBITO")+SUMIFS(df_extratos!I:I,df_extratos!F:F,Conciliacao!BH625,df_extratos!G:G,"DEBITO")</f>
        <v/>
      </c>
      <c r="O625" s="11">
        <f>N625-SUM(J625:M625)</f>
        <v/>
      </c>
      <c r="P625" s="25">
        <f>SUMIFS(df_ajustes_conciliaco!D:D,df_ajustes_conciliaco!C:C,Conciliacao!A625)</f>
        <v/>
      </c>
      <c r="Q625" s="22">
        <f>O625+I625-P625</f>
        <v/>
      </c>
      <c r="BE625" s="20" t="n">
        <v>46281.5</v>
      </c>
      <c r="BF625" s="20" t="n">
        <v>46281.125</v>
      </c>
      <c r="BG625" s="20" t="n">
        <v>46281.5416666088</v>
      </c>
      <c r="BH625" s="20" t="n">
        <v>46281.625</v>
      </c>
    </row>
    <row r="626">
      <c r="A626" s="5">
        <f>A625+1</f>
        <v/>
      </c>
      <c r="B626" s="3">
        <f>-SUMIFS(df_extrato_zig!G:G,df_extrato_zig!E:E,Conciliacao!A626,df_extrato_zig!D:D,"Saque")-SUMIFS(df_extrato_zig!G:G,df_extrato_zig!E:E,Conciliacao!A626,df_extrato_zig!D:D,"Antecipação")</f>
        <v/>
      </c>
      <c r="C626" s="3">
        <f>SUMIFS(df_extrato_zig!E:E,df_extrato_zig!L:L,Conciliacao!A626,df_extrato_zig!F:F,"DINHEIRO")</f>
        <v/>
      </c>
      <c r="D626" s="3">
        <f>SUMIFS(view_parc_agrup!H:H,view_parc_agrup!G:G,Conciliacao!A626)</f>
        <v/>
      </c>
      <c r="E626" s="3">
        <f>SUMIFS(df_eventos!F:F,df_eventos!H:H,Conciliacao!A626)</f>
        <v/>
      </c>
      <c r="F626" s="3">
        <f>SUMIFS(df_mutuos!M:M,df_mutuos!B:B,Conciliacao!A626)</f>
        <v/>
      </c>
      <c r="G626" s="6">
        <f>SUMIFS(df_bloqueios_judiciais!G:G,df_bloqueios_judiciais!D:D,Conciliacao!A626,df_bloqueios_judiciais!G:G,"&gt;0")</f>
        <v/>
      </c>
      <c r="H626" s="7">
        <f>SUMIFS(df_extratos!I:I,df_extratos!F:F,Conciliacao!BE626,df_extratos!G:G,"CREDITO")+SUMIFS(df_extratos!I:I,df_extratos!F:F,Conciliacao!A626,df_extratos!G:G,"CREDITO")+SUMIFS(df_extratos!I:I,df_extratos!F:F,Conciliacao!BF626,df_extratos!G:G,"CREDITO")+SUMIFS(df_extratos!I:I,df_extratos!F:F,Conciliacao!BG626,df_extratos!G:G,"CREDITO")+SUMIFS(df_extratos!I:I,df_extratos!F:F,Conciliacao!BH626,df_extratos!G:G,"CREDITO")</f>
        <v/>
      </c>
      <c r="I626" s="9">
        <f>H626-SUM(B626:G626)</f>
        <v/>
      </c>
      <c r="J626" s="4">
        <f>SUMIFS(df_blueme_sem_parcelamento!E:E,df_blueme_sem_parcelamento!H:H,Conciliacao!A626)*(-1)</f>
        <v/>
      </c>
      <c r="K626" s="4">
        <f>SUMIFS(df_blueme_com_parcelamento!J:J,df_blueme_com_parcelamento!M:M,Conciliacao!A626)*(-1)</f>
        <v/>
      </c>
      <c r="L626" s="4">
        <f>SUMIFS(df_mutuos!N:N,df_mutuos!B:B,Conciliacao!A626)*(-1)</f>
        <v/>
      </c>
      <c r="M626" s="8">
        <f>SUMIFS(df_bloqueios_judiciais!G:G,df_bloqueios_judiciais!D:D,Conciliacao!A626,df_bloqueios_judiciais!G:G,"&lt;0")</f>
        <v/>
      </c>
      <c r="N626" s="10">
        <f>SUMIFS(df_extratos!I:I,df_extratos!F:F,Conciliacao!BE626,df_extratos!G:G,"DEBITO")+SUMIFS(df_extratos!I:I,df_extratos!F:F,Conciliacao!A626,df_extratos!G:G,"DEBITO")+SUMIFS(df_extratos!I:I,df_extratos!F:F,Conciliacao!BF626,df_extratos!G:G,"DEBITO")+SUMIFS(df_extratos!I:I,df_extratos!F:F,Conciliacao!BG626,df_extratos!G:G,"DEBITO")+SUMIFS(df_extratos!I:I,df_extratos!F:F,Conciliacao!BH626,df_extratos!G:G,"DEBITO")</f>
        <v/>
      </c>
      <c r="O626" s="11">
        <f>N626-SUM(J626:M626)</f>
        <v/>
      </c>
      <c r="P626" s="25">
        <f>SUMIFS(df_ajustes_conciliaco!D:D,df_ajustes_conciliaco!C:C,Conciliacao!A626)</f>
        <v/>
      </c>
      <c r="Q626" s="22">
        <f>O626+I626-P626</f>
        <v/>
      </c>
      <c r="BE626" s="20" t="n">
        <v>46282.5</v>
      </c>
      <c r="BF626" s="20" t="n">
        <v>46282.125</v>
      </c>
      <c r="BG626" s="20" t="n">
        <v>46282.5416666088</v>
      </c>
      <c r="BH626" s="20" t="n">
        <v>46282.625</v>
      </c>
    </row>
    <row r="627">
      <c r="A627" s="5">
        <f>A626+1</f>
        <v/>
      </c>
      <c r="B627" s="3">
        <f>-SUMIFS(df_extrato_zig!G:G,df_extrato_zig!E:E,Conciliacao!A627,df_extrato_zig!D:D,"Saque")-SUMIFS(df_extrato_zig!G:G,df_extrato_zig!E:E,Conciliacao!A627,df_extrato_zig!D:D,"Antecipação")</f>
        <v/>
      </c>
      <c r="C627" s="3">
        <f>SUMIFS(df_extrato_zig!E:E,df_extrato_zig!L:L,Conciliacao!A627,df_extrato_zig!F:F,"DINHEIRO")</f>
        <v/>
      </c>
      <c r="D627" s="3">
        <f>SUMIFS(view_parc_agrup!H:H,view_parc_agrup!G:G,Conciliacao!A627)</f>
        <v/>
      </c>
      <c r="E627" s="3">
        <f>SUMIFS(df_eventos!F:F,df_eventos!H:H,Conciliacao!A627)</f>
        <v/>
      </c>
      <c r="F627" s="3">
        <f>SUMIFS(df_mutuos!M:M,df_mutuos!B:B,Conciliacao!A627)</f>
        <v/>
      </c>
      <c r="G627" s="6">
        <f>SUMIFS(df_bloqueios_judiciais!G:G,df_bloqueios_judiciais!D:D,Conciliacao!A627,df_bloqueios_judiciais!G:G,"&gt;0")</f>
        <v/>
      </c>
      <c r="H627" s="7">
        <f>SUMIFS(df_extratos!I:I,df_extratos!F:F,Conciliacao!BE627,df_extratos!G:G,"CREDITO")+SUMIFS(df_extratos!I:I,df_extratos!F:F,Conciliacao!A627,df_extratos!G:G,"CREDITO")+SUMIFS(df_extratos!I:I,df_extratos!F:F,Conciliacao!BF627,df_extratos!G:G,"CREDITO")+SUMIFS(df_extratos!I:I,df_extratos!F:F,Conciliacao!BG627,df_extratos!G:G,"CREDITO")+SUMIFS(df_extratos!I:I,df_extratos!F:F,Conciliacao!BH627,df_extratos!G:G,"CREDITO")</f>
        <v/>
      </c>
      <c r="I627" s="9">
        <f>H627-SUM(B627:G627)</f>
        <v/>
      </c>
      <c r="J627" s="4">
        <f>SUMIFS(df_blueme_sem_parcelamento!E:E,df_blueme_sem_parcelamento!H:H,Conciliacao!A627)*(-1)</f>
        <v/>
      </c>
      <c r="K627" s="4">
        <f>SUMIFS(df_blueme_com_parcelamento!J:J,df_blueme_com_parcelamento!M:M,Conciliacao!A627)*(-1)</f>
        <v/>
      </c>
      <c r="L627" s="4">
        <f>SUMIFS(df_mutuos!N:N,df_mutuos!B:B,Conciliacao!A627)*(-1)</f>
        <v/>
      </c>
      <c r="M627" s="8">
        <f>SUMIFS(df_bloqueios_judiciais!G:G,df_bloqueios_judiciais!D:D,Conciliacao!A627,df_bloqueios_judiciais!G:G,"&lt;0")</f>
        <v/>
      </c>
      <c r="N627" s="10">
        <f>SUMIFS(df_extratos!I:I,df_extratos!F:F,Conciliacao!BE627,df_extratos!G:G,"DEBITO")+SUMIFS(df_extratos!I:I,df_extratos!F:F,Conciliacao!A627,df_extratos!G:G,"DEBITO")+SUMIFS(df_extratos!I:I,df_extratos!F:F,Conciliacao!BF627,df_extratos!G:G,"DEBITO")+SUMIFS(df_extratos!I:I,df_extratos!F:F,Conciliacao!BG627,df_extratos!G:G,"DEBITO")+SUMIFS(df_extratos!I:I,df_extratos!F:F,Conciliacao!BH627,df_extratos!G:G,"DEBITO")</f>
        <v/>
      </c>
      <c r="O627" s="11">
        <f>N627-SUM(J627:M627)</f>
        <v/>
      </c>
      <c r="P627" s="25">
        <f>SUMIFS(df_ajustes_conciliaco!D:D,df_ajustes_conciliaco!C:C,Conciliacao!A627)</f>
        <v/>
      </c>
      <c r="Q627" s="22">
        <f>O627+I627-P627</f>
        <v/>
      </c>
      <c r="BE627" s="20" t="n">
        <v>46283.5</v>
      </c>
      <c r="BF627" s="20" t="n">
        <v>46283.125</v>
      </c>
      <c r="BG627" s="20" t="n">
        <v>46283.5416666088</v>
      </c>
      <c r="BH627" s="20" t="n">
        <v>46283.625</v>
      </c>
    </row>
    <row r="628">
      <c r="A628" s="5">
        <f>A627+1</f>
        <v/>
      </c>
      <c r="B628" s="3">
        <f>-SUMIFS(df_extrato_zig!G:G,df_extrato_zig!E:E,Conciliacao!A628,df_extrato_zig!D:D,"Saque")-SUMIFS(df_extrato_zig!G:G,df_extrato_zig!E:E,Conciliacao!A628,df_extrato_zig!D:D,"Antecipação")</f>
        <v/>
      </c>
      <c r="C628" s="3">
        <f>SUMIFS(df_extrato_zig!E:E,df_extrato_zig!L:L,Conciliacao!A628,df_extrato_zig!F:F,"DINHEIRO")</f>
        <v/>
      </c>
      <c r="D628" s="3">
        <f>SUMIFS(view_parc_agrup!H:H,view_parc_agrup!G:G,Conciliacao!A628)</f>
        <v/>
      </c>
      <c r="E628" s="3">
        <f>SUMIFS(df_eventos!F:F,df_eventos!H:H,Conciliacao!A628)</f>
        <v/>
      </c>
      <c r="F628" s="3">
        <f>SUMIFS(df_mutuos!M:M,df_mutuos!B:B,Conciliacao!A628)</f>
        <v/>
      </c>
      <c r="G628" s="6">
        <f>SUMIFS(df_bloqueios_judiciais!G:G,df_bloqueios_judiciais!D:D,Conciliacao!A628,df_bloqueios_judiciais!G:G,"&gt;0")</f>
        <v/>
      </c>
      <c r="H628" s="7">
        <f>SUMIFS(df_extratos!I:I,df_extratos!F:F,Conciliacao!BE628,df_extratos!G:G,"CREDITO")+SUMIFS(df_extratos!I:I,df_extratos!F:F,Conciliacao!A628,df_extratos!G:G,"CREDITO")+SUMIFS(df_extratos!I:I,df_extratos!F:F,Conciliacao!BF628,df_extratos!G:G,"CREDITO")+SUMIFS(df_extratos!I:I,df_extratos!F:F,Conciliacao!BG628,df_extratos!G:G,"CREDITO")+SUMIFS(df_extratos!I:I,df_extratos!F:F,Conciliacao!BH628,df_extratos!G:G,"CREDITO")</f>
        <v/>
      </c>
      <c r="I628" s="9">
        <f>H628-SUM(B628:G628)</f>
        <v/>
      </c>
      <c r="J628" s="4">
        <f>SUMIFS(df_blueme_sem_parcelamento!E:E,df_blueme_sem_parcelamento!H:H,Conciliacao!A628)*(-1)</f>
        <v/>
      </c>
      <c r="K628" s="4">
        <f>SUMIFS(df_blueme_com_parcelamento!J:J,df_blueme_com_parcelamento!M:M,Conciliacao!A628)*(-1)</f>
        <v/>
      </c>
      <c r="L628" s="4">
        <f>SUMIFS(df_mutuos!N:N,df_mutuos!B:B,Conciliacao!A628)*(-1)</f>
        <v/>
      </c>
      <c r="M628" s="8">
        <f>SUMIFS(df_bloqueios_judiciais!G:G,df_bloqueios_judiciais!D:D,Conciliacao!A628,df_bloqueios_judiciais!G:G,"&lt;0")</f>
        <v/>
      </c>
      <c r="N628" s="10">
        <f>SUMIFS(df_extratos!I:I,df_extratos!F:F,Conciliacao!BE628,df_extratos!G:G,"DEBITO")+SUMIFS(df_extratos!I:I,df_extratos!F:F,Conciliacao!A628,df_extratos!G:G,"DEBITO")+SUMIFS(df_extratos!I:I,df_extratos!F:F,Conciliacao!BF628,df_extratos!G:G,"DEBITO")+SUMIFS(df_extratos!I:I,df_extratos!F:F,Conciliacao!BG628,df_extratos!G:G,"DEBITO")+SUMIFS(df_extratos!I:I,df_extratos!F:F,Conciliacao!BH628,df_extratos!G:G,"DEBITO")</f>
        <v/>
      </c>
      <c r="O628" s="11">
        <f>N628-SUM(J628:M628)</f>
        <v/>
      </c>
      <c r="P628" s="25">
        <f>SUMIFS(df_ajustes_conciliaco!D:D,df_ajustes_conciliaco!C:C,Conciliacao!A628)</f>
        <v/>
      </c>
      <c r="Q628" s="22">
        <f>O628+I628-P628</f>
        <v/>
      </c>
      <c r="BE628" s="20" t="n">
        <v>46284.5</v>
      </c>
      <c r="BF628" s="20" t="n">
        <v>46284.125</v>
      </c>
      <c r="BG628" s="20" t="n">
        <v>46284.5416666088</v>
      </c>
      <c r="BH628" s="20" t="n">
        <v>46284.625</v>
      </c>
    </row>
    <row r="629">
      <c r="A629" s="5">
        <f>A628+1</f>
        <v/>
      </c>
      <c r="B629" s="3">
        <f>-SUMIFS(df_extrato_zig!G:G,df_extrato_zig!E:E,Conciliacao!A629,df_extrato_zig!D:D,"Saque")-SUMIFS(df_extrato_zig!G:G,df_extrato_zig!E:E,Conciliacao!A629,df_extrato_zig!D:D,"Antecipação")</f>
        <v/>
      </c>
      <c r="C629" s="3">
        <f>SUMIFS(df_extrato_zig!E:E,df_extrato_zig!L:L,Conciliacao!A629,df_extrato_zig!F:F,"DINHEIRO")</f>
        <v/>
      </c>
      <c r="D629" s="3">
        <f>SUMIFS(view_parc_agrup!H:H,view_parc_agrup!G:G,Conciliacao!A629)</f>
        <v/>
      </c>
      <c r="E629" s="3">
        <f>SUMIFS(df_eventos!F:F,df_eventos!H:H,Conciliacao!A629)</f>
        <v/>
      </c>
      <c r="F629" s="3">
        <f>SUMIFS(df_mutuos!M:M,df_mutuos!B:B,Conciliacao!A629)</f>
        <v/>
      </c>
      <c r="G629" s="6">
        <f>SUMIFS(df_bloqueios_judiciais!G:G,df_bloqueios_judiciais!D:D,Conciliacao!A629,df_bloqueios_judiciais!G:G,"&gt;0")</f>
        <v/>
      </c>
      <c r="H629" s="7">
        <f>SUMIFS(df_extratos!I:I,df_extratos!F:F,Conciliacao!BE629,df_extratos!G:G,"CREDITO")+SUMIFS(df_extratos!I:I,df_extratos!F:F,Conciliacao!A629,df_extratos!G:G,"CREDITO")+SUMIFS(df_extratos!I:I,df_extratos!F:F,Conciliacao!BF629,df_extratos!G:G,"CREDITO")+SUMIFS(df_extratos!I:I,df_extratos!F:F,Conciliacao!BG629,df_extratos!G:G,"CREDITO")+SUMIFS(df_extratos!I:I,df_extratos!F:F,Conciliacao!BH629,df_extratos!G:G,"CREDITO")</f>
        <v/>
      </c>
      <c r="I629" s="9">
        <f>H629-SUM(B629:G629)</f>
        <v/>
      </c>
      <c r="J629" s="4">
        <f>SUMIFS(df_blueme_sem_parcelamento!E:E,df_blueme_sem_parcelamento!H:H,Conciliacao!A629)*(-1)</f>
        <v/>
      </c>
      <c r="K629" s="4">
        <f>SUMIFS(df_blueme_com_parcelamento!J:J,df_blueme_com_parcelamento!M:M,Conciliacao!A629)*(-1)</f>
        <v/>
      </c>
      <c r="L629" s="4">
        <f>SUMIFS(df_mutuos!N:N,df_mutuos!B:B,Conciliacao!A629)*(-1)</f>
        <v/>
      </c>
      <c r="M629" s="8">
        <f>SUMIFS(df_bloqueios_judiciais!G:G,df_bloqueios_judiciais!D:D,Conciliacao!A629,df_bloqueios_judiciais!G:G,"&lt;0")</f>
        <v/>
      </c>
      <c r="N629" s="10">
        <f>SUMIFS(df_extratos!I:I,df_extratos!F:F,Conciliacao!BE629,df_extratos!G:G,"DEBITO")+SUMIFS(df_extratos!I:I,df_extratos!F:F,Conciliacao!A629,df_extratos!G:G,"DEBITO")+SUMIFS(df_extratos!I:I,df_extratos!F:F,Conciliacao!BF629,df_extratos!G:G,"DEBITO")+SUMIFS(df_extratos!I:I,df_extratos!F:F,Conciliacao!BG629,df_extratos!G:G,"DEBITO")+SUMIFS(df_extratos!I:I,df_extratos!F:F,Conciliacao!BH629,df_extratos!G:G,"DEBITO")</f>
        <v/>
      </c>
      <c r="O629" s="11">
        <f>N629-SUM(J629:M629)</f>
        <v/>
      </c>
      <c r="P629" s="25">
        <f>SUMIFS(df_ajustes_conciliaco!D:D,df_ajustes_conciliaco!C:C,Conciliacao!A629)</f>
        <v/>
      </c>
      <c r="Q629" s="22">
        <f>O629+I629-P629</f>
        <v/>
      </c>
      <c r="BE629" s="20" t="n">
        <v>46285.5</v>
      </c>
      <c r="BF629" s="20" t="n">
        <v>46285.125</v>
      </c>
      <c r="BG629" s="20" t="n">
        <v>46285.5416666088</v>
      </c>
      <c r="BH629" s="20" t="n">
        <v>46285.625</v>
      </c>
    </row>
    <row r="630">
      <c r="A630" s="5">
        <f>A629+1</f>
        <v/>
      </c>
      <c r="B630" s="3">
        <f>-SUMIFS(df_extrato_zig!G:G,df_extrato_zig!E:E,Conciliacao!A630,df_extrato_zig!D:D,"Saque")-SUMIFS(df_extrato_zig!G:G,df_extrato_zig!E:E,Conciliacao!A630,df_extrato_zig!D:D,"Antecipação")</f>
        <v/>
      </c>
      <c r="C630" s="3">
        <f>SUMIFS(df_extrato_zig!E:E,df_extrato_zig!L:L,Conciliacao!A630,df_extrato_zig!F:F,"DINHEIRO")</f>
        <v/>
      </c>
      <c r="D630" s="3">
        <f>SUMIFS(view_parc_agrup!H:H,view_parc_agrup!G:G,Conciliacao!A630)</f>
        <v/>
      </c>
      <c r="E630" s="3">
        <f>SUMIFS(df_eventos!F:F,df_eventos!H:H,Conciliacao!A630)</f>
        <v/>
      </c>
      <c r="F630" s="3">
        <f>SUMIFS(df_mutuos!M:M,df_mutuos!B:B,Conciliacao!A630)</f>
        <v/>
      </c>
      <c r="G630" s="6">
        <f>SUMIFS(df_bloqueios_judiciais!G:G,df_bloqueios_judiciais!D:D,Conciliacao!A630,df_bloqueios_judiciais!G:G,"&gt;0")</f>
        <v/>
      </c>
      <c r="H630" s="7">
        <f>SUMIFS(df_extratos!I:I,df_extratos!F:F,Conciliacao!BE630,df_extratos!G:G,"CREDITO")+SUMIFS(df_extratos!I:I,df_extratos!F:F,Conciliacao!A630,df_extratos!G:G,"CREDITO")+SUMIFS(df_extratos!I:I,df_extratos!F:F,Conciliacao!BF630,df_extratos!G:G,"CREDITO")+SUMIFS(df_extratos!I:I,df_extratos!F:F,Conciliacao!BG630,df_extratos!G:G,"CREDITO")+SUMIFS(df_extratos!I:I,df_extratos!F:F,Conciliacao!BH630,df_extratos!G:G,"CREDITO")</f>
        <v/>
      </c>
      <c r="I630" s="9">
        <f>H630-SUM(B630:G630)</f>
        <v/>
      </c>
      <c r="J630" s="4">
        <f>SUMIFS(df_blueme_sem_parcelamento!E:E,df_blueme_sem_parcelamento!H:H,Conciliacao!A630)*(-1)</f>
        <v/>
      </c>
      <c r="K630" s="4">
        <f>SUMIFS(df_blueme_com_parcelamento!J:J,df_blueme_com_parcelamento!M:M,Conciliacao!A630)*(-1)</f>
        <v/>
      </c>
      <c r="L630" s="4">
        <f>SUMIFS(df_mutuos!N:N,df_mutuos!B:B,Conciliacao!A630)*(-1)</f>
        <v/>
      </c>
      <c r="M630" s="8">
        <f>SUMIFS(df_bloqueios_judiciais!G:G,df_bloqueios_judiciais!D:D,Conciliacao!A630,df_bloqueios_judiciais!G:G,"&lt;0")</f>
        <v/>
      </c>
      <c r="N630" s="10">
        <f>SUMIFS(df_extratos!I:I,df_extratos!F:F,Conciliacao!BE630,df_extratos!G:G,"DEBITO")+SUMIFS(df_extratos!I:I,df_extratos!F:F,Conciliacao!A630,df_extratos!G:G,"DEBITO")+SUMIFS(df_extratos!I:I,df_extratos!F:F,Conciliacao!BF630,df_extratos!G:G,"DEBITO")+SUMIFS(df_extratos!I:I,df_extratos!F:F,Conciliacao!BG630,df_extratos!G:G,"DEBITO")+SUMIFS(df_extratos!I:I,df_extratos!F:F,Conciliacao!BH630,df_extratos!G:G,"DEBITO")</f>
        <v/>
      </c>
      <c r="O630" s="11">
        <f>N630-SUM(J630:M630)</f>
        <v/>
      </c>
      <c r="P630" s="25">
        <f>SUMIFS(df_ajustes_conciliaco!D:D,df_ajustes_conciliaco!C:C,Conciliacao!A630)</f>
        <v/>
      </c>
      <c r="Q630" s="22">
        <f>O630+I630-P630</f>
        <v/>
      </c>
      <c r="BE630" s="20" t="n">
        <v>46286.5</v>
      </c>
      <c r="BF630" s="20" t="n">
        <v>46286.125</v>
      </c>
      <c r="BG630" s="20" t="n">
        <v>46286.5416666088</v>
      </c>
      <c r="BH630" s="20" t="n">
        <v>46286.625</v>
      </c>
    </row>
    <row r="631">
      <c r="A631" s="5">
        <f>A630+1</f>
        <v/>
      </c>
      <c r="B631" s="3">
        <f>-SUMIFS(df_extrato_zig!G:G,df_extrato_zig!E:E,Conciliacao!A631,df_extrato_zig!D:D,"Saque")-SUMIFS(df_extrato_zig!G:G,df_extrato_zig!E:E,Conciliacao!A631,df_extrato_zig!D:D,"Antecipação")</f>
        <v/>
      </c>
      <c r="C631" s="3">
        <f>SUMIFS(df_extrato_zig!E:E,df_extrato_zig!L:L,Conciliacao!A631,df_extrato_zig!F:F,"DINHEIRO")</f>
        <v/>
      </c>
      <c r="D631" s="3">
        <f>SUMIFS(view_parc_agrup!H:H,view_parc_agrup!G:G,Conciliacao!A631)</f>
        <v/>
      </c>
      <c r="E631" s="3">
        <f>SUMIFS(df_eventos!F:F,df_eventos!H:H,Conciliacao!A631)</f>
        <v/>
      </c>
      <c r="F631" s="3">
        <f>SUMIFS(df_mutuos!M:M,df_mutuos!B:B,Conciliacao!A631)</f>
        <v/>
      </c>
      <c r="G631" s="6">
        <f>SUMIFS(df_bloqueios_judiciais!G:G,df_bloqueios_judiciais!D:D,Conciliacao!A631,df_bloqueios_judiciais!G:G,"&gt;0")</f>
        <v/>
      </c>
      <c r="H631" s="7">
        <f>SUMIFS(df_extratos!I:I,df_extratos!F:F,Conciliacao!BE631,df_extratos!G:G,"CREDITO")+SUMIFS(df_extratos!I:I,df_extratos!F:F,Conciliacao!A631,df_extratos!G:G,"CREDITO")+SUMIFS(df_extratos!I:I,df_extratos!F:F,Conciliacao!BF631,df_extratos!G:G,"CREDITO")+SUMIFS(df_extratos!I:I,df_extratos!F:F,Conciliacao!BG631,df_extratos!G:G,"CREDITO")+SUMIFS(df_extratos!I:I,df_extratos!F:F,Conciliacao!BH631,df_extratos!G:G,"CREDITO")</f>
        <v/>
      </c>
      <c r="I631" s="9">
        <f>H631-SUM(B631:G631)</f>
        <v/>
      </c>
      <c r="J631" s="4">
        <f>SUMIFS(df_blueme_sem_parcelamento!E:E,df_blueme_sem_parcelamento!H:H,Conciliacao!A631)*(-1)</f>
        <v/>
      </c>
      <c r="K631" s="4">
        <f>SUMIFS(df_blueme_com_parcelamento!J:J,df_blueme_com_parcelamento!M:M,Conciliacao!A631)*(-1)</f>
        <v/>
      </c>
      <c r="L631" s="4">
        <f>SUMIFS(df_mutuos!N:N,df_mutuos!B:B,Conciliacao!A631)*(-1)</f>
        <v/>
      </c>
      <c r="M631" s="8">
        <f>SUMIFS(df_bloqueios_judiciais!G:G,df_bloqueios_judiciais!D:D,Conciliacao!A631,df_bloqueios_judiciais!G:G,"&lt;0")</f>
        <v/>
      </c>
      <c r="N631" s="10">
        <f>SUMIFS(df_extratos!I:I,df_extratos!F:F,Conciliacao!BE631,df_extratos!G:G,"DEBITO")+SUMIFS(df_extratos!I:I,df_extratos!F:F,Conciliacao!A631,df_extratos!G:G,"DEBITO")+SUMIFS(df_extratos!I:I,df_extratos!F:F,Conciliacao!BF631,df_extratos!G:G,"DEBITO")+SUMIFS(df_extratos!I:I,df_extratos!F:F,Conciliacao!BG631,df_extratos!G:G,"DEBITO")+SUMIFS(df_extratos!I:I,df_extratos!F:F,Conciliacao!BH631,df_extratos!G:G,"DEBITO")</f>
        <v/>
      </c>
      <c r="O631" s="11">
        <f>N631-SUM(J631:M631)</f>
        <v/>
      </c>
      <c r="P631" s="25">
        <f>SUMIFS(df_ajustes_conciliaco!D:D,df_ajustes_conciliaco!C:C,Conciliacao!A631)</f>
        <v/>
      </c>
      <c r="Q631" s="22">
        <f>O631+I631-P631</f>
        <v/>
      </c>
      <c r="BE631" s="20" t="n">
        <v>46287.5</v>
      </c>
      <c r="BF631" s="20" t="n">
        <v>46287.125</v>
      </c>
      <c r="BG631" s="20" t="n">
        <v>46287.5416666088</v>
      </c>
      <c r="BH631" s="20" t="n">
        <v>46287.625</v>
      </c>
    </row>
    <row r="632">
      <c r="A632" s="5">
        <f>A631+1</f>
        <v/>
      </c>
      <c r="B632" s="3">
        <f>-SUMIFS(df_extrato_zig!G:G,df_extrato_zig!E:E,Conciliacao!A632,df_extrato_zig!D:D,"Saque")-SUMIFS(df_extrato_zig!G:G,df_extrato_zig!E:E,Conciliacao!A632,df_extrato_zig!D:D,"Antecipação")</f>
        <v/>
      </c>
      <c r="C632" s="3">
        <f>SUMIFS(df_extrato_zig!E:E,df_extrato_zig!L:L,Conciliacao!A632,df_extrato_zig!F:F,"DINHEIRO")</f>
        <v/>
      </c>
      <c r="D632" s="3">
        <f>SUMIFS(view_parc_agrup!H:H,view_parc_agrup!G:G,Conciliacao!A632)</f>
        <v/>
      </c>
      <c r="E632" s="3">
        <f>SUMIFS(df_eventos!F:F,df_eventos!H:H,Conciliacao!A632)</f>
        <v/>
      </c>
      <c r="F632" s="3">
        <f>SUMIFS(df_mutuos!M:M,df_mutuos!B:B,Conciliacao!A632)</f>
        <v/>
      </c>
      <c r="G632" s="6">
        <f>SUMIFS(df_bloqueios_judiciais!G:G,df_bloqueios_judiciais!D:D,Conciliacao!A632,df_bloqueios_judiciais!G:G,"&gt;0")</f>
        <v/>
      </c>
      <c r="H632" s="7">
        <f>SUMIFS(df_extratos!I:I,df_extratos!F:F,Conciliacao!BE632,df_extratos!G:G,"CREDITO")+SUMIFS(df_extratos!I:I,df_extratos!F:F,Conciliacao!A632,df_extratos!G:G,"CREDITO")+SUMIFS(df_extratos!I:I,df_extratos!F:F,Conciliacao!BF632,df_extratos!G:G,"CREDITO")+SUMIFS(df_extratos!I:I,df_extratos!F:F,Conciliacao!BG632,df_extratos!G:G,"CREDITO")+SUMIFS(df_extratos!I:I,df_extratos!F:F,Conciliacao!BH632,df_extratos!G:G,"CREDITO")</f>
        <v/>
      </c>
      <c r="I632" s="9">
        <f>H632-SUM(B632:G632)</f>
        <v/>
      </c>
      <c r="J632" s="4">
        <f>SUMIFS(df_blueme_sem_parcelamento!E:E,df_blueme_sem_parcelamento!H:H,Conciliacao!A632)*(-1)</f>
        <v/>
      </c>
      <c r="K632" s="4">
        <f>SUMIFS(df_blueme_com_parcelamento!J:J,df_blueme_com_parcelamento!M:M,Conciliacao!A632)*(-1)</f>
        <v/>
      </c>
      <c r="L632" s="4">
        <f>SUMIFS(df_mutuos!N:N,df_mutuos!B:B,Conciliacao!A632)*(-1)</f>
        <v/>
      </c>
      <c r="M632" s="8">
        <f>SUMIFS(df_bloqueios_judiciais!G:G,df_bloqueios_judiciais!D:D,Conciliacao!A632,df_bloqueios_judiciais!G:G,"&lt;0")</f>
        <v/>
      </c>
      <c r="N632" s="10">
        <f>SUMIFS(df_extratos!I:I,df_extratos!F:F,Conciliacao!BE632,df_extratos!G:G,"DEBITO")+SUMIFS(df_extratos!I:I,df_extratos!F:F,Conciliacao!A632,df_extratos!G:G,"DEBITO")+SUMIFS(df_extratos!I:I,df_extratos!F:F,Conciliacao!BF632,df_extratos!G:G,"DEBITO")+SUMIFS(df_extratos!I:I,df_extratos!F:F,Conciliacao!BG632,df_extratos!G:G,"DEBITO")+SUMIFS(df_extratos!I:I,df_extratos!F:F,Conciliacao!BH632,df_extratos!G:G,"DEBITO")</f>
        <v/>
      </c>
      <c r="O632" s="11">
        <f>N632-SUM(J632:M632)</f>
        <v/>
      </c>
      <c r="P632" s="25">
        <f>SUMIFS(df_ajustes_conciliaco!D:D,df_ajustes_conciliaco!C:C,Conciliacao!A632)</f>
        <v/>
      </c>
      <c r="Q632" s="22">
        <f>O632+I632-P632</f>
        <v/>
      </c>
      <c r="BE632" s="20" t="n">
        <v>46288.5</v>
      </c>
      <c r="BF632" s="20" t="n">
        <v>46288.125</v>
      </c>
      <c r="BG632" s="20" t="n">
        <v>46288.5416666088</v>
      </c>
      <c r="BH632" s="20" t="n">
        <v>46288.625</v>
      </c>
    </row>
    <row r="633">
      <c r="A633" s="5">
        <f>A632+1</f>
        <v/>
      </c>
      <c r="B633" s="3">
        <f>-SUMIFS(df_extrato_zig!G:G,df_extrato_zig!E:E,Conciliacao!A633,df_extrato_zig!D:D,"Saque")-SUMIFS(df_extrato_zig!G:G,df_extrato_zig!E:E,Conciliacao!A633,df_extrato_zig!D:D,"Antecipação")</f>
        <v/>
      </c>
      <c r="C633" s="3">
        <f>SUMIFS(df_extrato_zig!E:E,df_extrato_zig!L:L,Conciliacao!A633,df_extrato_zig!F:F,"DINHEIRO")</f>
        <v/>
      </c>
      <c r="D633" s="3">
        <f>SUMIFS(view_parc_agrup!H:H,view_parc_agrup!G:G,Conciliacao!A633)</f>
        <v/>
      </c>
      <c r="E633" s="3">
        <f>SUMIFS(df_eventos!F:F,df_eventos!H:H,Conciliacao!A633)</f>
        <v/>
      </c>
      <c r="F633" s="3">
        <f>SUMIFS(df_mutuos!M:M,df_mutuos!B:B,Conciliacao!A633)</f>
        <v/>
      </c>
      <c r="G633" s="6">
        <f>SUMIFS(df_bloqueios_judiciais!G:G,df_bloqueios_judiciais!D:D,Conciliacao!A633,df_bloqueios_judiciais!G:G,"&gt;0")</f>
        <v/>
      </c>
      <c r="H633" s="7">
        <f>SUMIFS(df_extratos!I:I,df_extratos!F:F,Conciliacao!BE633,df_extratos!G:G,"CREDITO")+SUMIFS(df_extratos!I:I,df_extratos!F:F,Conciliacao!A633,df_extratos!G:G,"CREDITO")+SUMIFS(df_extratos!I:I,df_extratos!F:F,Conciliacao!BF633,df_extratos!G:G,"CREDITO")+SUMIFS(df_extratos!I:I,df_extratos!F:F,Conciliacao!BG633,df_extratos!G:G,"CREDITO")+SUMIFS(df_extratos!I:I,df_extratos!F:F,Conciliacao!BH633,df_extratos!G:G,"CREDITO")</f>
        <v/>
      </c>
      <c r="I633" s="9">
        <f>H633-SUM(B633:G633)</f>
        <v/>
      </c>
      <c r="J633" s="4">
        <f>SUMIFS(df_blueme_sem_parcelamento!E:E,df_blueme_sem_parcelamento!H:H,Conciliacao!A633)*(-1)</f>
        <v/>
      </c>
      <c r="K633" s="4">
        <f>SUMIFS(df_blueme_com_parcelamento!J:J,df_blueme_com_parcelamento!M:M,Conciliacao!A633)*(-1)</f>
        <v/>
      </c>
      <c r="L633" s="4">
        <f>SUMIFS(df_mutuos!N:N,df_mutuos!B:B,Conciliacao!A633)*(-1)</f>
        <v/>
      </c>
      <c r="M633" s="8">
        <f>SUMIFS(df_bloqueios_judiciais!G:G,df_bloqueios_judiciais!D:D,Conciliacao!A633,df_bloqueios_judiciais!G:G,"&lt;0")</f>
        <v/>
      </c>
      <c r="N633" s="10">
        <f>SUMIFS(df_extratos!I:I,df_extratos!F:F,Conciliacao!BE633,df_extratos!G:G,"DEBITO")+SUMIFS(df_extratos!I:I,df_extratos!F:F,Conciliacao!A633,df_extratos!G:G,"DEBITO")+SUMIFS(df_extratos!I:I,df_extratos!F:F,Conciliacao!BF633,df_extratos!G:G,"DEBITO")+SUMIFS(df_extratos!I:I,df_extratos!F:F,Conciliacao!BG633,df_extratos!G:G,"DEBITO")+SUMIFS(df_extratos!I:I,df_extratos!F:F,Conciliacao!BH633,df_extratos!G:G,"DEBITO")</f>
        <v/>
      </c>
      <c r="O633" s="11">
        <f>N633-SUM(J633:M633)</f>
        <v/>
      </c>
      <c r="P633" s="25">
        <f>SUMIFS(df_ajustes_conciliaco!D:D,df_ajustes_conciliaco!C:C,Conciliacao!A633)</f>
        <v/>
      </c>
      <c r="Q633" s="22">
        <f>O633+I633-P633</f>
        <v/>
      </c>
      <c r="BE633" s="20" t="n">
        <v>46289.5</v>
      </c>
      <c r="BF633" s="20" t="n">
        <v>46289.125</v>
      </c>
      <c r="BG633" s="20" t="n">
        <v>46289.5416666088</v>
      </c>
      <c r="BH633" s="20" t="n">
        <v>46289.625</v>
      </c>
    </row>
    <row r="634">
      <c r="A634" s="5">
        <f>A633+1</f>
        <v/>
      </c>
      <c r="B634" s="3">
        <f>-SUMIFS(df_extrato_zig!G:G,df_extrato_zig!E:E,Conciliacao!A634,df_extrato_zig!D:D,"Saque")-SUMIFS(df_extrato_zig!G:G,df_extrato_zig!E:E,Conciliacao!A634,df_extrato_zig!D:D,"Antecipação")</f>
        <v/>
      </c>
      <c r="C634" s="3">
        <f>SUMIFS(df_extrato_zig!E:E,df_extrato_zig!L:L,Conciliacao!A634,df_extrato_zig!F:F,"DINHEIRO")</f>
        <v/>
      </c>
      <c r="D634" s="3">
        <f>SUMIFS(view_parc_agrup!H:H,view_parc_agrup!G:G,Conciliacao!A634)</f>
        <v/>
      </c>
      <c r="E634" s="3">
        <f>SUMIFS(df_eventos!F:F,df_eventos!H:H,Conciliacao!A634)</f>
        <v/>
      </c>
      <c r="F634" s="3">
        <f>SUMIFS(df_mutuos!M:M,df_mutuos!B:B,Conciliacao!A634)</f>
        <v/>
      </c>
      <c r="G634" s="6">
        <f>SUMIFS(df_bloqueios_judiciais!G:G,df_bloqueios_judiciais!D:D,Conciliacao!A634,df_bloqueios_judiciais!G:G,"&gt;0")</f>
        <v/>
      </c>
      <c r="H634" s="7">
        <f>SUMIFS(df_extratos!I:I,df_extratos!F:F,Conciliacao!BE634,df_extratos!G:G,"CREDITO")+SUMIFS(df_extratos!I:I,df_extratos!F:F,Conciliacao!A634,df_extratos!G:G,"CREDITO")+SUMIFS(df_extratos!I:I,df_extratos!F:F,Conciliacao!BF634,df_extratos!G:G,"CREDITO")+SUMIFS(df_extratos!I:I,df_extratos!F:F,Conciliacao!BG634,df_extratos!G:G,"CREDITO")+SUMIFS(df_extratos!I:I,df_extratos!F:F,Conciliacao!BH634,df_extratos!G:G,"CREDITO")</f>
        <v/>
      </c>
      <c r="I634" s="9">
        <f>H634-SUM(B634:G634)</f>
        <v/>
      </c>
      <c r="J634" s="4">
        <f>SUMIFS(df_blueme_sem_parcelamento!E:E,df_blueme_sem_parcelamento!H:H,Conciliacao!A634)*(-1)</f>
        <v/>
      </c>
      <c r="K634" s="4">
        <f>SUMIFS(df_blueme_com_parcelamento!J:J,df_blueme_com_parcelamento!M:M,Conciliacao!A634)*(-1)</f>
        <v/>
      </c>
      <c r="L634" s="4">
        <f>SUMIFS(df_mutuos!N:N,df_mutuos!B:B,Conciliacao!A634)*(-1)</f>
        <v/>
      </c>
      <c r="M634" s="8">
        <f>SUMIFS(df_bloqueios_judiciais!G:G,df_bloqueios_judiciais!D:D,Conciliacao!A634,df_bloqueios_judiciais!G:G,"&lt;0")</f>
        <v/>
      </c>
      <c r="N634" s="10">
        <f>SUMIFS(df_extratos!I:I,df_extratos!F:F,Conciliacao!BE634,df_extratos!G:G,"DEBITO")+SUMIFS(df_extratos!I:I,df_extratos!F:F,Conciliacao!A634,df_extratos!G:G,"DEBITO")+SUMIFS(df_extratos!I:I,df_extratos!F:F,Conciliacao!BF634,df_extratos!G:G,"DEBITO")+SUMIFS(df_extratos!I:I,df_extratos!F:F,Conciliacao!BG634,df_extratos!G:G,"DEBITO")+SUMIFS(df_extratos!I:I,df_extratos!F:F,Conciliacao!BH634,df_extratos!G:G,"DEBITO")</f>
        <v/>
      </c>
      <c r="O634" s="11">
        <f>N634-SUM(J634:M634)</f>
        <v/>
      </c>
      <c r="P634" s="25">
        <f>SUMIFS(df_ajustes_conciliaco!D:D,df_ajustes_conciliaco!C:C,Conciliacao!A634)</f>
        <v/>
      </c>
      <c r="Q634" s="22">
        <f>O634+I634-P634</f>
        <v/>
      </c>
      <c r="BE634" s="20" t="n">
        <v>46290.5</v>
      </c>
      <c r="BF634" s="20" t="n">
        <v>46290.125</v>
      </c>
      <c r="BG634" s="20" t="n">
        <v>46290.5416666088</v>
      </c>
      <c r="BH634" s="20" t="n">
        <v>46290.625</v>
      </c>
    </row>
    <row r="635">
      <c r="A635" s="5">
        <f>A634+1</f>
        <v/>
      </c>
      <c r="B635" s="3">
        <f>-SUMIFS(df_extrato_zig!G:G,df_extrato_zig!E:E,Conciliacao!A635,df_extrato_zig!D:D,"Saque")-SUMIFS(df_extrato_zig!G:G,df_extrato_zig!E:E,Conciliacao!A635,df_extrato_zig!D:D,"Antecipação")</f>
        <v/>
      </c>
      <c r="C635" s="3">
        <f>SUMIFS(df_extrato_zig!E:E,df_extrato_zig!L:L,Conciliacao!A635,df_extrato_zig!F:F,"DINHEIRO")</f>
        <v/>
      </c>
      <c r="D635" s="3">
        <f>SUMIFS(view_parc_agrup!H:H,view_parc_agrup!G:G,Conciliacao!A635)</f>
        <v/>
      </c>
      <c r="E635" s="3">
        <f>SUMIFS(df_eventos!F:F,df_eventos!H:H,Conciliacao!A635)</f>
        <v/>
      </c>
      <c r="F635" s="3">
        <f>SUMIFS(df_mutuos!M:M,df_mutuos!B:B,Conciliacao!A635)</f>
        <v/>
      </c>
      <c r="G635" s="6">
        <f>SUMIFS(df_bloqueios_judiciais!G:G,df_bloqueios_judiciais!D:D,Conciliacao!A635,df_bloqueios_judiciais!G:G,"&gt;0")</f>
        <v/>
      </c>
      <c r="H635" s="7">
        <f>SUMIFS(df_extratos!I:I,df_extratos!F:F,Conciliacao!BE635,df_extratos!G:G,"CREDITO")+SUMIFS(df_extratos!I:I,df_extratos!F:F,Conciliacao!A635,df_extratos!G:G,"CREDITO")+SUMIFS(df_extratos!I:I,df_extratos!F:F,Conciliacao!BF635,df_extratos!G:G,"CREDITO")+SUMIFS(df_extratos!I:I,df_extratos!F:F,Conciliacao!BG635,df_extratos!G:G,"CREDITO")+SUMIFS(df_extratos!I:I,df_extratos!F:F,Conciliacao!BH635,df_extratos!G:G,"CREDITO")</f>
        <v/>
      </c>
      <c r="I635" s="9">
        <f>H635-SUM(B635:G635)</f>
        <v/>
      </c>
      <c r="J635" s="4">
        <f>SUMIFS(df_blueme_sem_parcelamento!E:E,df_blueme_sem_parcelamento!H:H,Conciliacao!A635)*(-1)</f>
        <v/>
      </c>
      <c r="K635" s="4">
        <f>SUMIFS(df_blueme_com_parcelamento!J:J,df_blueme_com_parcelamento!M:M,Conciliacao!A635)*(-1)</f>
        <v/>
      </c>
      <c r="L635" s="4">
        <f>SUMIFS(df_mutuos!N:N,df_mutuos!B:B,Conciliacao!A635)*(-1)</f>
        <v/>
      </c>
      <c r="M635" s="8">
        <f>SUMIFS(df_bloqueios_judiciais!G:G,df_bloqueios_judiciais!D:D,Conciliacao!A635,df_bloqueios_judiciais!G:G,"&lt;0")</f>
        <v/>
      </c>
      <c r="N635" s="10">
        <f>SUMIFS(df_extratos!I:I,df_extratos!F:F,Conciliacao!BE635,df_extratos!G:G,"DEBITO")+SUMIFS(df_extratos!I:I,df_extratos!F:F,Conciliacao!A635,df_extratos!G:G,"DEBITO")+SUMIFS(df_extratos!I:I,df_extratos!F:F,Conciliacao!BF635,df_extratos!G:G,"DEBITO")+SUMIFS(df_extratos!I:I,df_extratos!F:F,Conciliacao!BG635,df_extratos!G:G,"DEBITO")+SUMIFS(df_extratos!I:I,df_extratos!F:F,Conciliacao!BH635,df_extratos!G:G,"DEBITO")</f>
        <v/>
      </c>
      <c r="O635" s="11">
        <f>N635-SUM(J635:M635)</f>
        <v/>
      </c>
      <c r="P635" s="25">
        <f>SUMIFS(df_ajustes_conciliaco!D:D,df_ajustes_conciliaco!C:C,Conciliacao!A635)</f>
        <v/>
      </c>
      <c r="Q635" s="22">
        <f>O635+I635-P635</f>
        <v/>
      </c>
      <c r="BE635" s="20" t="n">
        <v>46291.5</v>
      </c>
      <c r="BF635" s="20" t="n">
        <v>46291.125</v>
      </c>
      <c r="BG635" s="20" t="n">
        <v>46291.5416666088</v>
      </c>
      <c r="BH635" s="20" t="n">
        <v>46291.625</v>
      </c>
    </row>
    <row r="636">
      <c r="A636" s="5">
        <f>A635+1</f>
        <v/>
      </c>
      <c r="B636" s="3">
        <f>-SUMIFS(df_extrato_zig!G:G,df_extrato_zig!E:E,Conciliacao!A636,df_extrato_zig!D:D,"Saque")-SUMIFS(df_extrato_zig!G:G,df_extrato_zig!E:E,Conciliacao!A636,df_extrato_zig!D:D,"Antecipação")</f>
        <v/>
      </c>
      <c r="C636" s="3">
        <f>SUMIFS(df_extrato_zig!E:E,df_extrato_zig!L:L,Conciliacao!A636,df_extrato_zig!F:F,"DINHEIRO")</f>
        <v/>
      </c>
      <c r="D636" s="3">
        <f>SUMIFS(view_parc_agrup!H:H,view_parc_agrup!G:G,Conciliacao!A636)</f>
        <v/>
      </c>
      <c r="E636" s="3">
        <f>SUMIFS(df_eventos!F:F,df_eventos!H:H,Conciliacao!A636)</f>
        <v/>
      </c>
      <c r="F636" s="3">
        <f>SUMIFS(df_mutuos!M:M,df_mutuos!B:B,Conciliacao!A636)</f>
        <v/>
      </c>
      <c r="G636" s="6">
        <f>SUMIFS(df_bloqueios_judiciais!G:G,df_bloqueios_judiciais!D:D,Conciliacao!A636,df_bloqueios_judiciais!G:G,"&gt;0")</f>
        <v/>
      </c>
      <c r="H636" s="7">
        <f>SUMIFS(df_extratos!I:I,df_extratos!F:F,Conciliacao!BE636,df_extratos!G:G,"CREDITO")+SUMIFS(df_extratos!I:I,df_extratos!F:F,Conciliacao!A636,df_extratos!G:G,"CREDITO")+SUMIFS(df_extratos!I:I,df_extratos!F:F,Conciliacao!BF636,df_extratos!G:G,"CREDITO")+SUMIFS(df_extratos!I:I,df_extratos!F:F,Conciliacao!BG636,df_extratos!G:G,"CREDITO")+SUMIFS(df_extratos!I:I,df_extratos!F:F,Conciliacao!BH636,df_extratos!G:G,"CREDITO")</f>
        <v/>
      </c>
      <c r="I636" s="9">
        <f>H636-SUM(B636:G636)</f>
        <v/>
      </c>
      <c r="J636" s="4">
        <f>SUMIFS(df_blueme_sem_parcelamento!E:E,df_blueme_sem_parcelamento!H:H,Conciliacao!A636)*(-1)</f>
        <v/>
      </c>
      <c r="K636" s="4">
        <f>SUMIFS(df_blueme_com_parcelamento!J:J,df_blueme_com_parcelamento!M:M,Conciliacao!A636)*(-1)</f>
        <v/>
      </c>
      <c r="L636" s="4">
        <f>SUMIFS(df_mutuos!N:N,df_mutuos!B:B,Conciliacao!A636)*(-1)</f>
        <v/>
      </c>
      <c r="M636" s="8">
        <f>SUMIFS(df_bloqueios_judiciais!G:G,df_bloqueios_judiciais!D:D,Conciliacao!A636,df_bloqueios_judiciais!G:G,"&lt;0")</f>
        <v/>
      </c>
      <c r="N636" s="10">
        <f>SUMIFS(df_extratos!I:I,df_extratos!F:F,Conciliacao!BE636,df_extratos!G:G,"DEBITO")+SUMIFS(df_extratos!I:I,df_extratos!F:F,Conciliacao!A636,df_extratos!G:G,"DEBITO")+SUMIFS(df_extratos!I:I,df_extratos!F:F,Conciliacao!BF636,df_extratos!G:G,"DEBITO")+SUMIFS(df_extratos!I:I,df_extratos!F:F,Conciliacao!BG636,df_extratos!G:G,"DEBITO")+SUMIFS(df_extratos!I:I,df_extratos!F:F,Conciliacao!BH636,df_extratos!G:G,"DEBITO")</f>
        <v/>
      </c>
      <c r="O636" s="11">
        <f>N636-SUM(J636:M636)</f>
        <v/>
      </c>
      <c r="P636" s="25">
        <f>SUMIFS(df_ajustes_conciliaco!D:D,df_ajustes_conciliaco!C:C,Conciliacao!A636)</f>
        <v/>
      </c>
      <c r="Q636" s="22">
        <f>O636+I636-P636</f>
        <v/>
      </c>
      <c r="BE636" s="20" t="n">
        <v>46292.5</v>
      </c>
      <c r="BF636" s="20" t="n">
        <v>46292.125</v>
      </c>
      <c r="BG636" s="20" t="n">
        <v>46292.5416666088</v>
      </c>
      <c r="BH636" s="20" t="n">
        <v>46292.625</v>
      </c>
    </row>
    <row r="637">
      <c r="A637" s="5">
        <f>A636+1</f>
        <v/>
      </c>
      <c r="B637" s="3">
        <f>-SUMIFS(df_extrato_zig!G:G,df_extrato_zig!E:E,Conciliacao!A637,df_extrato_zig!D:D,"Saque")-SUMIFS(df_extrato_zig!G:G,df_extrato_zig!E:E,Conciliacao!A637,df_extrato_zig!D:D,"Antecipação")</f>
        <v/>
      </c>
      <c r="C637" s="3">
        <f>SUMIFS(df_extrato_zig!E:E,df_extrato_zig!L:L,Conciliacao!A637,df_extrato_zig!F:F,"DINHEIRO")</f>
        <v/>
      </c>
      <c r="D637" s="3">
        <f>SUMIFS(view_parc_agrup!H:H,view_parc_agrup!G:G,Conciliacao!A637)</f>
        <v/>
      </c>
      <c r="E637" s="3">
        <f>SUMIFS(df_eventos!F:F,df_eventos!H:H,Conciliacao!A637)</f>
        <v/>
      </c>
      <c r="F637" s="3">
        <f>SUMIFS(df_mutuos!M:M,df_mutuos!B:B,Conciliacao!A637)</f>
        <v/>
      </c>
      <c r="G637" s="6">
        <f>SUMIFS(df_bloqueios_judiciais!G:G,df_bloqueios_judiciais!D:D,Conciliacao!A637,df_bloqueios_judiciais!G:G,"&gt;0")</f>
        <v/>
      </c>
      <c r="H637" s="7">
        <f>SUMIFS(df_extratos!I:I,df_extratos!F:F,Conciliacao!BE637,df_extratos!G:G,"CREDITO")+SUMIFS(df_extratos!I:I,df_extratos!F:F,Conciliacao!A637,df_extratos!G:G,"CREDITO")+SUMIFS(df_extratos!I:I,df_extratos!F:F,Conciliacao!BF637,df_extratos!G:G,"CREDITO")+SUMIFS(df_extratos!I:I,df_extratos!F:F,Conciliacao!BG637,df_extratos!G:G,"CREDITO")+SUMIFS(df_extratos!I:I,df_extratos!F:F,Conciliacao!BH637,df_extratos!G:G,"CREDITO")</f>
        <v/>
      </c>
      <c r="I637" s="9">
        <f>H637-SUM(B637:G637)</f>
        <v/>
      </c>
      <c r="J637" s="4">
        <f>SUMIFS(df_blueme_sem_parcelamento!E:E,df_blueme_sem_parcelamento!H:H,Conciliacao!A637)*(-1)</f>
        <v/>
      </c>
      <c r="K637" s="4">
        <f>SUMIFS(df_blueme_com_parcelamento!J:J,df_blueme_com_parcelamento!M:M,Conciliacao!A637)*(-1)</f>
        <v/>
      </c>
      <c r="L637" s="4">
        <f>SUMIFS(df_mutuos!N:N,df_mutuos!B:B,Conciliacao!A637)*(-1)</f>
        <v/>
      </c>
      <c r="M637" s="8">
        <f>SUMIFS(df_bloqueios_judiciais!G:G,df_bloqueios_judiciais!D:D,Conciliacao!A637,df_bloqueios_judiciais!G:G,"&lt;0")</f>
        <v/>
      </c>
      <c r="N637" s="10">
        <f>SUMIFS(df_extratos!I:I,df_extratos!F:F,Conciliacao!BE637,df_extratos!G:G,"DEBITO")+SUMIFS(df_extratos!I:I,df_extratos!F:F,Conciliacao!A637,df_extratos!G:G,"DEBITO")+SUMIFS(df_extratos!I:I,df_extratos!F:F,Conciliacao!BF637,df_extratos!G:G,"DEBITO")+SUMIFS(df_extratos!I:I,df_extratos!F:F,Conciliacao!BG637,df_extratos!G:G,"DEBITO")+SUMIFS(df_extratos!I:I,df_extratos!F:F,Conciliacao!BH637,df_extratos!G:G,"DEBITO")</f>
        <v/>
      </c>
      <c r="O637" s="11">
        <f>N637-SUM(J637:M637)</f>
        <v/>
      </c>
      <c r="P637" s="25">
        <f>SUMIFS(df_ajustes_conciliaco!D:D,df_ajustes_conciliaco!C:C,Conciliacao!A637)</f>
        <v/>
      </c>
      <c r="Q637" s="22">
        <f>O637+I637-P637</f>
        <v/>
      </c>
      <c r="BE637" s="20" t="n">
        <v>46293.5</v>
      </c>
      <c r="BF637" s="20" t="n">
        <v>46293.125</v>
      </c>
      <c r="BG637" s="20" t="n">
        <v>46293.5416666088</v>
      </c>
      <c r="BH637" s="20" t="n">
        <v>46293.625</v>
      </c>
    </row>
    <row r="638">
      <c r="A638" s="5">
        <f>A637+1</f>
        <v/>
      </c>
      <c r="B638" s="3">
        <f>-SUMIFS(df_extrato_zig!G:G,df_extrato_zig!E:E,Conciliacao!A638,df_extrato_zig!D:D,"Saque")-SUMIFS(df_extrato_zig!G:G,df_extrato_zig!E:E,Conciliacao!A638,df_extrato_zig!D:D,"Antecipação")</f>
        <v/>
      </c>
      <c r="C638" s="3">
        <f>SUMIFS(df_extrato_zig!E:E,df_extrato_zig!L:L,Conciliacao!A638,df_extrato_zig!F:F,"DINHEIRO")</f>
        <v/>
      </c>
      <c r="D638" s="3">
        <f>SUMIFS(view_parc_agrup!H:H,view_parc_agrup!G:G,Conciliacao!A638)</f>
        <v/>
      </c>
      <c r="E638" s="3">
        <f>SUMIFS(df_eventos!F:F,df_eventos!H:H,Conciliacao!A638)</f>
        <v/>
      </c>
      <c r="F638" s="3">
        <f>SUMIFS(df_mutuos!M:M,df_mutuos!B:B,Conciliacao!A638)</f>
        <v/>
      </c>
      <c r="G638" s="6">
        <f>SUMIFS(df_bloqueios_judiciais!G:G,df_bloqueios_judiciais!D:D,Conciliacao!A638,df_bloqueios_judiciais!G:G,"&gt;0")</f>
        <v/>
      </c>
      <c r="H638" s="7">
        <f>SUMIFS(df_extratos!I:I,df_extratos!F:F,Conciliacao!BE638,df_extratos!G:G,"CREDITO")+SUMIFS(df_extratos!I:I,df_extratos!F:F,Conciliacao!A638,df_extratos!G:G,"CREDITO")+SUMIFS(df_extratos!I:I,df_extratos!F:F,Conciliacao!BF638,df_extratos!G:G,"CREDITO")+SUMIFS(df_extratos!I:I,df_extratos!F:F,Conciliacao!BG638,df_extratos!G:G,"CREDITO")+SUMIFS(df_extratos!I:I,df_extratos!F:F,Conciliacao!BH638,df_extratos!G:G,"CREDITO")</f>
        <v/>
      </c>
      <c r="I638" s="9">
        <f>H638-SUM(B638:G638)</f>
        <v/>
      </c>
      <c r="J638" s="4">
        <f>SUMIFS(df_blueme_sem_parcelamento!E:E,df_blueme_sem_parcelamento!H:H,Conciliacao!A638)*(-1)</f>
        <v/>
      </c>
      <c r="K638" s="4">
        <f>SUMIFS(df_blueme_com_parcelamento!J:J,df_blueme_com_parcelamento!M:M,Conciliacao!A638)*(-1)</f>
        <v/>
      </c>
      <c r="L638" s="4">
        <f>SUMIFS(df_mutuos!N:N,df_mutuos!B:B,Conciliacao!A638)*(-1)</f>
        <v/>
      </c>
      <c r="M638" s="8">
        <f>SUMIFS(df_bloqueios_judiciais!G:G,df_bloqueios_judiciais!D:D,Conciliacao!A638,df_bloqueios_judiciais!G:G,"&lt;0")</f>
        <v/>
      </c>
      <c r="N638" s="10">
        <f>SUMIFS(df_extratos!I:I,df_extratos!F:F,Conciliacao!BE638,df_extratos!G:G,"DEBITO")+SUMIFS(df_extratos!I:I,df_extratos!F:F,Conciliacao!A638,df_extratos!G:G,"DEBITO")+SUMIFS(df_extratos!I:I,df_extratos!F:F,Conciliacao!BF638,df_extratos!G:G,"DEBITO")+SUMIFS(df_extratos!I:I,df_extratos!F:F,Conciliacao!BG638,df_extratos!G:G,"DEBITO")+SUMIFS(df_extratos!I:I,df_extratos!F:F,Conciliacao!BH638,df_extratos!G:G,"DEBITO")</f>
        <v/>
      </c>
      <c r="O638" s="11">
        <f>N638-SUM(J638:M638)</f>
        <v/>
      </c>
      <c r="P638" s="25">
        <f>SUMIFS(df_ajustes_conciliaco!D:D,df_ajustes_conciliaco!C:C,Conciliacao!A638)</f>
        <v/>
      </c>
      <c r="Q638" s="22">
        <f>O638+I638-P638</f>
        <v/>
      </c>
      <c r="BE638" s="20" t="n">
        <v>46294.5</v>
      </c>
      <c r="BF638" s="20" t="n">
        <v>46294.125</v>
      </c>
      <c r="BG638" s="20" t="n">
        <v>46294.5416666088</v>
      </c>
      <c r="BH638" s="20" t="n">
        <v>46294.625</v>
      </c>
    </row>
    <row r="639">
      <c r="A639" s="5">
        <f>A638+1</f>
        <v/>
      </c>
      <c r="B639" s="3">
        <f>-SUMIFS(df_extrato_zig!G:G,df_extrato_zig!E:E,Conciliacao!A639,df_extrato_zig!D:D,"Saque")-SUMIFS(df_extrato_zig!G:G,df_extrato_zig!E:E,Conciliacao!A639,df_extrato_zig!D:D,"Antecipação")</f>
        <v/>
      </c>
      <c r="C639" s="3">
        <f>SUMIFS(df_extrato_zig!E:E,df_extrato_zig!L:L,Conciliacao!A639,df_extrato_zig!F:F,"DINHEIRO")</f>
        <v/>
      </c>
      <c r="D639" s="3">
        <f>SUMIFS(view_parc_agrup!H:H,view_parc_agrup!G:G,Conciliacao!A639)</f>
        <v/>
      </c>
      <c r="E639" s="3">
        <f>SUMIFS(df_eventos!F:F,df_eventos!H:H,Conciliacao!A639)</f>
        <v/>
      </c>
      <c r="F639" s="3">
        <f>SUMIFS(df_mutuos!M:M,df_mutuos!B:B,Conciliacao!A639)</f>
        <v/>
      </c>
      <c r="G639" s="6">
        <f>SUMIFS(df_bloqueios_judiciais!G:G,df_bloqueios_judiciais!D:D,Conciliacao!A639,df_bloqueios_judiciais!G:G,"&gt;0")</f>
        <v/>
      </c>
      <c r="H639" s="7">
        <f>SUMIFS(df_extratos!I:I,df_extratos!F:F,Conciliacao!BE639,df_extratos!G:G,"CREDITO")+SUMIFS(df_extratos!I:I,df_extratos!F:F,Conciliacao!A639,df_extratos!G:G,"CREDITO")+SUMIFS(df_extratos!I:I,df_extratos!F:F,Conciliacao!BF639,df_extratos!G:G,"CREDITO")+SUMIFS(df_extratos!I:I,df_extratos!F:F,Conciliacao!BG639,df_extratos!G:G,"CREDITO")+SUMIFS(df_extratos!I:I,df_extratos!F:F,Conciliacao!BH639,df_extratos!G:G,"CREDITO")</f>
        <v/>
      </c>
      <c r="I639" s="9">
        <f>H639-SUM(B639:G639)</f>
        <v/>
      </c>
      <c r="J639" s="4">
        <f>SUMIFS(df_blueme_sem_parcelamento!E:E,df_blueme_sem_parcelamento!H:H,Conciliacao!A639)*(-1)</f>
        <v/>
      </c>
      <c r="K639" s="4">
        <f>SUMIFS(df_blueme_com_parcelamento!J:J,df_blueme_com_parcelamento!M:M,Conciliacao!A639)*(-1)</f>
        <v/>
      </c>
      <c r="L639" s="4">
        <f>SUMIFS(df_mutuos!N:N,df_mutuos!B:B,Conciliacao!A639)*(-1)</f>
        <v/>
      </c>
      <c r="M639" s="8">
        <f>SUMIFS(df_bloqueios_judiciais!G:G,df_bloqueios_judiciais!D:D,Conciliacao!A639,df_bloqueios_judiciais!G:G,"&lt;0")</f>
        <v/>
      </c>
      <c r="N639" s="10">
        <f>SUMIFS(df_extratos!I:I,df_extratos!F:F,Conciliacao!BE639,df_extratos!G:G,"DEBITO")+SUMIFS(df_extratos!I:I,df_extratos!F:F,Conciliacao!A639,df_extratos!G:G,"DEBITO")+SUMIFS(df_extratos!I:I,df_extratos!F:F,Conciliacao!BF639,df_extratos!G:G,"DEBITO")+SUMIFS(df_extratos!I:I,df_extratos!F:F,Conciliacao!BG639,df_extratos!G:G,"DEBITO")+SUMIFS(df_extratos!I:I,df_extratos!F:F,Conciliacao!BH639,df_extratos!G:G,"DEBITO")</f>
        <v/>
      </c>
      <c r="O639" s="11">
        <f>N639-SUM(J639:M639)</f>
        <v/>
      </c>
      <c r="P639" s="25">
        <f>SUMIFS(df_ajustes_conciliaco!D:D,df_ajustes_conciliaco!C:C,Conciliacao!A639)</f>
        <v/>
      </c>
      <c r="Q639" s="22">
        <f>O639+I639-P639</f>
        <v/>
      </c>
      <c r="BE639" s="20" t="n">
        <v>46295.5</v>
      </c>
      <c r="BF639" s="20" t="n">
        <v>46295.125</v>
      </c>
      <c r="BG639" s="20" t="n">
        <v>46295.5416666088</v>
      </c>
      <c r="BH639" s="20" t="n">
        <v>46295.625</v>
      </c>
    </row>
    <row r="640">
      <c r="A640" s="5">
        <f>A639+1</f>
        <v/>
      </c>
      <c r="B640" s="3">
        <f>-SUMIFS(df_extrato_zig!G:G,df_extrato_zig!E:E,Conciliacao!A640,df_extrato_zig!D:D,"Saque")-SUMIFS(df_extrato_zig!G:G,df_extrato_zig!E:E,Conciliacao!A640,df_extrato_zig!D:D,"Antecipação")</f>
        <v/>
      </c>
      <c r="C640" s="3">
        <f>SUMIFS(df_extrato_zig!E:E,df_extrato_zig!L:L,Conciliacao!A640,df_extrato_zig!F:F,"DINHEIRO")</f>
        <v/>
      </c>
      <c r="D640" s="3">
        <f>SUMIFS(view_parc_agrup!H:H,view_parc_agrup!G:G,Conciliacao!A640)</f>
        <v/>
      </c>
      <c r="E640" s="3">
        <f>SUMIFS(df_eventos!F:F,df_eventos!H:H,Conciliacao!A640)</f>
        <v/>
      </c>
      <c r="F640" s="3">
        <f>SUMIFS(df_mutuos!M:M,df_mutuos!B:B,Conciliacao!A640)</f>
        <v/>
      </c>
      <c r="G640" s="6">
        <f>SUMIFS(df_bloqueios_judiciais!G:G,df_bloqueios_judiciais!D:D,Conciliacao!A640,df_bloqueios_judiciais!G:G,"&gt;0")</f>
        <v/>
      </c>
      <c r="H640" s="7">
        <f>SUMIFS(df_extratos!I:I,df_extratos!F:F,Conciliacao!BE640,df_extratos!G:G,"CREDITO")+SUMIFS(df_extratos!I:I,df_extratos!F:F,Conciliacao!A640,df_extratos!G:G,"CREDITO")+SUMIFS(df_extratos!I:I,df_extratos!F:F,Conciliacao!BF640,df_extratos!G:G,"CREDITO")+SUMIFS(df_extratos!I:I,df_extratos!F:F,Conciliacao!BG640,df_extratos!G:G,"CREDITO")+SUMIFS(df_extratos!I:I,df_extratos!F:F,Conciliacao!BH640,df_extratos!G:G,"CREDITO")</f>
        <v/>
      </c>
      <c r="I640" s="9">
        <f>H640-SUM(B640:G640)</f>
        <v/>
      </c>
      <c r="J640" s="4">
        <f>SUMIFS(df_blueme_sem_parcelamento!E:E,df_blueme_sem_parcelamento!H:H,Conciliacao!A640)*(-1)</f>
        <v/>
      </c>
      <c r="K640" s="4">
        <f>SUMIFS(df_blueme_com_parcelamento!J:J,df_blueme_com_parcelamento!M:M,Conciliacao!A640)*(-1)</f>
        <v/>
      </c>
      <c r="L640" s="4">
        <f>SUMIFS(df_mutuos!N:N,df_mutuos!B:B,Conciliacao!A640)*(-1)</f>
        <v/>
      </c>
      <c r="M640" s="8">
        <f>SUMIFS(df_bloqueios_judiciais!G:G,df_bloqueios_judiciais!D:D,Conciliacao!A640,df_bloqueios_judiciais!G:G,"&lt;0")</f>
        <v/>
      </c>
      <c r="N640" s="10">
        <f>SUMIFS(df_extratos!I:I,df_extratos!F:F,Conciliacao!BE640,df_extratos!G:G,"DEBITO")+SUMIFS(df_extratos!I:I,df_extratos!F:F,Conciliacao!A640,df_extratos!G:G,"DEBITO")+SUMIFS(df_extratos!I:I,df_extratos!F:F,Conciliacao!BF640,df_extratos!G:G,"DEBITO")+SUMIFS(df_extratos!I:I,df_extratos!F:F,Conciliacao!BG640,df_extratos!G:G,"DEBITO")+SUMIFS(df_extratos!I:I,df_extratos!F:F,Conciliacao!BH640,df_extratos!G:G,"DEBITO")</f>
        <v/>
      </c>
      <c r="O640" s="11">
        <f>N640-SUM(J640:M640)</f>
        <v/>
      </c>
      <c r="P640" s="25">
        <f>SUMIFS(df_ajustes_conciliaco!D:D,df_ajustes_conciliaco!C:C,Conciliacao!A640)</f>
        <v/>
      </c>
      <c r="Q640" s="22">
        <f>O640+I640-P640</f>
        <v/>
      </c>
      <c r="BE640" s="20" t="n">
        <v>46296.5</v>
      </c>
      <c r="BF640" s="20" t="n">
        <v>46296.125</v>
      </c>
      <c r="BG640" s="20" t="n">
        <v>46296.5416666088</v>
      </c>
      <c r="BH640" s="20" t="n">
        <v>46296.625</v>
      </c>
    </row>
    <row r="641">
      <c r="A641" s="5">
        <f>A640+1</f>
        <v/>
      </c>
      <c r="B641" s="3">
        <f>-SUMIFS(df_extrato_zig!G:G,df_extrato_zig!E:E,Conciliacao!A641,df_extrato_zig!D:D,"Saque")-SUMIFS(df_extrato_zig!G:G,df_extrato_zig!E:E,Conciliacao!A641,df_extrato_zig!D:D,"Antecipação")</f>
        <v/>
      </c>
      <c r="C641" s="3">
        <f>SUMIFS(df_extrato_zig!E:E,df_extrato_zig!L:L,Conciliacao!A641,df_extrato_zig!F:F,"DINHEIRO")</f>
        <v/>
      </c>
      <c r="D641" s="3">
        <f>SUMIFS(view_parc_agrup!H:H,view_parc_agrup!G:G,Conciliacao!A641)</f>
        <v/>
      </c>
      <c r="E641" s="3">
        <f>SUMIFS(df_eventos!F:F,df_eventos!H:H,Conciliacao!A641)</f>
        <v/>
      </c>
      <c r="F641" s="3">
        <f>SUMIFS(df_mutuos!M:M,df_mutuos!B:B,Conciliacao!A641)</f>
        <v/>
      </c>
      <c r="G641" s="6">
        <f>SUMIFS(df_bloqueios_judiciais!G:G,df_bloqueios_judiciais!D:D,Conciliacao!A641,df_bloqueios_judiciais!G:G,"&gt;0")</f>
        <v/>
      </c>
      <c r="H641" s="7">
        <f>SUMIFS(df_extratos!I:I,df_extratos!F:F,Conciliacao!BE641,df_extratos!G:G,"CREDITO")+SUMIFS(df_extratos!I:I,df_extratos!F:F,Conciliacao!A641,df_extratos!G:G,"CREDITO")+SUMIFS(df_extratos!I:I,df_extratos!F:F,Conciliacao!BF641,df_extratos!G:G,"CREDITO")+SUMIFS(df_extratos!I:I,df_extratos!F:F,Conciliacao!BG641,df_extratos!G:G,"CREDITO")+SUMIFS(df_extratos!I:I,df_extratos!F:F,Conciliacao!BH641,df_extratos!G:G,"CREDITO")</f>
        <v/>
      </c>
      <c r="I641" s="9">
        <f>H641-SUM(B641:G641)</f>
        <v/>
      </c>
      <c r="J641" s="4">
        <f>SUMIFS(df_blueme_sem_parcelamento!E:E,df_blueme_sem_parcelamento!H:H,Conciliacao!A641)*(-1)</f>
        <v/>
      </c>
      <c r="K641" s="4">
        <f>SUMIFS(df_blueme_com_parcelamento!J:J,df_blueme_com_parcelamento!M:M,Conciliacao!A641)*(-1)</f>
        <v/>
      </c>
      <c r="L641" s="4">
        <f>SUMIFS(df_mutuos!N:N,df_mutuos!B:B,Conciliacao!A641)*(-1)</f>
        <v/>
      </c>
      <c r="M641" s="8">
        <f>SUMIFS(df_bloqueios_judiciais!G:G,df_bloqueios_judiciais!D:D,Conciliacao!A641,df_bloqueios_judiciais!G:G,"&lt;0")</f>
        <v/>
      </c>
      <c r="N641" s="10">
        <f>SUMIFS(df_extratos!I:I,df_extratos!F:F,Conciliacao!BE641,df_extratos!G:G,"DEBITO")+SUMIFS(df_extratos!I:I,df_extratos!F:F,Conciliacao!A641,df_extratos!G:G,"DEBITO")+SUMIFS(df_extratos!I:I,df_extratos!F:F,Conciliacao!BF641,df_extratos!G:G,"DEBITO")+SUMIFS(df_extratos!I:I,df_extratos!F:F,Conciliacao!BG641,df_extratos!G:G,"DEBITO")+SUMIFS(df_extratos!I:I,df_extratos!F:F,Conciliacao!BH641,df_extratos!G:G,"DEBITO")</f>
        <v/>
      </c>
      <c r="O641" s="11">
        <f>N641-SUM(J641:M641)</f>
        <v/>
      </c>
      <c r="P641" s="25">
        <f>SUMIFS(df_ajustes_conciliaco!D:D,df_ajustes_conciliaco!C:C,Conciliacao!A641)</f>
        <v/>
      </c>
      <c r="Q641" s="22">
        <f>O641+I641-P641</f>
        <v/>
      </c>
      <c r="BE641" s="20" t="n">
        <v>46297.5</v>
      </c>
      <c r="BF641" s="20" t="n">
        <v>46297.125</v>
      </c>
      <c r="BG641" s="20" t="n">
        <v>46297.5416666088</v>
      </c>
      <c r="BH641" s="20" t="n">
        <v>46297.625</v>
      </c>
    </row>
    <row r="642">
      <c r="A642" s="5">
        <f>A641+1</f>
        <v/>
      </c>
      <c r="B642" s="3">
        <f>-SUMIFS(df_extrato_zig!G:G,df_extrato_zig!E:E,Conciliacao!A642,df_extrato_zig!D:D,"Saque")-SUMIFS(df_extrato_zig!G:G,df_extrato_zig!E:E,Conciliacao!A642,df_extrato_zig!D:D,"Antecipação")</f>
        <v/>
      </c>
      <c r="C642" s="3">
        <f>SUMIFS(df_extrato_zig!E:E,df_extrato_zig!L:L,Conciliacao!A642,df_extrato_zig!F:F,"DINHEIRO")</f>
        <v/>
      </c>
      <c r="D642" s="3">
        <f>SUMIFS(view_parc_agrup!H:H,view_parc_agrup!G:G,Conciliacao!A642)</f>
        <v/>
      </c>
      <c r="E642" s="3">
        <f>SUMIFS(df_eventos!F:F,df_eventos!H:H,Conciliacao!A642)</f>
        <v/>
      </c>
      <c r="F642" s="3">
        <f>SUMIFS(df_mutuos!M:M,df_mutuos!B:B,Conciliacao!A642)</f>
        <v/>
      </c>
      <c r="G642" s="6">
        <f>SUMIFS(df_bloqueios_judiciais!G:G,df_bloqueios_judiciais!D:D,Conciliacao!A642,df_bloqueios_judiciais!G:G,"&gt;0")</f>
        <v/>
      </c>
      <c r="H642" s="7">
        <f>SUMIFS(df_extratos!I:I,df_extratos!F:F,Conciliacao!BE642,df_extratos!G:G,"CREDITO")+SUMIFS(df_extratos!I:I,df_extratos!F:F,Conciliacao!A642,df_extratos!G:G,"CREDITO")+SUMIFS(df_extratos!I:I,df_extratos!F:F,Conciliacao!BF642,df_extratos!G:G,"CREDITO")+SUMIFS(df_extratos!I:I,df_extratos!F:F,Conciliacao!BG642,df_extratos!G:G,"CREDITO")+SUMIFS(df_extratos!I:I,df_extratos!F:F,Conciliacao!BH642,df_extratos!G:G,"CREDITO")</f>
        <v/>
      </c>
      <c r="I642" s="9">
        <f>H642-SUM(B642:G642)</f>
        <v/>
      </c>
      <c r="J642" s="4">
        <f>SUMIFS(df_blueme_sem_parcelamento!E:E,df_blueme_sem_parcelamento!H:H,Conciliacao!A642)*(-1)</f>
        <v/>
      </c>
      <c r="K642" s="4">
        <f>SUMIFS(df_blueme_com_parcelamento!J:J,df_blueme_com_parcelamento!M:M,Conciliacao!A642)*(-1)</f>
        <v/>
      </c>
      <c r="L642" s="4">
        <f>SUMIFS(df_mutuos!N:N,df_mutuos!B:B,Conciliacao!A642)*(-1)</f>
        <v/>
      </c>
      <c r="M642" s="8">
        <f>SUMIFS(df_bloqueios_judiciais!G:G,df_bloqueios_judiciais!D:D,Conciliacao!A642,df_bloqueios_judiciais!G:G,"&lt;0")</f>
        <v/>
      </c>
      <c r="N642" s="10">
        <f>SUMIFS(df_extratos!I:I,df_extratos!F:F,Conciliacao!BE642,df_extratos!G:G,"DEBITO")+SUMIFS(df_extratos!I:I,df_extratos!F:F,Conciliacao!A642,df_extratos!G:G,"DEBITO")+SUMIFS(df_extratos!I:I,df_extratos!F:F,Conciliacao!BF642,df_extratos!G:G,"DEBITO")+SUMIFS(df_extratos!I:I,df_extratos!F:F,Conciliacao!BG642,df_extratos!G:G,"DEBITO")+SUMIFS(df_extratos!I:I,df_extratos!F:F,Conciliacao!BH642,df_extratos!G:G,"DEBITO")</f>
        <v/>
      </c>
      <c r="O642" s="11">
        <f>N642-SUM(J642:M642)</f>
        <v/>
      </c>
      <c r="P642" s="25">
        <f>SUMIFS(df_ajustes_conciliaco!D:D,df_ajustes_conciliaco!C:C,Conciliacao!A642)</f>
        <v/>
      </c>
      <c r="Q642" s="22">
        <f>O642+I642-P642</f>
        <v/>
      </c>
      <c r="BE642" s="20" t="n">
        <v>46298.5</v>
      </c>
      <c r="BF642" s="20" t="n">
        <v>46298.125</v>
      </c>
      <c r="BG642" s="20" t="n">
        <v>46298.5416666088</v>
      </c>
      <c r="BH642" s="20" t="n">
        <v>46298.625</v>
      </c>
    </row>
    <row r="643">
      <c r="A643" s="5">
        <f>A642+1</f>
        <v/>
      </c>
      <c r="B643" s="3">
        <f>-SUMIFS(df_extrato_zig!G:G,df_extrato_zig!E:E,Conciliacao!A643,df_extrato_zig!D:D,"Saque")-SUMIFS(df_extrato_zig!G:G,df_extrato_zig!E:E,Conciliacao!A643,df_extrato_zig!D:D,"Antecipação")</f>
        <v/>
      </c>
      <c r="C643" s="3">
        <f>SUMIFS(df_extrato_zig!E:E,df_extrato_zig!L:L,Conciliacao!A643,df_extrato_zig!F:F,"DINHEIRO")</f>
        <v/>
      </c>
      <c r="D643" s="3">
        <f>SUMIFS(view_parc_agrup!H:H,view_parc_agrup!G:G,Conciliacao!A643)</f>
        <v/>
      </c>
      <c r="E643" s="3">
        <f>SUMIFS(df_eventos!F:F,df_eventos!H:H,Conciliacao!A643)</f>
        <v/>
      </c>
      <c r="F643" s="3">
        <f>SUMIFS(df_mutuos!M:M,df_mutuos!B:B,Conciliacao!A643)</f>
        <v/>
      </c>
      <c r="G643" s="6">
        <f>SUMIFS(df_bloqueios_judiciais!G:G,df_bloqueios_judiciais!D:D,Conciliacao!A643,df_bloqueios_judiciais!G:G,"&gt;0")</f>
        <v/>
      </c>
      <c r="H643" s="7">
        <f>SUMIFS(df_extratos!I:I,df_extratos!F:F,Conciliacao!BE643,df_extratos!G:G,"CREDITO")+SUMIFS(df_extratos!I:I,df_extratos!F:F,Conciliacao!A643,df_extratos!G:G,"CREDITO")+SUMIFS(df_extratos!I:I,df_extratos!F:F,Conciliacao!BF643,df_extratos!G:G,"CREDITO")+SUMIFS(df_extratos!I:I,df_extratos!F:F,Conciliacao!BG643,df_extratos!G:G,"CREDITO")+SUMIFS(df_extratos!I:I,df_extratos!F:F,Conciliacao!BH643,df_extratos!G:G,"CREDITO")</f>
        <v/>
      </c>
      <c r="I643" s="9">
        <f>H643-SUM(B643:G643)</f>
        <v/>
      </c>
      <c r="J643" s="4">
        <f>SUMIFS(df_blueme_sem_parcelamento!E:E,df_blueme_sem_parcelamento!H:H,Conciliacao!A643)*(-1)</f>
        <v/>
      </c>
      <c r="K643" s="4">
        <f>SUMIFS(df_blueme_com_parcelamento!J:J,df_blueme_com_parcelamento!M:M,Conciliacao!A643)*(-1)</f>
        <v/>
      </c>
      <c r="L643" s="4">
        <f>SUMIFS(df_mutuos!N:N,df_mutuos!B:B,Conciliacao!A643)*(-1)</f>
        <v/>
      </c>
      <c r="M643" s="8">
        <f>SUMIFS(df_bloqueios_judiciais!G:G,df_bloqueios_judiciais!D:D,Conciliacao!A643,df_bloqueios_judiciais!G:G,"&lt;0")</f>
        <v/>
      </c>
      <c r="N643" s="10">
        <f>SUMIFS(df_extratos!I:I,df_extratos!F:F,Conciliacao!BE643,df_extratos!G:G,"DEBITO")+SUMIFS(df_extratos!I:I,df_extratos!F:F,Conciliacao!A643,df_extratos!G:G,"DEBITO")+SUMIFS(df_extratos!I:I,df_extratos!F:F,Conciliacao!BF643,df_extratos!G:G,"DEBITO")+SUMIFS(df_extratos!I:I,df_extratos!F:F,Conciliacao!BG643,df_extratos!G:G,"DEBITO")+SUMIFS(df_extratos!I:I,df_extratos!F:F,Conciliacao!BH643,df_extratos!G:G,"DEBITO")</f>
        <v/>
      </c>
      <c r="O643" s="11">
        <f>N643-SUM(J643:M643)</f>
        <v/>
      </c>
      <c r="P643" s="25">
        <f>SUMIFS(df_ajustes_conciliaco!D:D,df_ajustes_conciliaco!C:C,Conciliacao!A643)</f>
        <v/>
      </c>
      <c r="Q643" s="22">
        <f>O643+I643-P643</f>
        <v/>
      </c>
      <c r="BE643" s="20" t="n">
        <v>46299.5</v>
      </c>
      <c r="BF643" s="20" t="n">
        <v>46299.125</v>
      </c>
      <c r="BG643" s="20" t="n">
        <v>46299.5416666088</v>
      </c>
      <c r="BH643" s="20" t="n">
        <v>46299.625</v>
      </c>
    </row>
    <row r="644">
      <c r="A644" s="5">
        <f>A643+1</f>
        <v/>
      </c>
      <c r="B644" s="3">
        <f>-SUMIFS(df_extrato_zig!G:G,df_extrato_zig!E:E,Conciliacao!A644,df_extrato_zig!D:D,"Saque")-SUMIFS(df_extrato_zig!G:G,df_extrato_zig!E:E,Conciliacao!A644,df_extrato_zig!D:D,"Antecipação")</f>
        <v/>
      </c>
      <c r="C644" s="3">
        <f>SUMIFS(df_extrato_zig!E:E,df_extrato_zig!L:L,Conciliacao!A644,df_extrato_zig!F:F,"DINHEIRO")</f>
        <v/>
      </c>
      <c r="D644" s="3">
        <f>SUMIFS(view_parc_agrup!H:H,view_parc_agrup!G:G,Conciliacao!A644)</f>
        <v/>
      </c>
      <c r="E644" s="3">
        <f>SUMIFS(df_eventos!F:F,df_eventos!H:H,Conciliacao!A644)</f>
        <v/>
      </c>
      <c r="F644" s="3">
        <f>SUMIFS(df_mutuos!M:M,df_mutuos!B:B,Conciliacao!A644)</f>
        <v/>
      </c>
      <c r="G644" s="6">
        <f>SUMIFS(df_bloqueios_judiciais!G:G,df_bloqueios_judiciais!D:D,Conciliacao!A644,df_bloqueios_judiciais!G:G,"&gt;0")</f>
        <v/>
      </c>
      <c r="H644" s="7">
        <f>SUMIFS(df_extratos!I:I,df_extratos!F:F,Conciliacao!BE644,df_extratos!G:G,"CREDITO")+SUMIFS(df_extratos!I:I,df_extratos!F:F,Conciliacao!A644,df_extratos!G:G,"CREDITO")+SUMIFS(df_extratos!I:I,df_extratos!F:F,Conciliacao!BF644,df_extratos!G:G,"CREDITO")+SUMIFS(df_extratos!I:I,df_extratos!F:F,Conciliacao!BG644,df_extratos!G:G,"CREDITO")+SUMIFS(df_extratos!I:I,df_extratos!F:F,Conciliacao!BH644,df_extratos!G:G,"CREDITO")</f>
        <v/>
      </c>
      <c r="I644" s="9">
        <f>H644-SUM(B644:G644)</f>
        <v/>
      </c>
      <c r="J644" s="4">
        <f>SUMIFS(df_blueme_sem_parcelamento!E:E,df_blueme_sem_parcelamento!H:H,Conciliacao!A644)*(-1)</f>
        <v/>
      </c>
      <c r="K644" s="4">
        <f>SUMIFS(df_blueme_com_parcelamento!J:J,df_blueme_com_parcelamento!M:M,Conciliacao!A644)*(-1)</f>
        <v/>
      </c>
      <c r="L644" s="4">
        <f>SUMIFS(df_mutuos!N:N,df_mutuos!B:B,Conciliacao!A644)*(-1)</f>
        <v/>
      </c>
      <c r="M644" s="8">
        <f>SUMIFS(df_bloqueios_judiciais!G:G,df_bloqueios_judiciais!D:D,Conciliacao!A644,df_bloqueios_judiciais!G:G,"&lt;0")</f>
        <v/>
      </c>
      <c r="N644" s="10">
        <f>SUMIFS(df_extratos!I:I,df_extratos!F:F,Conciliacao!BE644,df_extratos!G:G,"DEBITO")+SUMIFS(df_extratos!I:I,df_extratos!F:F,Conciliacao!A644,df_extratos!G:G,"DEBITO")+SUMIFS(df_extratos!I:I,df_extratos!F:F,Conciliacao!BF644,df_extratos!G:G,"DEBITO")+SUMIFS(df_extratos!I:I,df_extratos!F:F,Conciliacao!BG644,df_extratos!G:G,"DEBITO")+SUMIFS(df_extratos!I:I,df_extratos!F:F,Conciliacao!BH644,df_extratos!G:G,"DEBITO")</f>
        <v/>
      </c>
      <c r="O644" s="11">
        <f>N644-SUM(J644:M644)</f>
        <v/>
      </c>
      <c r="P644" s="25">
        <f>SUMIFS(df_ajustes_conciliaco!D:D,df_ajustes_conciliaco!C:C,Conciliacao!A644)</f>
        <v/>
      </c>
      <c r="Q644" s="22">
        <f>O644+I644-P644</f>
        <v/>
      </c>
      <c r="BE644" s="20" t="n">
        <v>46300.5</v>
      </c>
      <c r="BF644" s="20" t="n">
        <v>46300.125</v>
      </c>
      <c r="BG644" s="20" t="n">
        <v>46300.5416666088</v>
      </c>
      <c r="BH644" s="20" t="n">
        <v>46300.625</v>
      </c>
    </row>
    <row r="645">
      <c r="A645" s="5">
        <f>A644+1</f>
        <v/>
      </c>
      <c r="B645" s="3">
        <f>-SUMIFS(df_extrato_zig!G:G,df_extrato_zig!E:E,Conciliacao!A645,df_extrato_zig!D:D,"Saque")-SUMIFS(df_extrato_zig!G:G,df_extrato_zig!E:E,Conciliacao!A645,df_extrato_zig!D:D,"Antecipação")</f>
        <v/>
      </c>
      <c r="C645" s="3">
        <f>SUMIFS(df_extrato_zig!E:E,df_extrato_zig!L:L,Conciliacao!A645,df_extrato_zig!F:F,"DINHEIRO")</f>
        <v/>
      </c>
      <c r="D645" s="3">
        <f>SUMIFS(view_parc_agrup!H:H,view_parc_agrup!G:G,Conciliacao!A645)</f>
        <v/>
      </c>
      <c r="E645" s="3">
        <f>SUMIFS(df_eventos!F:F,df_eventos!H:H,Conciliacao!A645)</f>
        <v/>
      </c>
      <c r="F645" s="3">
        <f>SUMIFS(df_mutuos!M:M,df_mutuos!B:B,Conciliacao!A645)</f>
        <v/>
      </c>
      <c r="G645" s="6">
        <f>SUMIFS(df_bloqueios_judiciais!G:G,df_bloqueios_judiciais!D:D,Conciliacao!A645,df_bloqueios_judiciais!G:G,"&gt;0")</f>
        <v/>
      </c>
      <c r="H645" s="7">
        <f>SUMIFS(df_extratos!I:I,df_extratos!F:F,Conciliacao!BE645,df_extratos!G:G,"CREDITO")+SUMIFS(df_extratos!I:I,df_extratos!F:F,Conciliacao!A645,df_extratos!G:G,"CREDITO")+SUMIFS(df_extratos!I:I,df_extratos!F:F,Conciliacao!BF645,df_extratos!G:G,"CREDITO")+SUMIFS(df_extratos!I:I,df_extratos!F:F,Conciliacao!BG645,df_extratos!G:G,"CREDITO")+SUMIFS(df_extratos!I:I,df_extratos!F:F,Conciliacao!BH645,df_extratos!G:G,"CREDITO")</f>
        <v/>
      </c>
      <c r="I645" s="9">
        <f>H645-SUM(B645:G645)</f>
        <v/>
      </c>
      <c r="J645" s="4">
        <f>SUMIFS(df_blueme_sem_parcelamento!E:E,df_blueme_sem_parcelamento!H:H,Conciliacao!A645)*(-1)</f>
        <v/>
      </c>
      <c r="K645" s="4">
        <f>SUMIFS(df_blueme_com_parcelamento!J:J,df_blueme_com_parcelamento!M:M,Conciliacao!A645)*(-1)</f>
        <v/>
      </c>
      <c r="L645" s="4">
        <f>SUMIFS(df_mutuos!N:N,df_mutuos!B:B,Conciliacao!A645)*(-1)</f>
        <v/>
      </c>
      <c r="M645" s="8">
        <f>SUMIFS(df_bloqueios_judiciais!G:G,df_bloqueios_judiciais!D:D,Conciliacao!A645,df_bloqueios_judiciais!G:G,"&lt;0")</f>
        <v/>
      </c>
      <c r="N645" s="10">
        <f>SUMIFS(df_extratos!I:I,df_extratos!F:F,Conciliacao!BE645,df_extratos!G:G,"DEBITO")+SUMIFS(df_extratos!I:I,df_extratos!F:F,Conciliacao!A645,df_extratos!G:G,"DEBITO")+SUMIFS(df_extratos!I:I,df_extratos!F:F,Conciliacao!BF645,df_extratos!G:G,"DEBITO")+SUMIFS(df_extratos!I:I,df_extratos!F:F,Conciliacao!BG645,df_extratos!G:G,"DEBITO")+SUMIFS(df_extratos!I:I,df_extratos!F:F,Conciliacao!BH645,df_extratos!G:G,"DEBITO")</f>
        <v/>
      </c>
      <c r="O645" s="11">
        <f>N645-SUM(J645:M645)</f>
        <v/>
      </c>
      <c r="P645" s="25">
        <f>SUMIFS(df_ajustes_conciliaco!D:D,df_ajustes_conciliaco!C:C,Conciliacao!A645)</f>
        <v/>
      </c>
      <c r="Q645" s="22">
        <f>O645+I645-P645</f>
        <v/>
      </c>
      <c r="BE645" s="20" t="n">
        <v>46301.5</v>
      </c>
      <c r="BF645" s="20" t="n">
        <v>46301.125</v>
      </c>
      <c r="BG645" s="20" t="n">
        <v>46301.5416666088</v>
      </c>
      <c r="BH645" s="20" t="n">
        <v>46301.625</v>
      </c>
    </row>
    <row r="646">
      <c r="A646" s="5">
        <f>A645+1</f>
        <v/>
      </c>
      <c r="B646" s="3">
        <f>-SUMIFS(df_extrato_zig!G:G,df_extrato_zig!E:E,Conciliacao!A646,df_extrato_zig!D:D,"Saque")-SUMIFS(df_extrato_zig!G:G,df_extrato_zig!E:E,Conciliacao!A646,df_extrato_zig!D:D,"Antecipação")</f>
        <v/>
      </c>
      <c r="C646" s="3">
        <f>SUMIFS(df_extrato_zig!E:E,df_extrato_zig!L:L,Conciliacao!A646,df_extrato_zig!F:F,"DINHEIRO")</f>
        <v/>
      </c>
      <c r="D646" s="3">
        <f>SUMIFS(view_parc_agrup!H:H,view_parc_agrup!G:G,Conciliacao!A646)</f>
        <v/>
      </c>
      <c r="E646" s="3">
        <f>SUMIFS(df_eventos!F:F,df_eventos!H:H,Conciliacao!A646)</f>
        <v/>
      </c>
      <c r="F646" s="3">
        <f>SUMIFS(df_mutuos!M:M,df_mutuos!B:B,Conciliacao!A646)</f>
        <v/>
      </c>
      <c r="G646" s="6">
        <f>SUMIFS(df_bloqueios_judiciais!G:G,df_bloqueios_judiciais!D:D,Conciliacao!A646,df_bloqueios_judiciais!G:G,"&gt;0")</f>
        <v/>
      </c>
      <c r="H646" s="7">
        <f>SUMIFS(df_extratos!I:I,df_extratos!F:F,Conciliacao!BE646,df_extratos!G:G,"CREDITO")+SUMIFS(df_extratos!I:I,df_extratos!F:F,Conciliacao!A646,df_extratos!G:G,"CREDITO")+SUMIFS(df_extratos!I:I,df_extratos!F:F,Conciliacao!BF646,df_extratos!G:G,"CREDITO")+SUMIFS(df_extratos!I:I,df_extratos!F:F,Conciliacao!BG646,df_extratos!G:G,"CREDITO")+SUMIFS(df_extratos!I:I,df_extratos!F:F,Conciliacao!BH646,df_extratos!G:G,"CREDITO")</f>
        <v/>
      </c>
      <c r="I646" s="9">
        <f>H646-SUM(B646:G646)</f>
        <v/>
      </c>
      <c r="J646" s="4">
        <f>SUMIFS(df_blueme_sem_parcelamento!E:E,df_blueme_sem_parcelamento!H:H,Conciliacao!A646)*(-1)</f>
        <v/>
      </c>
      <c r="K646" s="4">
        <f>SUMIFS(df_blueme_com_parcelamento!J:J,df_blueme_com_parcelamento!M:M,Conciliacao!A646)*(-1)</f>
        <v/>
      </c>
      <c r="L646" s="4">
        <f>SUMIFS(df_mutuos!N:N,df_mutuos!B:B,Conciliacao!A646)*(-1)</f>
        <v/>
      </c>
      <c r="M646" s="8">
        <f>SUMIFS(df_bloqueios_judiciais!G:G,df_bloqueios_judiciais!D:D,Conciliacao!A646,df_bloqueios_judiciais!G:G,"&lt;0")</f>
        <v/>
      </c>
      <c r="N646" s="10">
        <f>SUMIFS(df_extratos!I:I,df_extratos!F:F,Conciliacao!BE646,df_extratos!G:G,"DEBITO")+SUMIFS(df_extratos!I:I,df_extratos!F:F,Conciliacao!A646,df_extratos!G:G,"DEBITO")+SUMIFS(df_extratos!I:I,df_extratos!F:F,Conciliacao!BF646,df_extratos!G:G,"DEBITO")+SUMIFS(df_extratos!I:I,df_extratos!F:F,Conciliacao!BG646,df_extratos!G:G,"DEBITO")+SUMIFS(df_extratos!I:I,df_extratos!F:F,Conciliacao!BH646,df_extratos!G:G,"DEBITO")</f>
        <v/>
      </c>
      <c r="O646" s="11">
        <f>N646-SUM(J646:M646)</f>
        <v/>
      </c>
      <c r="P646" s="25">
        <f>SUMIFS(df_ajustes_conciliaco!D:D,df_ajustes_conciliaco!C:C,Conciliacao!A646)</f>
        <v/>
      </c>
      <c r="Q646" s="22">
        <f>O646+I646-P646</f>
        <v/>
      </c>
      <c r="BE646" s="20" t="n">
        <v>46302.5</v>
      </c>
      <c r="BF646" s="20" t="n">
        <v>46302.125</v>
      </c>
      <c r="BG646" s="20" t="n">
        <v>46302.5416666088</v>
      </c>
      <c r="BH646" s="20" t="n">
        <v>46302.625</v>
      </c>
    </row>
    <row r="647">
      <c r="A647" s="5">
        <f>A646+1</f>
        <v/>
      </c>
      <c r="B647" s="3">
        <f>-SUMIFS(df_extrato_zig!G:G,df_extrato_zig!E:E,Conciliacao!A647,df_extrato_zig!D:D,"Saque")-SUMIFS(df_extrato_zig!G:G,df_extrato_zig!E:E,Conciliacao!A647,df_extrato_zig!D:D,"Antecipação")</f>
        <v/>
      </c>
      <c r="C647" s="3">
        <f>SUMIFS(df_extrato_zig!E:E,df_extrato_zig!L:L,Conciliacao!A647,df_extrato_zig!F:F,"DINHEIRO")</f>
        <v/>
      </c>
      <c r="D647" s="3">
        <f>SUMIFS(view_parc_agrup!H:H,view_parc_agrup!G:G,Conciliacao!A647)</f>
        <v/>
      </c>
      <c r="E647" s="3">
        <f>SUMIFS(df_eventos!F:F,df_eventos!H:H,Conciliacao!A647)</f>
        <v/>
      </c>
      <c r="F647" s="3">
        <f>SUMIFS(df_mutuos!M:M,df_mutuos!B:B,Conciliacao!A647)</f>
        <v/>
      </c>
      <c r="G647" s="6">
        <f>SUMIFS(df_bloqueios_judiciais!G:G,df_bloqueios_judiciais!D:D,Conciliacao!A647,df_bloqueios_judiciais!G:G,"&gt;0")</f>
        <v/>
      </c>
      <c r="H647" s="7">
        <f>SUMIFS(df_extratos!I:I,df_extratos!F:F,Conciliacao!BE647,df_extratos!G:G,"CREDITO")+SUMIFS(df_extratos!I:I,df_extratos!F:F,Conciliacao!A647,df_extratos!G:G,"CREDITO")+SUMIFS(df_extratos!I:I,df_extratos!F:F,Conciliacao!BF647,df_extratos!G:G,"CREDITO")+SUMIFS(df_extratos!I:I,df_extratos!F:F,Conciliacao!BG647,df_extratos!G:G,"CREDITO")+SUMIFS(df_extratos!I:I,df_extratos!F:F,Conciliacao!BH647,df_extratos!G:G,"CREDITO")</f>
        <v/>
      </c>
      <c r="I647" s="9">
        <f>H647-SUM(B647:G647)</f>
        <v/>
      </c>
      <c r="J647" s="4">
        <f>SUMIFS(df_blueme_sem_parcelamento!E:E,df_blueme_sem_parcelamento!H:H,Conciliacao!A647)*(-1)</f>
        <v/>
      </c>
      <c r="K647" s="4">
        <f>SUMIFS(df_blueme_com_parcelamento!J:J,df_blueme_com_parcelamento!M:M,Conciliacao!A647)*(-1)</f>
        <v/>
      </c>
      <c r="L647" s="4">
        <f>SUMIFS(df_mutuos!N:N,df_mutuos!B:B,Conciliacao!A647)*(-1)</f>
        <v/>
      </c>
      <c r="M647" s="8">
        <f>SUMIFS(df_bloqueios_judiciais!G:G,df_bloqueios_judiciais!D:D,Conciliacao!A647,df_bloqueios_judiciais!G:G,"&lt;0")</f>
        <v/>
      </c>
      <c r="N647" s="10">
        <f>SUMIFS(df_extratos!I:I,df_extratos!F:F,Conciliacao!BE647,df_extratos!G:G,"DEBITO")+SUMIFS(df_extratos!I:I,df_extratos!F:F,Conciliacao!A647,df_extratos!G:G,"DEBITO")+SUMIFS(df_extratos!I:I,df_extratos!F:F,Conciliacao!BF647,df_extratos!G:G,"DEBITO")+SUMIFS(df_extratos!I:I,df_extratos!F:F,Conciliacao!BG647,df_extratos!G:G,"DEBITO")+SUMIFS(df_extratos!I:I,df_extratos!F:F,Conciliacao!BH647,df_extratos!G:G,"DEBITO")</f>
        <v/>
      </c>
      <c r="O647" s="11">
        <f>N647-SUM(J647:M647)</f>
        <v/>
      </c>
      <c r="P647" s="25">
        <f>SUMIFS(df_ajustes_conciliaco!D:D,df_ajustes_conciliaco!C:C,Conciliacao!A647)</f>
        <v/>
      </c>
      <c r="Q647" s="22">
        <f>O647+I647-P647</f>
        <v/>
      </c>
      <c r="BE647" s="20" t="n">
        <v>46303.5</v>
      </c>
      <c r="BF647" s="20" t="n">
        <v>46303.125</v>
      </c>
      <c r="BG647" s="20" t="n">
        <v>46303.5416666088</v>
      </c>
      <c r="BH647" s="20" t="n">
        <v>46303.625</v>
      </c>
    </row>
    <row r="648">
      <c r="A648" s="5">
        <f>A647+1</f>
        <v/>
      </c>
      <c r="B648" s="3">
        <f>-SUMIFS(df_extrato_zig!G:G,df_extrato_zig!E:E,Conciliacao!A648,df_extrato_zig!D:D,"Saque")-SUMIFS(df_extrato_zig!G:G,df_extrato_zig!E:E,Conciliacao!A648,df_extrato_zig!D:D,"Antecipação")</f>
        <v/>
      </c>
      <c r="C648" s="3">
        <f>SUMIFS(df_extrato_zig!E:E,df_extrato_zig!L:L,Conciliacao!A648,df_extrato_zig!F:F,"DINHEIRO")</f>
        <v/>
      </c>
      <c r="D648" s="3">
        <f>SUMIFS(view_parc_agrup!H:H,view_parc_agrup!G:G,Conciliacao!A648)</f>
        <v/>
      </c>
      <c r="E648" s="3">
        <f>SUMIFS(df_eventos!F:F,df_eventos!H:H,Conciliacao!A648)</f>
        <v/>
      </c>
      <c r="F648" s="3">
        <f>SUMIFS(df_mutuos!M:M,df_mutuos!B:B,Conciliacao!A648)</f>
        <v/>
      </c>
      <c r="G648" s="6">
        <f>SUMIFS(df_bloqueios_judiciais!G:G,df_bloqueios_judiciais!D:D,Conciliacao!A648,df_bloqueios_judiciais!G:G,"&gt;0")</f>
        <v/>
      </c>
      <c r="H648" s="7">
        <f>SUMIFS(df_extratos!I:I,df_extratos!F:F,Conciliacao!BE648,df_extratos!G:G,"CREDITO")+SUMIFS(df_extratos!I:I,df_extratos!F:F,Conciliacao!A648,df_extratos!G:G,"CREDITO")+SUMIFS(df_extratos!I:I,df_extratos!F:F,Conciliacao!BF648,df_extratos!G:G,"CREDITO")+SUMIFS(df_extratos!I:I,df_extratos!F:F,Conciliacao!BG648,df_extratos!G:G,"CREDITO")+SUMIFS(df_extratos!I:I,df_extratos!F:F,Conciliacao!BH648,df_extratos!G:G,"CREDITO")</f>
        <v/>
      </c>
      <c r="I648" s="9">
        <f>H648-SUM(B648:G648)</f>
        <v/>
      </c>
      <c r="J648" s="4">
        <f>SUMIFS(df_blueme_sem_parcelamento!E:E,df_blueme_sem_parcelamento!H:H,Conciliacao!A648)*(-1)</f>
        <v/>
      </c>
      <c r="K648" s="4">
        <f>SUMIFS(df_blueme_com_parcelamento!J:J,df_blueme_com_parcelamento!M:M,Conciliacao!A648)*(-1)</f>
        <v/>
      </c>
      <c r="L648" s="4">
        <f>SUMIFS(df_mutuos!N:N,df_mutuos!B:B,Conciliacao!A648)*(-1)</f>
        <v/>
      </c>
      <c r="M648" s="8">
        <f>SUMIFS(df_bloqueios_judiciais!G:G,df_bloqueios_judiciais!D:D,Conciliacao!A648,df_bloqueios_judiciais!G:G,"&lt;0")</f>
        <v/>
      </c>
      <c r="N648" s="10">
        <f>SUMIFS(df_extratos!I:I,df_extratos!F:F,Conciliacao!BE648,df_extratos!G:G,"DEBITO")+SUMIFS(df_extratos!I:I,df_extratos!F:F,Conciliacao!A648,df_extratos!G:G,"DEBITO")+SUMIFS(df_extratos!I:I,df_extratos!F:F,Conciliacao!BF648,df_extratos!G:G,"DEBITO")+SUMIFS(df_extratos!I:I,df_extratos!F:F,Conciliacao!BG648,df_extratos!G:G,"DEBITO")+SUMIFS(df_extratos!I:I,df_extratos!F:F,Conciliacao!BH648,df_extratos!G:G,"DEBITO")</f>
        <v/>
      </c>
      <c r="O648" s="11">
        <f>N648-SUM(J648:M648)</f>
        <v/>
      </c>
      <c r="P648" s="25">
        <f>SUMIFS(df_ajustes_conciliaco!D:D,df_ajustes_conciliaco!C:C,Conciliacao!A648)</f>
        <v/>
      </c>
      <c r="Q648" s="22">
        <f>O648+I648-P648</f>
        <v/>
      </c>
      <c r="BE648" s="20" t="n">
        <v>46304.5</v>
      </c>
      <c r="BF648" s="20" t="n">
        <v>46304.125</v>
      </c>
      <c r="BG648" s="20" t="n">
        <v>46304.5416666088</v>
      </c>
      <c r="BH648" s="20" t="n">
        <v>46304.625</v>
      </c>
    </row>
    <row r="649">
      <c r="A649" s="5">
        <f>A648+1</f>
        <v/>
      </c>
      <c r="B649" s="3">
        <f>-SUMIFS(df_extrato_zig!G:G,df_extrato_zig!E:E,Conciliacao!A649,df_extrato_zig!D:D,"Saque")-SUMIFS(df_extrato_zig!G:G,df_extrato_zig!E:E,Conciliacao!A649,df_extrato_zig!D:D,"Antecipação")</f>
        <v/>
      </c>
      <c r="C649" s="3">
        <f>SUMIFS(df_extrato_zig!E:E,df_extrato_zig!L:L,Conciliacao!A649,df_extrato_zig!F:F,"DINHEIRO")</f>
        <v/>
      </c>
      <c r="D649" s="3">
        <f>SUMIFS(view_parc_agrup!H:H,view_parc_agrup!G:G,Conciliacao!A649)</f>
        <v/>
      </c>
      <c r="E649" s="3">
        <f>SUMIFS(df_eventos!F:F,df_eventos!H:H,Conciliacao!A649)</f>
        <v/>
      </c>
      <c r="F649" s="3">
        <f>SUMIFS(df_mutuos!M:M,df_mutuos!B:B,Conciliacao!A649)</f>
        <v/>
      </c>
      <c r="G649" s="6">
        <f>SUMIFS(df_bloqueios_judiciais!G:G,df_bloqueios_judiciais!D:D,Conciliacao!A649,df_bloqueios_judiciais!G:G,"&gt;0")</f>
        <v/>
      </c>
      <c r="H649" s="7">
        <f>SUMIFS(df_extratos!I:I,df_extratos!F:F,Conciliacao!BE649,df_extratos!G:G,"CREDITO")+SUMIFS(df_extratos!I:I,df_extratos!F:F,Conciliacao!A649,df_extratos!G:G,"CREDITO")+SUMIFS(df_extratos!I:I,df_extratos!F:F,Conciliacao!BF649,df_extratos!G:G,"CREDITO")+SUMIFS(df_extratos!I:I,df_extratos!F:F,Conciliacao!BG649,df_extratos!G:G,"CREDITO")+SUMIFS(df_extratos!I:I,df_extratos!F:F,Conciliacao!BH649,df_extratos!G:G,"CREDITO")</f>
        <v/>
      </c>
      <c r="I649" s="9">
        <f>H649-SUM(B649:G649)</f>
        <v/>
      </c>
      <c r="J649" s="4">
        <f>SUMIFS(df_blueme_sem_parcelamento!E:E,df_blueme_sem_parcelamento!H:H,Conciliacao!A649)*(-1)</f>
        <v/>
      </c>
      <c r="K649" s="4">
        <f>SUMIFS(df_blueme_com_parcelamento!J:J,df_blueme_com_parcelamento!M:M,Conciliacao!A649)*(-1)</f>
        <v/>
      </c>
      <c r="L649" s="4">
        <f>SUMIFS(df_mutuos!N:N,df_mutuos!B:B,Conciliacao!A649)*(-1)</f>
        <v/>
      </c>
      <c r="M649" s="8">
        <f>SUMIFS(df_bloqueios_judiciais!G:G,df_bloqueios_judiciais!D:D,Conciliacao!A649,df_bloqueios_judiciais!G:G,"&lt;0")</f>
        <v/>
      </c>
      <c r="N649" s="10">
        <f>SUMIFS(df_extratos!I:I,df_extratos!F:F,Conciliacao!BE649,df_extratos!G:G,"DEBITO")+SUMIFS(df_extratos!I:I,df_extratos!F:F,Conciliacao!A649,df_extratos!G:G,"DEBITO")+SUMIFS(df_extratos!I:I,df_extratos!F:F,Conciliacao!BF649,df_extratos!G:G,"DEBITO")+SUMIFS(df_extratos!I:I,df_extratos!F:F,Conciliacao!BG649,df_extratos!G:G,"DEBITO")+SUMIFS(df_extratos!I:I,df_extratos!F:F,Conciliacao!BH649,df_extratos!G:G,"DEBITO")</f>
        <v/>
      </c>
      <c r="O649" s="11">
        <f>N649-SUM(J649:M649)</f>
        <v/>
      </c>
      <c r="P649" s="25">
        <f>SUMIFS(df_ajustes_conciliaco!D:D,df_ajustes_conciliaco!C:C,Conciliacao!A649)</f>
        <v/>
      </c>
      <c r="Q649" s="22">
        <f>O649+I649-P649</f>
        <v/>
      </c>
      <c r="BE649" s="20" t="n">
        <v>46305.5</v>
      </c>
      <c r="BF649" s="20" t="n">
        <v>46305.125</v>
      </c>
      <c r="BG649" s="20" t="n">
        <v>46305.5416666088</v>
      </c>
      <c r="BH649" s="20" t="n">
        <v>46305.625</v>
      </c>
    </row>
    <row r="650">
      <c r="A650" s="5">
        <f>A649+1</f>
        <v/>
      </c>
      <c r="B650" s="3">
        <f>-SUMIFS(df_extrato_zig!G:G,df_extrato_zig!E:E,Conciliacao!A650,df_extrato_zig!D:D,"Saque")-SUMIFS(df_extrato_zig!G:G,df_extrato_zig!E:E,Conciliacao!A650,df_extrato_zig!D:D,"Antecipação")</f>
        <v/>
      </c>
      <c r="C650" s="3">
        <f>SUMIFS(df_extrato_zig!E:E,df_extrato_zig!L:L,Conciliacao!A650,df_extrato_zig!F:F,"DINHEIRO")</f>
        <v/>
      </c>
      <c r="D650" s="3">
        <f>SUMIFS(view_parc_agrup!H:H,view_parc_agrup!G:G,Conciliacao!A650)</f>
        <v/>
      </c>
      <c r="E650" s="3">
        <f>SUMIFS(df_eventos!F:F,df_eventos!H:H,Conciliacao!A650)</f>
        <v/>
      </c>
      <c r="F650" s="3">
        <f>SUMIFS(df_mutuos!M:M,df_mutuos!B:B,Conciliacao!A650)</f>
        <v/>
      </c>
      <c r="G650" s="6">
        <f>SUMIFS(df_bloqueios_judiciais!G:G,df_bloqueios_judiciais!D:D,Conciliacao!A650,df_bloqueios_judiciais!G:G,"&gt;0")</f>
        <v/>
      </c>
      <c r="H650" s="7">
        <f>SUMIFS(df_extratos!I:I,df_extratos!F:F,Conciliacao!BE650,df_extratos!G:G,"CREDITO")+SUMIFS(df_extratos!I:I,df_extratos!F:F,Conciliacao!A650,df_extratos!G:G,"CREDITO")+SUMIFS(df_extratos!I:I,df_extratos!F:F,Conciliacao!BF650,df_extratos!G:G,"CREDITO")+SUMIFS(df_extratos!I:I,df_extratos!F:F,Conciliacao!BG650,df_extratos!G:G,"CREDITO")+SUMIFS(df_extratos!I:I,df_extratos!F:F,Conciliacao!BH650,df_extratos!G:G,"CREDITO")</f>
        <v/>
      </c>
      <c r="I650" s="9">
        <f>H650-SUM(B650:G650)</f>
        <v/>
      </c>
      <c r="J650" s="4">
        <f>SUMIFS(df_blueme_sem_parcelamento!E:E,df_blueme_sem_parcelamento!H:H,Conciliacao!A650)*(-1)</f>
        <v/>
      </c>
      <c r="K650" s="4">
        <f>SUMIFS(df_blueme_com_parcelamento!J:J,df_blueme_com_parcelamento!M:M,Conciliacao!A650)*(-1)</f>
        <v/>
      </c>
      <c r="L650" s="4">
        <f>SUMIFS(df_mutuos!N:N,df_mutuos!B:B,Conciliacao!A650)*(-1)</f>
        <v/>
      </c>
      <c r="M650" s="8">
        <f>SUMIFS(df_bloqueios_judiciais!G:G,df_bloqueios_judiciais!D:D,Conciliacao!A650,df_bloqueios_judiciais!G:G,"&lt;0")</f>
        <v/>
      </c>
      <c r="N650" s="10">
        <f>SUMIFS(df_extratos!I:I,df_extratos!F:F,Conciliacao!BE650,df_extratos!G:G,"DEBITO")+SUMIFS(df_extratos!I:I,df_extratos!F:F,Conciliacao!A650,df_extratos!G:G,"DEBITO")+SUMIFS(df_extratos!I:I,df_extratos!F:F,Conciliacao!BF650,df_extratos!G:G,"DEBITO")+SUMIFS(df_extratos!I:I,df_extratos!F:F,Conciliacao!BG650,df_extratos!G:G,"DEBITO")+SUMIFS(df_extratos!I:I,df_extratos!F:F,Conciliacao!BH650,df_extratos!G:G,"DEBITO")</f>
        <v/>
      </c>
      <c r="O650" s="11">
        <f>N650-SUM(J650:M650)</f>
        <v/>
      </c>
      <c r="P650" s="25">
        <f>SUMIFS(df_ajustes_conciliaco!D:D,df_ajustes_conciliaco!C:C,Conciliacao!A650)</f>
        <v/>
      </c>
      <c r="Q650" s="22">
        <f>O650+I650-P650</f>
        <v/>
      </c>
      <c r="BE650" s="20" t="n">
        <v>46306.5</v>
      </c>
      <c r="BF650" s="20" t="n">
        <v>46306.125</v>
      </c>
      <c r="BG650" s="20" t="n">
        <v>46306.5416666088</v>
      </c>
      <c r="BH650" s="20" t="n">
        <v>46306.625</v>
      </c>
    </row>
    <row r="651">
      <c r="A651" s="5">
        <f>A650+1</f>
        <v/>
      </c>
      <c r="B651" s="3">
        <f>-SUMIFS(df_extrato_zig!G:G,df_extrato_zig!E:E,Conciliacao!A651,df_extrato_zig!D:D,"Saque")-SUMIFS(df_extrato_zig!G:G,df_extrato_zig!E:E,Conciliacao!A651,df_extrato_zig!D:D,"Antecipação")</f>
        <v/>
      </c>
      <c r="C651" s="3">
        <f>SUMIFS(df_extrato_zig!E:E,df_extrato_zig!L:L,Conciliacao!A651,df_extrato_zig!F:F,"DINHEIRO")</f>
        <v/>
      </c>
      <c r="D651" s="3">
        <f>SUMIFS(view_parc_agrup!H:H,view_parc_agrup!G:G,Conciliacao!A651)</f>
        <v/>
      </c>
      <c r="E651" s="3">
        <f>SUMIFS(df_eventos!F:F,df_eventos!H:H,Conciliacao!A651)</f>
        <v/>
      </c>
      <c r="F651" s="3">
        <f>SUMIFS(df_mutuos!M:M,df_mutuos!B:B,Conciliacao!A651)</f>
        <v/>
      </c>
      <c r="G651" s="6">
        <f>SUMIFS(df_bloqueios_judiciais!G:G,df_bloqueios_judiciais!D:D,Conciliacao!A651,df_bloqueios_judiciais!G:G,"&gt;0")</f>
        <v/>
      </c>
      <c r="H651" s="7">
        <f>SUMIFS(df_extratos!I:I,df_extratos!F:F,Conciliacao!BE651,df_extratos!G:G,"CREDITO")+SUMIFS(df_extratos!I:I,df_extratos!F:F,Conciliacao!A651,df_extratos!G:G,"CREDITO")+SUMIFS(df_extratos!I:I,df_extratos!F:F,Conciliacao!BF651,df_extratos!G:G,"CREDITO")+SUMIFS(df_extratos!I:I,df_extratos!F:F,Conciliacao!BG651,df_extratos!G:G,"CREDITO")+SUMIFS(df_extratos!I:I,df_extratos!F:F,Conciliacao!BH651,df_extratos!G:G,"CREDITO")</f>
        <v/>
      </c>
      <c r="I651" s="9">
        <f>H651-SUM(B651:G651)</f>
        <v/>
      </c>
      <c r="J651" s="4">
        <f>SUMIFS(df_blueme_sem_parcelamento!E:E,df_blueme_sem_parcelamento!H:H,Conciliacao!A651)*(-1)</f>
        <v/>
      </c>
      <c r="K651" s="4">
        <f>SUMIFS(df_blueme_com_parcelamento!J:J,df_blueme_com_parcelamento!M:M,Conciliacao!A651)*(-1)</f>
        <v/>
      </c>
      <c r="L651" s="4">
        <f>SUMIFS(df_mutuos!N:N,df_mutuos!B:B,Conciliacao!A651)*(-1)</f>
        <v/>
      </c>
      <c r="M651" s="8">
        <f>SUMIFS(df_bloqueios_judiciais!G:G,df_bloqueios_judiciais!D:D,Conciliacao!A651,df_bloqueios_judiciais!G:G,"&lt;0")</f>
        <v/>
      </c>
      <c r="N651" s="10">
        <f>SUMIFS(df_extratos!I:I,df_extratos!F:F,Conciliacao!BE651,df_extratos!G:G,"DEBITO")+SUMIFS(df_extratos!I:I,df_extratos!F:F,Conciliacao!A651,df_extratos!G:G,"DEBITO")+SUMIFS(df_extratos!I:I,df_extratos!F:F,Conciliacao!BF651,df_extratos!G:G,"DEBITO")+SUMIFS(df_extratos!I:I,df_extratos!F:F,Conciliacao!BG651,df_extratos!G:G,"DEBITO")+SUMIFS(df_extratos!I:I,df_extratos!F:F,Conciliacao!BH651,df_extratos!G:G,"DEBITO")</f>
        <v/>
      </c>
      <c r="O651" s="11">
        <f>N651-SUM(J651:M651)</f>
        <v/>
      </c>
      <c r="P651" s="25">
        <f>SUMIFS(df_ajustes_conciliaco!D:D,df_ajustes_conciliaco!C:C,Conciliacao!A651)</f>
        <v/>
      </c>
      <c r="Q651" s="22">
        <f>O651+I651-P651</f>
        <v/>
      </c>
      <c r="BE651" s="20" t="n">
        <v>46307.5</v>
      </c>
      <c r="BF651" s="20" t="n">
        <v>46307.125</v>
      </c>
      <c r="BG651" s="20" t="n">
        <v>46307.5416666088</v>
      </c>
      <c r="BH651" s="20" t="n">
        <v>46307.625</v>
      </c>
    </row>
    <row r="652">
      <c r="A652" s="5">
        <f>A651+1</f>
        <v/>
      </c>
      <c r="B652" s="3">
        <f>-SUMIFS(df_extrato_zig!G:G,df_extrato_zig!E:E,Conciliacao!A652,df_extrato_zig!D:D,"Saque")-SUMIFS(df_extrato_zig!G:G,df_extrato_zig!E:E,Conciliacao!A652,df_extrato_zig!D:D,"Antecipação")</f>
        <v/>
      </c>
      <c r="C652" s="3">
        <f>SUMIFS(df_extrato_zig!E:E,df_extrato_zig!L:L,Conciliacao!A652,df_extrato_zig!F:F,"DINHEIRO")</f>
        <v/>
      </c>
      <c r="D652" s="3">
        <f>SUMIFS(view_parc_agrup!H:H,view_parc_agrup!G:G,Conciliacao!A652)</f>
        <v/>
      </c>
      <c r="E652" s="3">
        <f>SUMIFS(df_eventos!F:F,df_eventos!H:H,Conciliacao!A652)</f>
        <v/>
      </c>
      <c r="F652" s="3">
        <f>SUMIFS(df_mutuos!M:M,df_mutuos!B:B,Conciliacao!A652)</f>
        <v/>
      </c>
      <c r="G652" s="6">
        <f>SUMIFS(df_bloqueios_judiciais!G:G,df_bloqueios_judiciais!D:D,Conciliacao!A652,df_bloqueios_judiciais!G:G,"&gt;0")</f>
        <v/>
      </c>
      <c r="H652" s="7">
        <f>SUMIFS(df_extratos!I:I,df_extratos!F:F,Conciliacao!BE652,df_extratos!G:G,"CREDITO")+SUMIFS(df_extratos!I:I,df_extratos!F:F,Conciliacao!A652,df_extratos!G:G,"CREDITO")+SUMIFS(df_extratos!I:I,df_extratos!F:F,Conciliacao!BF652,df_extratos!G:G,"CREDITO")+SUMIFS(df_extratos!I:I,df_extratos!F:F,Conciliacao!BG652,df_extratos!G:G,"CREDITO")+SUMIFS(df_extratos!I:I,df_extratos!F:F,Conciliacao!BH652,df_extratos!G:G,"CREDITO")</f>
        <v/>
      </c>
      <c r="I652" s="9">
        <f>H652-SUM(B652:G652)</f>
        <v/>
      </c>
      <c r="J652" s="4">
        <f>SUMIFS(df_blueme_sem_parcelamento!E:E,df_blueme_sem_parcelamento!H:H,Conciliacao!A652)*(-1)</f>
        <v/>
      </c>
      <c r="K652" s="4">
        <f>SUMIFS(df_blueme_com_parcelamento!J:J,df_blueme_com_parcelamento!M:M,Conciliacao!A652)*(-1)</f>
        <v/>
      </c>
      <c r="L652" s="4">
        <f>SUMIFS(df_mutuos!N:N,df_mutuos!B:B,Conciliacao!A652)*(-1)</f>
        <v/>
      </c>
      <c r="M652" s="8">
        <f>SUMIFS(df_bloqueios_judiciais!G:G,df_bloqueios_judiciais!D:D,Conciliacao!A652,df_bloqueios_judiciais!G:G,"&lt;0")</f>
        <v/>
      </c>
      <c r="N652" s="10">
        <f>SUMIFS(df_extratos!I:I,df_extratos!F:F,Conciliacao!BE652,df_extratos!G:G,"DEBITO")+SUMIFS(df_extratos!I:I,df_extratos!F:F,Conciliacao!A652,df_extratos!G:G,"DEBITO")+SUMIFS(df_extratos!I:I,df_extratos!F:F,Conciliacao!BF652,df_extratos!G:G,"DEBITO")+SUMIFS(df_extratos!I:I,df_extratos!F:F,Conciliacao!BG652,df_extratos!G:G,"DEBITO")+SUMIFS(df_extratos!I:I,df_extratos!F:F,Conciliacao!BH652,df_extratos!G:G,"DEBITO")</f>
        <v/>
      </c>
      <c r="O652" s="11">
        <f>N652-SUM(J652:M652)</f>
        <v/>
      </c>
      <c r="P652" s="25">
        <f>SUMIFS(df_ajustes_conciliaco!D:D,df_ajustes_conciliaco!C:C,Conciliacao!A652)</f>
        <v/>
      </c>
      <c r="Q652" s="22">
        <f>O652+I652-P652</f>
        <v/>
      </c>
      <c r="BE652" s="20" t="n">
        <v>46308.5</v>
      </c>
      <c r="BF652" s="20" t="n">
        <v>46308.125</v>
      </c>
      <c r="BG652" s="20" t="n">
        <v>46308.5416666088</v>
      </c>
      <c r="BH652" s="20" t="n">
        <v>46308.625</v>
      </c>
    </row>
    <row r="653">
      <c r="A653" s="5">
        <f>A652+1</f>
        <v/>
      </c>
      <c r="B653" s="3">
        <f>-SUMIFS(df_extrato_zig!G:G,df_extrato_zig!E:E,Conciliacao!A653,df_extrato_zig!D:D,"Saque")-SUMIFS(df_extrato_zig!G:G,df_extrato_zig!E:E,Conciliacao!A653,df_extrato_zig!D:D,"Antecipação")</f>
        <v/>
      </c>
      <c r="C653" s="3">
        <f>SUMIFS(df_extrato_zig!E:E,df_extrato_zig!L:L,Conciliacao!A653,df_extrato_zig!F:F,"DINHEIRO")</f>
        <v/>
      </c>
      <c r="D653" s="3">
        <f>SUMIFS(view_parc_agrup!H:H,view_parc_agrup!G:G,Conciliacao!A653)</f>
        <v/>
      </c>
      <c r="E653" s="3">
        <f>SUMIFS(df_eventos!F:F,df_eventos!H:H,Conciliacao!A653)</f>
        <v/>
      </c>
      <c r="F653" s="3">
        <f>SUMIFS(df_mutuos!M:M,df_mutuos!B:B,Conciliacao!A653)</f>
        <v/>
      </c>
      <c r="G653" s="6">
        <f>SUMIFS(df_bloqueios_judiciais!G:G,df_bloqueios_judiciais!D:D,Conciliacao!A653,df_bloqueios_judiciais!G:G,"&gt;0")</f>
        <v/>
      </c>
      <c r="H653" s="7">
        <f>SUMIFS(df_extratos!I:I,df_extratos!F:F,Conciliacao!BE653,df_extratos!G:G,"CREDITO")+SUMIFS(df_extratos!I:I,df_extratos!F:F,Conciliacao!A653,df_extratos!G:G,"CREDITO")+SUMIFS(df_extratos!I:I,df_extratos!F:F,Conciliacao!BF653,df_extratos!G:G,"CREDITO")+SUMIFS(df_extratos!I:I,df_extratos!F:F,Conciliacao!BG653,df_extratos!G:G,"CREDITO")+SUMIFS(df_extratos!I:I,df_extratos!F:F,Conciliacao!BH653,df_extratos!G:G,"CREDITO")</f>
        <v/>
      </c>
      <c r="I653" s="9">
        <f>H653-SUM(B653:G653)</f>
        <v/>
      </c>
      <c r="J653" s="4">
        <f>SUMIFS(df_blueme_sem_parcelamento!E:E,df_blueme_sem_parcelamento!H:H,Conciliacao!A653)*(-1)</f>
        <v/>
      </c>
      <c r="K653" s="4">
        <f>SUMIFS(df_blueme_com_parcelamento!J:J,df_blueme_com_parcelamento!M:M,Conciliacao!A653)*(-1)</f>
        <v/>
      </c>
      <c r="L653" s="4">
        <f>SUMIFS(df_mutuos!N:N,df_mutuos!B:B,Conciliacao!A653)*(-1)</f>
        <v/>
      </c>
      <c r="M653" s="8">
        <f>SUMIFS(df_bloqueios_judiciais!G:G,df_bloqueios_judiciais!D:D,Conciliacao!A653,df_bloqueios_judiciais!G:G,"&lt;0")</f>
        <v/>
      </c>
      <c r="N653" s="10">
        <f>SUMIFS(df_extratos!I:I,df_extratos!F:F,Conciliacao!BE653,df_extratos!G:G,"DEBITO")+SUMIFS(df_extratos!I:I,df_extratos!F:F,Conciliacao!A653,df_extratos!G:G,"DEBITO")+SUMIFS(df_extratos!I:I,df_extratos!F:F,Conciliacao!BF653,df_extratos!G:G,"DEBITO")+SUMIFS(df_extratos!I:I,df_extratos!F:F,Conciliacao!BG653,df_extratos!G:G,"DEBITO")+SUMIFS(df_extratos!I:I,df_extratos!F:F,Conciliacao!BH653,df_extratos!G:G,"DEBITO")</f>
        <v/>
      </c>
      <c r="O653" s="11">
        <f>N653-SUM(J653:M653)</f>
        <v/>
      </c>
      <c r="P653" s="25">
        <f>SUMIFS(df_ajustes_conciliaco!D:D,df_ajustes_conciliaco!C:C,Conciliacao!A653)</f>
        <v/>
      </c>
      <c r="Q653" s="22">
        <f>O653+I653-P653</f>
        <v/>
      </c>
      <c r="BE653" s="20" t="n">
        <v>46309.5</v>
      </c>
      <c r="BF653" s="20" t="n">
        <v>46309.125</v>
      </c>
      <c r="BG653" s="20" t="n">
        <v>46309.5416666088</v>
      </c>
      <c r="BH653" s="20" t="n">
        <v>46309.625</v>
      </c>
    </row>
    <row r="654">
      <c r="A654" s="5">
        <f>A653+1</f>
        <v/>
      </c>
      <c r="B654" s="3">
        <f>-SUMIFS(df_extrato_zig!G:G,df_extrato_zig!E:E,Conciliacao!A654,df_extrato_zig!D:D,"Saque")-SUMIFS(df_extrato_zig!G:G,df_extrato_zig!E:E,Conciliacao!A654,df_extrato_zig!D:D,"Antecipação")</f>
        <v/>
      </c>
      <c r="C654" s="3">
        <f>SUMIFS(df_extrato_zig!E:E,df_extrato_zig!L:L,Conciliacao!A654,df_extrato_zig!F:F,"DINHEIRO")</f>
        <v/>
      </c>
      <c r="D654" s="3">
        <f>SUMIFS(view_parc_agrup!H:H,view_parc_agrup!G:G,Conciliacao!A654)</f>
        <v/>
      </c>
      <c r="E654" s="3">
        <f>SUMIFS(df_eventos!F:F,df_eventos!H:H,Conciliacao!A654)</f>
        <v/>
      </c>
      <c r="F654" s="3">
        <f>SUMIFS(df_mutuos!M:M,df_mutuos!B:B,Conciliacao!A654)</f>
        <v/>
      </c>
      <c r="G654" s="6">
        <f>SUMIFS(df_bloqueios_judiciais!G:G,df_bloqueios_judiciais!D:D,Conciliacao!A654,df_bloqueios_judiciais!G:G,"&gt;0")</f>
        <v/>
      </c>
      <c r="H654" s="7">
        <f>SUMIFS(df_extratos!I:I,df_extratos!F:F,Conciliacao!BE654,df_extratos!G:G,"CREDITO")+SUMIFS(df_extratos!I:I,df_extratos!F:F,Conciliacao!A654,df_extratos!G:G,"CREDITO")+SUMIFS(df_extratos!I:I,df_extratos!F:F,Conciliacao!BF654,df_extratos!G:G,"CREDITO")+SUMIFS(df_extratos!I:I,df_extratos!F:F,Conciliacao!BG654,df_extratos!G:G,"CREDITO")+SUMIFS(df_extratos!I:I,df_extratos!F:F,Conciliacao!BH654,df_extratos!G:G,"CREDITO")</f>
        <v/>
      </c>
      <c r="I654" s="9">
        <f>H654-SUM(B654:G654)</f>
        <v/>
      </c>
      <c r="J654" s="4">
        <f>SUMIFS(df_blueme_sem_parcelamento!E:E,df_blueme_sem_parcelamento!H:H,Conciliacao!A654)*(-1)</f>
        <v/>
      </c>
      <c r="K654" s="4">
        <f>SUMIFS(df_blueme_com_parcelamento!J:J,df_blueme_com_parcelamento!M:M,Conciliacao!A654)*(-1)</f>
        <v/>
      </c>
      <c r="L654" s="4">
        <f>SUMIFS(df_mutuos!N:N,df_mutuos!B:B,Conciliacao!A654)*(-1)</f>
        <v/>
      </c>
      <c r="M654" s="8">
        <f>SUMIFS(df_bloqueios_judiciais!G:G,df_bloqueios_judiciais!D:D,Conciliacao!A654,df_bloqueios_judiciais!G:G,"&lt;0")</f>
        <v/>
      </c>
      <c r="N654" s="10">
        <f>SUMIFS(df_extratos!I:I,df_extratos!F:F,Conciliacao!BE654,df_extratos!G:G,"DEBITO")+SUMIFS(df_extratos!I:I,df_extratos!F:F,Conciliacao!A654,df_extratos!G:G,"DEBITO")+SUMIFS(df_extratos!I:I,df_extratos!F:F,Conciliacao!BF654,df_extratos!G:G,"DEBITO")+SUMIFS(df_extratos!I:I,df_extratos!F:F,Conciliacao!BG654,df_extratos!G:G,"DEBITO")+SUMIFS(df_extratos!I:I,df_extratos!F:F,Conciliacao!BH654,df_extratos!G:G,"DEBITO")</f>
        <v/>
      </c>
      <c r="O654" s="11">
        <f>N654-SUM(J654:M654)</f>
        <v/>
      </c>
      <c r="P654" s="25">
        <f>SUMIFS(df_ajustes_conciliaco!D:D,df_ajustes_conciliaco!C:C,Conciliacao!A654)</f>
        <v/>
      </c>
      <c r="Q654" s="22">
        <f>O654+I654-P654</f>
        <v/>
      </c>
      <c r="BE654" s="20" t="n">
        <v>46310.5</v>
      </c>
      <c r="BF654" s="20" t="n">
        <v>46310.125</v>
      </c>
      <c r="BG654" s="20" t="n">
        <v>46310.5416666088</v>
      </c>
      <c r="BH654" s="20" t="n">
        <v>46310.625</v>
      </c>
    </row>
    <row r="655">
      <c r="A655" s="5">
        <f>A654+1</f>
        <v/>
      </c>
      <c r="B655" s="3">
        <f>-SUMIFS(df_extrato_zig!G:G,df_extrato_zig!E:E,Conciliacao!A655,df_extrato_zig!D:D,"Saque")-SUMIFS(df_extrato_zig!G:G,df_extrato_zig!E:E,Conciliacao!A655,df_extrato_zig!D:D,"Antecipação")</f>
        <v/>
      </c>
      <c r="C655" s="3">
        <f>SUMIFS(df_extrato_zig!E:E,df_extrato_zig!L:L,Conciliacao!A655,df_extrato_zig!F:F,"DINHEIRO")</f>
        <v/>
      </c>
      <c r="D655" s="3">
        <f>SUMIFS(view_parc_agrup!H:H,view_parc_agrup!G:G,Conciliacao!A655)</f>
        <v/>
      </c>
      <c r="E655" s="3">
        <f>SUMIFS(df_eventos!F:F,df_eventos!H:H,Conciliacao!A655)</f>
        <v/>
      </c>
      <c r="F655" s="3">
        <f>SUMIFS(df_mutuos!M:M,df_mutuos!B:B,Conciliacao!A655)</f>
        <v/>
      </c>
      <c r="G655" s="6">
        <f>SUMIFS(df_bloqueios_judiciais!G:G,df_bloqueios_judiciais!D:D,Conciliacao!A655,df_bloqueios_judiciais!G:G,"&gt;0")</f>
        <v/>
      </c>
      <c r="H655" s="7">
        <f>SUMIFS(df_extratos!I:I,df_extratos!F:F,Conciliacao!BE655,df_extratos!G:G,"CREDITO")+SUMIFS(df_extratos!I:I,df_extratos!F:F,Conciliacao!A655,df_extratos!G:G,"CREDITO")+SUMIFS(df_extratos!I:I,df_extratos!F:F,Conciliacao!BF655,df_extratos!G:G,"CREDITO")+SUMIFS(df_extratos!I:I,df_extratos!F:F,Conciliacao!BG655,df_extratos!G:G,"CREDITO")+SUMIFS(df_extratos!I:I,df_extratos!F:F,Conciliacao!BH655,df_extratos!G:G,"CREDITO")</f>
        <v/>
      </c>
      <c r="I655" s="9">
        <f>H655-SUM(B655:G655)</f>
        <v/>
      </c>
      <c r="J655" s="4">
        <f>SUMIFS(df_blueme_sem_parcelamento!E:E,df_blueme_sem_parcelamento!H:H,Conciliacao!A655)*(-1)</f>
        <v/>
      </c>
      <c r="K655" s="4">
        <f>SUMIFS(df_blueme_com_parcelamento!J:J,df_blueme_com_parcelamento!M:M,Conciliacao!A655)*(-1)</f>
        <v/>
      </c>
      <c r="L655" s="4">
        <f>SUMIFS(df_mutuos!N:N,df_mutuos!B:B,Conciliacao!A655)*(-1)</f>
        <v/>
      </c>
      <c r="M655" s="8">
        <f>SUMIFS(df_bloqueios_judiciais!G:G,df_bloqueios_judiciais!D:D,Conciliacao!A655,df_bloqueios_judiciais!G:G,"&lt;0")</f>
        <v/>
      </c>
      <c r="N655" s="10">
        <f>SUMIFS(df_extratos!I:I,df_extratos!F:F,Conciliacao!BE655,df_extratos!G:G,"DEBITO")+SUMIFS(df_extratos!I:I,df_extratos!F:F,Conciliacao!A655,df_extratos!G:G,"DEBITO")+SUMIFS(df_extratos!I:I,df_extratos!F:F,Conciliacao!BF655,df_extratos!G:G,"DEBITO")+SUMIFS(df_extratos!I:I,df_extratos!F:F,Conciliacao!BG655,df_extratos!G:G,"DEBITO")+SUMIFS(df_extratos!I:I,df_extratos!F:F,Conciliacao!BH655,df_extratos!G:G,"DEBITO")</f>
        <v/>
      </c>
      <c r="O655" s="11">
        <f>N655-SUM(J655:M655)</f>
        <v/>
      </c>
      <c r="P655" s="25">
        <f>SUMIFS(df_ajustes_conciliaco!D:D,df_ajustes_conciliaco!C:C,Conciliacao!A655)</f>
        <v/>
      </c>
      <c r="Q655" s="22">
        <f>O655+I655-P655</f>
        <v/>
      </c>
      <c r="BE655" s="20" t="n">
        <v>46311.5</v>
      </c>
      <c r="BF655" s="20" t="n">
        <v>46311.125</v>
      </c>
      <c r="BG655" s="20" t="n">
        <v>46311.5416666088</v>
      </c>
      <c r="BH655" s="20" t="n">
        <v>46311.625</v>
      </c>
    </row>
    <row r="656">
      <c r="A656" s="5">
        <f>A655+1</f>
        <v/>
      </c>
      <c r="B656" s="3">
        <f>-SUMIFS(df_extrato_zig!G:G,df_extrato_zig!E:E,Conciliacao!A656,df_extrato_zig!D:D,"Saque")-SUMIFS(df_extrato_zig!G:G,df_extrato_zig!E:E,Conciliacao!A656,df_extrato_zig!D:D,"Antecipação")</f>
        <v/>
      </c>
      <c r="C656" s="3">
        <f>SUMIFS(df_extrato_zig!E:E,df_extrato_zig!L:L,Conciliacao!A656,df_extrato_zig!F:F,"DINHEIRO")</f>
        <v/>
      </c>
      <c r="D656" s="3">
        <f>SUMIFS(view_parc_agrup!H:H,view_parc_agrup!G:G,Conciliacao!A656)</f>
        <v/>
      </c>
      <c r="E656" s="3">
        <f>SUMIFS(df_eventos!F:F,df_eventos!H:H,Conciliacao!A656)</f>
        <v/>
      </c>
      <c r="F656" s="3">
        <f>SUMIFS(df_mutuos!M:M,df_mutuos!B:B,Conciliacao!A656)</f>
        <v/>
      </c>
      <c r="G656" s="6">
        <f>SUMIFS(df_bloqueios_judiciais!G:G,df_bloqueios_judiciais!D:D,Conciliacao!A656,df_bloqueios_judiciais!G:G,"&gt;0")</f>
        <v/>
      </c>
      <c r="H656" s="7">
        <f>SUMIFS(df_extratos!I:I,df_extratos!F:F,Conciliacao!BE656,df_extratos!G:G,"CREDITO")+SUMIFS(df_extratos!I:I,df_extratos!F:F,Conciliacao!A656,df_extratos!G:G,"CREDITO")+SUMIFS(df_extratos!I:I,df_extratos!F:F,Conciliacao!BF656,df_extratos!G:G,"CREDITO")+SUMIFS(df_extratos!I:I,df_extratos!F:F,Conciliacao!BG656,df_extratos!G:G,"CREDITO")+SUMIFS(df_extratos!I:I,df_extratos!F:F,Conciliacao!BH656,df_extratos!G:G,"CREDITO")</f>
        <v/>
      </c>
      <c r="I656" s="9">
        <f>H656-SUM(B656:G656)</f>
        <v/>
      </c>
      <c r="J656" s="4">
        <f>SUMIFS(df_blueme_sem_parcelamento!E:E,df_blueme_sem_parcelamento!H:H,Conciliacao!A656)*(-1)</f>
        <v/>
      </c>
      <c r="K656" s="4">
        <f>SUMIFS(df_blueme_com_parcelamento!J:J,df_blueme_com_parcelamento!M:M,Conciliacao!A656)*(-1)</f>
        <v/>
      </c>
      <c r="L656" s="4">
        <f>SUMIFS(df_mutuos!N:N,df_mutuos!B:B,Conciliacao!A656)*(-1)</f>
        <v/>
      </c>
      <c r="M656" s="8">
        <f>SUMIFS(df_bloqueios_judiciais!G:G,df_bloqueios_judiciais!D:D,Conciliacao!A656,df_bloqueios_judiciais!G:G,"&lt;0")</f>
        <v/>
      </c>
      <c r="N656" s="10">
        <f>SUMIFS(df_extratos!I:I,df_extratos!F:F,Conciliacao!BE656,df_extratos!G:G,"DEBITO")+SUMIFS(df_extratos!I:I,df_extratos!F:F,Conciliacao!A656,df_extratos!G:G,"DEBITO")+SUMIFS(df_extratos!I:I,df_extratos!F:F,Conciliacao!BF656,df_extratos!G:G,"DEBITO")+SUMIFS(df_extratos!I:I,df_extratos!F:F,Conciliacao!BG656,df_extratos!G:G,"DEBITO")+SUMIFS(df_extratos!I:I,df_extratos!F:F,Conciliacao!BH656,df_extratos!G:G,"DEBITO")</f>
        <v/>
      </c>
      <c r="O656" s="11">
        <f>N656-SUM(J656:M656)</f>
        <v/>
      </c>
      <c r="P656" s="25">
        <f>SUMIFS(df_ajustes_conciliaco!D:D,df_ajustes_conciliaco!C:C,Conciliacao!A656)</f>
        <v/>
      </c>
      <c r="Q656" s="22">
        <f>O656+I656-P656</f>
        <v/>
      </c>
      <c r="BE656" s="20" t="n">
        <v>46312.5</v>
      </c>
      <c r="BF656" s="20" t="n">
        <v>46312.125</v>
      </c>
      <c r="BG656" s="20" t="n">
        <v>46312.5416666088</v>
      </c>
      <c r="BH656" s="20" t="n">
        <v>46312.625</v>
      </c>
    </row>
    <row r="657">
      <c r="A657" s="5">
        <f>A656+1</f>
        <v/>
      </c>
      <c r="B657" s="3">
        <f>-SUMIFS(df_extrato_zig!G:G,df_extrato_zig!E:E,Conciliacao!A657,df_extrato_zig!D:D,"Saque")-SUMIFS(df_extrato_zig!G:G,df_extrato_zig!E:E,Conciliacao!A657,df_extrato_zig!D:D,"Antecipação")</f>
        <v/>
      </c>
      <c r="C657" s="3">
        <f>SUMIFS(df_extrato_zig!E:E,df_extrato_zig!L:L,Conciliacao!A657,df_extrato_zig!F:F,"DINHEIRO")</f>
        <v/>
      </c>
      <c r="D657" s="3">
        <f>SUMIFS(view_parc_agrup!H:H,view_parc_agrup!G:G,Conciliacao!A657)</f>
        <v/>
      </c>
      <c r="E657" s="3">
        <f>SUMIFS(df_eventos!F:F,df_eventos!H:H,Conciliacao!A657)</f>
        <v/>
      </c>
      <c r="F657" s="3">
        <f>SUMIFS(df_mutuos!M:M,df_mutuos!B:B,Conciliacao!A657)</f>
        <v/>
      </c>
      <c r="G657" s="6">
        <f>SUMIFS(df_bloqueios_judiciais!G:G,df_bloqueios_judiciais!D:D,Conciliacao!A657,df_bloqueios_judiciais!G:G,"&gt;0")</f>
        <v/>
      </c>
      <c r="H657" s="7">
        <f>SUMIFS(df_extratos!I:I,df_extratos!F:F,Conciliacao!BE657,df_extratos!G:G,"CREDITO")+SUMIFS(df_extratos!I:I,df_extratos!F:F,Conciliacao!A657,df_extratos!G:G,"CREDITO")+SUMIFS(df_extratos!I:I,df_extratos!F:F,Conciliacao!BF657,df_extratos!G:G,"CREDITO")+SUMIFS(df_extratos!I:I,df_extratos!F:F,Conciliacao!BG657,df_extratos!G:G,"CREDITO")+SUMIFS(df_extratos!I:I,df_extratos!F:F,Conciliacao!BH657,df_extratos!G:G,"CREDITO")</f>
        <v/>
      </c>
      <c r="I657" s="9">
        <f>H657-SUM(B657:G657)</f>
        <v/>
      </c>
      <c r="J657" s="4">
        <f>SUMIFS(df_blueme_sem_parcelamento!E:E,df_blueme_sem_parcelamento!H:H,Conciliacao!A657)*(-1)</f>
        <v/>
      </c>
      <c r="K657" s="4">
        <f>SUMIFS(df_blueme_com_parcelamento!J:J,df_blueme_com_parcelamento!M:M,Conciliacao!A657)*(-1)</f>
        <v/>
      </c>
      <c r="L657" s="4">
        <f>SUMIFS(df_mutuos!N:N,df_mutuos!B:B,Conciliacao!A657)*(-1)</f>
        <v/>
      </c>
      <c r="M657" s="8">
        <f>SUMIFS(df_bloqueios_judiciais!G:G,df_bloqueios_judiciais!D:D,Conciliacao!A657,df_bloqueios_judiciais!G:G,"&lt;0")</f>
        <v/>
      </c>
      <c r="N657" s="10">
        <f>SUMIFS(df_extratos!I:I,df_extratos!F:F,Conciliacao!BE657,df_extratos!G:G,"DEBITO")+SUMIFS(df_extratos!I:I,df_extratos!F:F,Conciliacao!A657,df_extratos!G:G,"DEBITO")+SUMIFS(df_extratos!I:I,df_extratos!F:F,Conciliacao!BF657,df_extratos!G:G,"DEBITO")+SUMIFS(df_extratos!I:I,df_extratos!F:F,Conciliacao!BG657,df_extratos!G:G,"DEBITO")+SUMIFS(df_extratos!I:I,df_extratos!F:F,Conciliacao!BH657,df_extratos!G:G,"DEBITO")</f>
        <v/>
      </c>
      <c r="O657" s="11">
        <f>N657-SUM(J657:M657)</f>
        <v/>
      </c>
      <c r="P657" s="25">
        <f>SUMIFS(df_ajustes_conciliaco!D:D,df_ajustes_conciliaco!C:C,Conciliacao!A657)</f>
        <v/>
      </c>
      <c r="Q657" s="22">
        <f>O657+I657-P657</f>
        <v/>
      </c>
      <c r="BE657" s="20" t="n">
        <v>46313.5</v>
      </c>
      <c r="BF657" s="20" t="n">
        <v>46313.125</v>
      </c>
      <c r="BG657" s="20" t="n">
        <v>46313.5416666088</v>
      </c>
      <c r="BH657" s="20" t="n">
        <v>46313.625</v>
      </c>
    </row>
    <row r="658">
      <c r="A658" s="5">
        <f>A657+1</f>
        <v/>
      </c>
      <c r="B658" s="3">
        <f>-SUMIFS(df_extrato_zig!G:G,df_extrato_zig!E:E,Conciliacao!A658,df_extrato_zig!D:D,"Saque")-SUMIFS(df_extrato_zig!G:G,df_extrato_zig!E:E,Conciliacao!A658,df_extrato_zig!D:D,"Antecipação")</f>
        <v/>
      </c>
      <c r="C658" s="3">
        <f>SUMIFS(df_extrato_zig!E:E,df_extrato_zig!L:L,Conciliacao!A658,df_extrato_zig!F:F,"DINHEIRO")</f>
        <v/>
      </c>
      <c r="D658" s="3">
        <f>SUMIFS(view_parc_agrup!H:H,view_parc_agrup!G:G,Conciliacao!A658)</f>
        <v/>
      </c>
      <c r="E658" s="3">
        <f>SUMIFS(df_eventos!F:F,df_eventos!H:H,Conciliacao!A658)</f>
        <v/>
      </c>
      <c r="F658" s="3">
        <f>SUMIFS(df_mutuos!M:M,df_mutuos!B:B,Conciliacao!A658)</f>
        <v/>
      </c>
      <c r="G658" s="6">
        <f>SUMIFS(df_bloqueios_judiciais!G:G,df_bloqueios_judiciais!D:D,Conciliacao!A658,df_bloqueios_judiciais!G:G,"&gt;0")</f>
        <v/>
      </c>
      <c r="H658" s="7">
        <f>SUMIFS(df_extratos!I:I,df_extratos!F:F,Conciliacao!BE658,df_extratos!G:G,"CREDITO")+SUMIFS(df_extratos!I:I,df_extratos!F:F,Conciliacao!A658,df_extratos!G:G,"CREDITO")+SUMIFS(df_extratos!I:I,df_extratos!F:F,Conciliacao!BF658,df_extratos!G:G,"CREDITO")+SUMIFS(df_extratos!I:I,df_extratos!F:F,Conciliacao!BG658,df_extratos!G:G,"CREDITO")+SUMIFS(df_extratos!I:I,df_extratos!F:F,Conciliacao!BH658,df_extratos!G:G,"CREDITO")</f>
        <v/>
      </c>
      <c r="I658" s="9">
        <f>H658-SUM(B658:G658)</f>
        <v/>
      </c>
      <c r="J658" s="4">
        <f>SUMIFS(df_blueme_sem_parcelamento!E:E,df_blueme_sem_parcelamento!H:H,Conciliacao!A658)*(-1)</f>
        <v/>
      </c>
      <c r="K658" s="4">
        <f>SUMIFS(df_blueme_com_parcelamento!J:J,df_blueme_com_parcelamento!M:M,Conciliacao!A658)*(-1)</f>
        <v/>
      </c>
      <c r="L658" s="4">
        <f>SUMIFS(df_mutuos!N:N,df_mutuos!B:B,Conciliacao!A658)*(-1)</f>
        <v/>
      </c>
      <c r="M658" s="8">
        <f>SUMIFS(df_bloqueios_judiciais!G:G,df_bloqueios_judiciais!D:D,Conciliacao!A658,df_bloqueios_judiciais!G:G,"&lt;0")</f>
        <v/>
      </c>
      <c r="N658" s="10">
        <f>SUMIFS(df_extratos!I:I,df_extratos!F:F,Conciliacao!BE658,df_extratos!G:G,"DEBITO")+SUMIFS(df_extratos!I:I,df_extratos!F:F,Conciliacao!A658,df_extratos!G:G,"DEBITO")+SUMIFS(df_extratos!I:I,df_extratos!F:F,Conciliacao!BF658,df_extratos!G:G,"DEBITO")+SUMIFS(df_extratos!I:I,df_extratos!F:F,Conciliacao!BG658,df_extratos!G:G,"DEBITO")+SUMIFS(df_extratos!I:I,df_extratos!F:F,Conciliacao!BH658,df_extratos!G:G,"DEBITO")</f>
        <v/>
      </c>
      <c r="O658" s="11">
        <f>N658-SUM(J658:M658)</f>
        <v/>
      </c>
      <c r="P658" s="25">
        <f>SUMIFS(df_ajustes_conciliaco!D:D,df_ajustes_conciliaco!C:C,Conciliacao!A658)</f>
        <v/>
      </c>
      <c r="Q658" s="22">
        <f>O658+I658-P658</f>
        <v/>
      </c>
      <c r="BE658" s="20" t="n">
        <v>46314.5</v>
      </c>
      <c r="BF658" s="20" t="n">
        <v>46314.125</v>
      </c>
      <c r="BG658" s="20" t="n">
        <v>46314.5416666088</v>
      </c>
      <c r="BH658" s="20" t="n">
        <v>46314.625</v>
      </c>
    </row>
    <row r="659">
      <c r="A659" s="5">
        <f>A658+1</f>
        <v/>
      </c>
      <c r="B659" s="3">
        <f>-SUMIFS(df_extrato_zig!G:G,df_extrato_zig!E:E,Conciliacao!A659,df_extrato_zig!D:D,"Saque")-SUMIFS(df_extrato_zig!G:G,df_extrato_zig!E:E,Conciliacao!A659,df_extrato_zig!D:D,"Antecipação")</f>
        <v/>
      </c>
      <c r="C659" s="3">
        <f>SUMIFS(df_extrato_zig!E:E,df_extrato_zig!L:L,Conciliacao!A659,df_extrato_zig!F:F,"DINHEIRO")</f>
        <v/>
      </c>
      <c r="D659" s="3">
        <f>SUMIFS(view_parc_agrup!H:H,view_parc_agrup!G:G,Conciliacao!A659)</f>
        <v/>
      </c>
      <c r="E659" s="3">
        <f>SUMIFS(df_eventos!F:F,df_eventos!H:H,Conciliacao!A659)</f>
        <v/>
      </c>
      <c r="F659" s="3">
        <f>SUMIFS(df_mutuos!M:M,df_mutuos!B:B,Conciliacao!A659)</f>
        <v/>
      </c>
      <c r="G659" s="6">
        <f>SUMIFS(df_bloqueios_judiciais!G:G,df_bloqueios_judiciais!D:D,Conciliacao!A659,df_bloqueios_judiciais!G:G,"&gt;0")</f>
        <v/>
      </c>
      <c r="H659" s="7">
        <f>SUMIFS(df_extratos!I:I,df_extratos!F:F,Conciliacao!BE659,df_extratos!G:G,"CREDITO")+SUMIFS(df_extratos!I:I,df_extratos!F:F,Conciliacao!A659,df_extratos!G:G,"CREDITO")+SUMIFS(df_extratos!I:I,df_extratos!F:F,Conciliacao!BF659,df_extratos!G:G,"CREDITO")+SUMIFS(df_extratos!I:I,df_extratos!F:F,Conciliacao!BG659,df_extratos!G:G,"CREDITO")+SUMIFS(df_extratos!I:I,df_extratos!F:F,Conciliacao!BH659,df_extratos!G:G,"CREDITO")</f>
        <v/>
      </c>
      <c r="I659" s="9">
        <f>H659-SUM(B659:G659)</f>
        <v/>
      </c>
      <c r="J659" s="4">
        <f>SUMIFS(df_blueme_sem_parcelamento!E:E,df_blueme_sem_parcelamento!H:H,Conciliacao!A659)*(-1)</f>
        <v/>
      </c>
      <c r="K659" s="4">
        <f>SUMIFS(df_blueme_com_parcelamento!J:J,df_blueme_com_parcelamento!M:M,Conciliacao!A659)*(-1)</f>
        <v/>
      </c>
      <c r="L659" s="4">
        <f>SUMIFS(df_mutuos!N:N,df_mutuos!B:B,Conciliacao!A659)*(-1)</f>
        <v/>
      </c>
      <c r="M659" s="8">
        <f>SUMIFS(df_bloqueios_judiciais!G:G,df_bloqueios_judiciais!D:D,Conciliacao!A659,df_bloqueios_judiciais!G:G,"&lt;0")</f>
        <v/>
      </c>
      <c r="N659" s="10">
        <f>SUMIFS(df_extratos!I:I,df_extratos!F:F,Conciliacao!BE659,df_extratos!G:G,"DEBITO")+SUMIFS(df_extratos!I:I,df_extratos!F:F,Conciliacao!A659,df_extratos!G:G,"DEBITO")+SUMIFS(df_extratos!I:I,df_extratos!F:F,Conciliacao!BF659,df_extratos!G:G,"DEBITO")+SUMIFS(df_extratos!I:I,df_extratos!F:F,Conciliacao!BG659,df_extratos!G:G,"DEBITO")+SUMIFS(df_extratos!I:I,df_extratos!F:F,Conciliacao!BH659,df_extratos!G:G,"DEBITO")</f>
        <v/>
      </c>
      <c r="O659" s="11">
        <f>N659-SUM(J659:M659)</f>
        <v/>
      </c>
      <c r="P659" s="25">
        <f>SUMIFS(df_ajustes_conciliaco!D:D,df_ajustes_conciliaco!C:C,Conciliacao!A659)</f>
        <v/>
      </c>
      <c r="Q659" s="22">
        <f>O659+I659-P659</f>
        <v/>
      </c>
      <c r="BE659" s="20" t="n">
        <v>46315.5</v>
      </c>
      <c r="BF659" s="20" t="n">
        <v>46315.125</v>
      </c>
      <c r="BG659" s="20" t="n">
        <v>46315.5416666088</v>
      </c>
      <c r="BH659" s="20" t="n">
        <v>46315.625</v>
      </c>
    </row>
    <row r="660">
      <c r="A660" s="5">
        <f>A659+1</f>
        <v/>
      </c>
      <c r="B660" s="3">
        <f>-SUMIFS(df_extrato_zig!G:G,df_extrato_zig!E:E,Conciliacao!A660,df_extrato_zig!D:D,"Saque")-SUMIFS(df_extrato_zig!G:G,df_extrato_zig!E:E,Conciliacao!A660,df_extrato_zig!D:D,"Antecipação")</f>
        <v/>
      </c>
      <c r="C660" s="3">
        <f>SUMIFS(df_extrato_zig!E:E,df_extrato_zig!L:L,Conciliacao!A660,df_extrato_zig!F:F,"DINHEIRO")</f>
        <v/>
      </c>
      <c r="D660" s="3">
        <f>SUMIFS(view_parc_agrup!H:H,view_parc_agrup!G:G,Conciliacao!A660)</f>
        <v/>
      </c>
      <c r="E660" s="3">
        <f>SUMIFS(df_eventos!F:F,df_eventos!H:H,Conciliacao!A660)</f>
        <v/>
      </c>
      <c r="F660" s="3">
        <f>SUMIFS(df_mutuos!M:M,df_mutuos!B:B,Conciliacao!A660)</f>
        <v/>
      </c>
      <c r="G660" s="6">
        <f>SUMIFS(df_bloqueios_judiciais!G:G,df_bloqueios_judiciais!D:D,Conciliacao!A660,df_bloqueios_judiciais!G:G,"&gt;0")</f>
        <v/>
      </c>
      <c r="H660" s="7">
        <f>SUMIFS(df_extratos!I:I,df_extratos!F:F,Conciliacao!BE660,df_extratos!G:G,"CREDITO")+SUMIFS(df_extratos!I:I,df_extratos!F:F,Conciliacao!A660,df_extratos!G:G,"CREDITO")+SUMIFS(df_extratos!I:I,df_extratos!F:F,Conciliacao!BF660,df_extratos!G:G,"CREDITO")+SUMIFS(df_extratos!I:I,df_extratos!F:F,Conciliacao!BG660,df_extratos!G:G,"CREDITO")+SUMIFS(df_extratos!I:I,df_extratos!F:F,Conciliacao!BH660,df_extratos!G:G,"CREDITO")</f>
        <v/>
      </c>
      <c r="I660" s="9">
        <f>H660-SUM(B660:G660)</f>
        <v/>
      </c>
      <c r="J660" s="4">
        <f>SUMIFS(df_blueme_sem_parcelamento!E:E,df_blueme_sem_parcelamento!H:H,Conciliacao!A660)*(-1)</f>
        <v/>
      </c>
      <c r="K660" s="4">
        <f>SUMIFS(df_blueme_com_parcelamento!J:J,df_blueme_com_parcelamento!M:M,Conciliacao!A660)*(-1)</f>
        <v/>
      </c>
      <c r="L660" s="4">
        <f>SUMIFS(df_mutuos!N:N,df_mutuos!B:B,Conciliacao!A660)*(-1)</f>
        <v/>
      </c>
      <c r="M660" s="8">
        <f>SUMIFS(df_bloqueios_judiciais!G:G,df_bloqueios_judiciais!D:D,Conciliacao!A660,df_bloqueios_judiciais!G:G,"&lt;0")</f>
        <v/>
      </c>
      <c r="N660" s="10">
        <f>SUMIFS(df_extratos!I:I,df_extratos!F:F,Conciliacao!BE660,df_extratos!G:G,"DEBITO")+SUMIFS(df_extratos!I:I,df_extratos!F:F,Conciliacao!A660,df_extratos!G:G,"DEBITO")+SUMIFS(df_extratos!I:I,df_extratos!F:F,Conciliacao!BF660,df_extratos!G:G,"DEBITO")+SUMIFS(df_extratos!I:I,df_extratos!F:F,Conciliacao!BG660,df_extratos!G:G,"DEBITO")+SUMIFS(df_extratos!I:I,df_extratos!F:F,Conciliacao!BH660,df_extratos!G:G,"DEBITO")</f>
        <v/>
      </c>
      <c r="O660" s="11">
        <f>N660-SUM(J660:M660)</f>
        <v/>
      </c>
      <c r="P660" s="25">
        <f>SUMIFS(df_ajustes_conciliaco!D:D,df_ajustes_conciliaco!C:C,Conciliacao!A660)</f>
        <v/>
      </c>
      <c r="Q660" s="22">
        <f>O660+I660-P660</f>
        <v/>
      </c>
      <c r="BE660" s="20" t="n">
        <v>46316.5</v>
      </c>
      <c r="BF660" s="20" t="n">
        <v>46316.125</v>
      </c>
      <c r="BG660" s="20" t="n">
        <v>46316.5416666088</v>
      </c>
      <c r="BH660" s="20" t="n">
        <v>46316.625</v>
      </c>
    </row>
    <row r="661">
      <c r="A661" s="5">
        <f>A660+1</f>
        <v/>
      </c>
      <c r="B661" s="3">
        <f>-SUMIFS(df_extrato_zig!G:G,df_extrato_zig!E:E,Conciliacao!A661,df_extrato_zig!D:D,"Saque")-SUMIFS(df_extrato_zig!G:G,df_extrato_zig!E:E,Conciliacao!A661,df_extrato_zig!D:D,"Antecipação")</f>
        <v/>
      </c>
      <c r="C661" s="3">
        <f>SUMIFS(df_extrato_zig!E:E,df_extrato_zig!L:L,Conciliacao!A661,df_extrato_zig!F:F,"DINHEIRO")</f>
        <v/>
      </c>
      <c r="D661" s="3">
        <f>SUMIFS(view_parc_agrup!H:H,view_parc_agrup!G:G,Conciliacao!A661)</f>
        <v/>
      </c>
      <c r="E661" s="3">
        <f>SUMIFS(df_eventos!F:F,df_eventos!H:H,Conciliacao!A661)</f>
        <v/>
      </c>
      <c r="F661" s="3">
        <f>SUMIFS(df_mutuos!M:M,df_mutuos!B:B,Conciliacao!A661)</f>
        <v/>
      </c>
      <c r="G661" s="6">
        <f>SUMIFS(df_bloqueios_judiciais!G:G,df_bloqueios_judiciais!D:D,Conciliacao!A661,df_bloqueios_judiciais!G:G,"&gt;0")</f>
        <v/>
      </c>
      <c r="H661" s="7">
        <f>SUMIFS(df_extratos!I:I,df_extratos!F:F,Conciliacao!BE661,df_extratos!G:G,"CREDITO")+SUMIFS(df_extratos!I:I,df_extratos!F:F,Conciliacao!A661,df_extratos!G:G,"CREDITO")+SUMIFS(df_extratos!I:I,df_extratos!F:F,Conciliacao!BF661,df_extratos!G:G,"CREDITO")+SUMIFS(df_extratos!I:I,df_extratos!F:F,Conciliacao!BG661,df_extratos!G:G,"CREDITO")+SUMIFS(df_extratos!I:I,df_extratos!F:F,Conciliacao!BH661,df_extratos!G:G,"CREDITO")</f>
        <v/>
      </c>
      <c r="I661" s="9">
        <f>H661-SUM(B661:G661)</f>
        <v/>
      </c>
      <c r="J661" s="4">
        <f>SUMIFS(df_blueme_sem_parcelamento!E:E,df_blueme_sem_parcelamento!H:H,Conciliacao!A661)*(-1)</f>
        <v/>
      </c>
      <c r="K661" s="4">
        <f>SUMIFS(df_blueme_com_parcelamento!J:J,df_blueme_com_parcelamento!M:M,Conciliacao!A661)*(-1)</f>
        <v/>
      </c>
      <c r="L661" s="4">
        <f>SUMIFS(df_mutuos!N:N,df_mutuos!B:B,Conciliacao!A661)*(-1)</f>
        <v/>
      </c>
      <c r="M661" s="8">
        <f>SUMIFS(df_bloqueios_judiciais!G:G,df_bloqueios_judiciais!D:D,Conciliacao!A661,df_bloqueios_judiciais!G:G,"&lt;0")</f>
        <v/>
      </c>
      <c r="N661" s="10">
        <f>SUMIFS(df_extratos!I:I,df_extratos!F:F,Conciliacao!BE661,df_extratos!G:G,"DEBITO")+SUMIFS(df_extratos!I:I,df_extratos!F:F,Conciliacao!A661,df_extratos!G:G,"DEBITO")+SUMIFS(df_extratos!I:I,df_extratos!F:F,Conciliacao!BF661,df_extratos!G:G,"DEBITO")+SUMIFS(df_extratos!I:I,df_extratos!F:F,Conciliacao!BG661,df_extratos!G:G,"DEBITO")+SUMIFS(df_extratos!I:I,df_extratos!F:F,Conciliacao!BH661,df_extratos!G:G,"DEBITO")</f>
        <v/>
      </c>
      <c r="O661" s="11">
        <f>N661-SUM(J661:M661)</f>
        <v/>
      </c>
      <c r="P661" s="25">
        <f>SUMIFS(df_ajustes_conciliaco!D:D,df_ajustes_conciliaco!C:C,Conciliacao!A661)</f>
        <v/>
      </c>
      <c r="Q661" s="22">
        <f>O661+I661-P661</f>
        <v/>
      </c>
      <c r="BE661" s="20" t="n">
        <v>46317.5</v>
      </c>
      <c r="BF661" s="20" t="n">
        <v>46317.125</v>
      </c>
      <c r="BG661" s="20" t="n">
        <v>46317.5416666088</v>
      </c>
      <c r="BH661" s="20" t="n">
        <v>46317.625</v>
      </c>
    </row>
    <row r="662">
      <c r="A662" s="5">
        <f>A661+1</f>
        <v/>
      </c>
      <c r="B662" s="3">
        <f>-SUMIFS(df_extrato_zig!G:G,df_extrato_zig!E:E,Conciliacao!A662,df_extrato_zig!D:D,"Saque")-SUMIFS(df_extrato_zig!G:G,df_extrato_zig!E:E,Conciliacao!A662,df_extrato_zig!D:D,"Antecipação")</f>
        <v/>
      </c>
      <c r="C662" s="3">
        <f>SUMIFS(df_extrato_zig!E:E,df_extrato_zig!L:L,Conciliacao!A662,df_extrato_zig!F:F,"DINHEIRO")</f>
        <v/>
      </c>
      <c r="D662" s="3">
        <f>SUMIFS(view_parc_agrup!H:H,view_parc_agrup!G:G,Conciliacao!A662)</f>
        <v/>
      </c>
      <c r="E662" s="3">
        <f>SUMIFS(df_eventos!F:F,df_eventos!H:H,Conciliacao!A662)</f>
        <v/>
      </c>
      <c r="F662" s="3">
        <f>SUMIFS(df_mutuos!M:M,df_mutuos!B:B,Conciliacao!A662)</f>
        <v/>
      </c>
      <c r="G662" s="6">
        <f>SUMIFS(df_bloqueios_judiciais!G:G,df_bloqueios_judiciais!D:D,Conciliacao!A662,df_bloqueios_judiciais!G:G,"&gt;0")</f>
        <v/>
      </c>
      <c r="H662" s="7">
        <f>SUMIFS(df_extratos!I:I,df_extratos!F:F,Conciliacao!BE662,df_extratos!G:G,"CREDITO")+SUMIFS(df_extratos!I:I,df_extratos!F:F,Conciliacao!A662,df_extratos!G:G,"CREDITO")+SUMIFS(df_extratos!I:I,df_extratos!F:F,Conciliacao!BF662,df_extratos!G:G,"CREDITO")+SUMIFS(df_extratos!I:I,df_extratos!F:F,Conciliacao!BG662,df_extratos!G:G,"CREDITO")+SUMIFS(df_extratos!I:I,df_extratos!F:F,Conciliacao!BH662,df_extratos!G:G,"CREDITO")</f>
        <v/>
      </c>
      <c r="I662" s="9">
        <f>H662-SUM(B662:G662)</f>
        <v/>
      </c>
      <c r="J662" s="4">
        <f>SUMIFS(df_blueme_sem_parcelamento!E:E,df_blueme_sem_parcelamento!H:H,Conciliacao!A662)*(-1)</f>
        <v/>
      </c>
      <c r="K662" s="4">
        <f>SUMIFS(df_blueme_com_parcelamento!J:J,df_blueme_com_parcelamento!M:M,Conciliacao!A662)*(-1)</f>
        <v/>
      </c>
      <c r="L662" s="4">
        <f>SUMIFS(df_mutuos!N:N,df_mutuos!B:B,Conciliacao!A662)*(-1)</f>
        <v/>
      </c>
      <c r="M662" s="8">
        <f>SUMIFS(df_bloqueios_judiciais!G:G,df_bloqueios_judiciais!D:D,Conciliacao!A662,df_bloqueios_judiciais!G:G,"&lt;0")</f>
        <v/>
      </c>
      <c r="N662" s="10">
        <f>SUMIFS(df_extratos!I:I,df_extratos!F:F,Conciliacao!BE662,df_extratos!G:G,"DEBITO")+SUMIFS(df_extratos!I:I,df_extratos!F:F,Conciliacao!A662,df_extratos!G:G,"DEBITO")+SUMIFS(df_extratos!I:I,df_extratos!F:F,Conciliacao!BF662,df_extratos!G:G,"DEBITO")+SUMIFS(df_extratos!I:I,df_extratos!F:F,Conciliacao!BG662,df_extratos!G:G,"DEBITO")+SUMIFS(df_extratos!I:I,df_extratos!F:F,Conciliacao!BH662,df_extratos!G:G,"DEBITO")</f>
        <v/>
      </c>
      <c r="O662" s="11">
        <f>N662-SUM(J662:M662)</f>
        <v/>
      </c>
      <c r="P662" s="25">
        <f>SUMIFS(df_ajustes_conciliaco!D:D,df_ajustes_conciliaco!C:C,Conciliacao!A662)</f>
        <v/>
      </c>
      <c r="Q662" s="22">
        <f>O662+I662-P662</f>
        <v/>
      </c>
      <c r="BE662" s="20" t="n">
        <v>46318.5</v>
      </c>
      <c r="BF662" s="20" t="n">
        <v>46318.125</v>
      </c>
      <c r="BG662" s="20" t="n">
        <v>46318.5416666088</v>
      </c>
      <c r="BH662" s="20" t="n">
        <v>46318.625</v>
      </c>
    </row>
    <row r="663">
      <c r="A663" s="5">
        <f>A662+1</f>
        <v/>
      </c>
      <c r="B663" s="3">
        <f>-SUMIFS(df_extrato_zig!G:G,df_extrato_zig!E:E,Conciliacao!A663,df_extrato_zig!D:D,"Saque")-SUMIFS(df_extrato_zig!G:G,df_extrato_zig!E:E,Conciliacao!A663,df_extrato_zig!D:D,"Antecipação")</f>
        <v/>
      </c>
      <c r="C663" s="3">
        <f>SUMIFS(df_extrato_zig!E:E,df_extrato_zig!L:L,Conciliacao!A663,df_extrato_zig!F:F,"DINHEIRO")</f>
        <v/>
      </c>
      <c r="D663" s="3">
        <f>SUMIFS(view_parc_agrup!H:H,view_parc_agrup!G:G,Conciliacao!A663)</f>
        <v/>
      </c>
      <c r="E663" s="3">
        <f>SUMIFS(df_eventos!F:F,df_eventos!H:H,Conciliacao!A663)</f>
        <v/>
      </c>
      <c r="F663" s="3">
        <f>SUMIFS(df_mutuos!M:M,df_mutuos!B:B,Conciliacao!A663)</f>
        <v/>
      </c>
      <c r="G663" s="6">
        <f>SUMIFS(df_bloqueios_judiciais!G:G,df_bloqueios_judiciais!D:D,Conciliacao!A663,df_bloqueios_judiciais!G:G,"&gt;0")</f>
        <v/>
      </c>
      <c r="H663" s="7">
        <f>SUMIFS(df_extratos!I:I,df_extratos!F:F,Conciliacao!BE663,df_extratos!G:G,"CREDITO")+SUMIFS(df_extratos!I:I,df_extratos!F:F,Conciliacao!A663,df_extratos!G:G,"CREDITO")+SUMIFS(df_extratos!I:I,df_extratos!F:F,Conciliacao!BF663,df_extratos!G:G,"CREDITO")+SUMIFS(df_extratos!I:I,df_extratos!F:F,Conciliacao!BG663,df_extratos!G:G,"CREDITO")+SUMIFS(df_extratos!I:I,df_extratos!F:F,Conciliacao!BH663,df_extratos!G:G,"CREDITO")</f>
        <v/>
      </c>
      <c r="I663" s="9">
        <f>H663-SUM(B663:G663)</f>
        <v/>
      </c>
      <c r="J663" s="4">
        <f>SUMIFS(df_blueme_sem_parcelamento!E:E,df_blueme_sem_parcelamento!H:H,Conciliacao!A663)*(-1)</f>
        <v/>
      </c>
      <c r="K663" s="4">
        <f>SUMIFS(df_blueme_com_parcelamento!J:J,df_blueme_com_parcelamento!M:M,Conciliacao!A663)*(-1)</f>
        <v/>
      </c>
      <c r="L663" s="4">
        <f>SUMIFS(df_mutuos!N:N,df_mutuos!B:B,Conciliacao!A663)*(-1)</f>
        <v/>
      </c>
      <c r="M663" s="8">
        <f>SUMIFS(df_bloqueios_judiciais!G:G,df_bloqueios_judiciais!D:D,Conciliacao!A663,df_bloqueios_judiciais!G:G,"&lt;0")</f>
        <v/>
      </c>
      <c r="N663" s="10">
        <f>SUMIFS(df_extratos!I:I,df_extratos!F:F,Conciliacao!BE663,df_extratos!G:G,"DEBITO")+SUMIFS(df_extratos!I:I,df_extratos!F:F,Conciliacao!A663,df_extratos!G:G,"DEBITO")+SUMIFS(df_extratos!I:I,df_extratos!F:F,Conciliacao!BF663,df_extratos!G:G,"DEBITO")+SUMIFS(df_extratos!I:I,df_extratos!F:F,Conciliacao!BG663,df_extratos!G:G,"DEBITO")+SUMIFS(df_extratos!I:I,df_extratos!F:F,Conciliacao!BH663,df_extratos!G:G,"DEBITO")</f>
        <v/>
      </c>
      <c r="O663" s="11">
        <f>N663-SUM(J663:M663)</f>
        <v/>
      </c>
      <c r="P663" s="25">
        <f>SUMIFS(df_ajustes_conciliaco!D:D,df_ajustes_conciliaco!C:C,Conciliacao!A663)</f>
        <v/>
      </c>
      <c r="Q663" s="22">
        <f>O663+I663-P663</f>
        <v/>
      </c>
      <c r="BE663" s="20" t="n">
        <v>46319.5</v>
      </c>
      <c r="BF663" s="20" t="n">
        <v>46319.125</v>
      </c>
      <c r="BG663" s="20" t="n">
        <v>46319.5416666088</v>
      </c>
      <c r="BH663" s="20" t="n">
        <v>46319.625</v>
      </c>
    </row>
    <row r="664">
      <c r="A664" s="5">
        <f>A663+1</f>
        <v/>
      </c>
      <c r="B664" s="3">
        <f>-SUMIFS(df_extrato_zig!G:G,df_extrato_zig!E:E,Conciliacao!A664,df_extrato_zig!D:D,"Saque")-SUMIFS(df_extrato_zig!G:G,df_extrato_zig!E:E,Conciliacao!A664,df_extrato_zig!D:D,"Antecipação")</f>
        <v/>
      </c>
      <c r="C664" s="3">
        <f>SUMIFS(df_extrato_zig!E:E,df_extrato_zig!L:L,Conciliacao!A664,df_extrato_zig!F:F,"DINHEIRO")</f>
        <v/>
      </c>
      <c r="D664" s="3">
        <f>SUMIFS(view_parc_agrup!H:H,view_parc_agrup!G:G,Conciliacao!A664)</f>
        <v/>
      </c>
      <c r="E664" s="3">
        <f>SUMIFS(df_eventos!F:F,df_eventos!H:H,Conciliacao!A664)</f>
        <v/>
      </c>
      <c r="F664" s="3">
        <f>SUMIFS(df_mutuos!M:M,df_mutuos!B:B,Conciliacao!A664)</f>
        <v/>
      </c>
      <c r="G664" s="6">
        <f>SUMIFS(df_bloqueios_judiciais!G:G,df_bloqueios_judiciais!D:D,Conciliacao!A664,df_bloqueios_judiciais!G:G,"&gt;0")</f>
        <v/>
      </c>
      <c r="H664" s="7">
        <f>SUMIFS(df_extratos!I:I,df_extratos!F:F,Conciliacao!BE664,df_extratos!G:G,"CREDITO")+SUMIFS(df_extratos!I:I,df_extratos!F:F,Conciliacao!A664,df_extratos!G:G,"CREDITO")+SUMIFS(df_extratos!I:I,df_extratos!F:F,Conciliacao!BF664,df_extratos!G:G,"CREDITO")+SUMIFS(df_extratos!I:I,df_extratos!F:F,Conciliacao!BG664,df_extratos!G:G,"CREDITO")+SUMIFS(df_extratos!I:I,df_extratos!F:F,Conciliacao!BH664,df_extratos!G:G,"CREDITO")</f>
        <v/>
      </c>
      <c r="I664" s="9">
        <f>H664-SUM(B664:G664)</f>
        <v/>
      </c>
      <c r="J664" s="4">
        <f>SUMIFS(df_blueme_sem_parcelamento!E:E,df_blueme_sem_parcelamento!H:H,Conciliacao!A664)*(-1)</f>
        <v/>
      </c>
      <c r="K664" s="4">
        <f>SUMIFS(df_blueme_com_parcelamento!J:J,df_blueme_com_parcelamento!M:M,Conciliacao!A664)*(-1)</f>
        <v/>
      </c>
      <c r="L664" s="4">
        <f>SUMIFS(df_mutuos!N:N,df_mutuos!B:B,Conciliacao!A664)*(-1)</f>
        <v/>
      </c>
      <c r="M664" s="8">
        <f>SUMIFS(df_bloqueios_judiciais!G:G,df_bloqueios_judiciais!D:D,Conciliacao!A664,df_bloqueios_judiciais!G:G,"&lt;0")</f>
        <v/>
      </c>
      <c r="N664" s="10">
        <f>SUMIFS(df_extratos!I:I,df_extratos!F:F,Conciliacao!BE664,df_extratos!G:G,"DEBITO")+SUMIFS(df_extratos!I:I,df_extratos!F:F,Conciliacao!A664,df_extratos!G:G,"DEBITO")+SUMIFS(df_extratos!I:I,df_extratos!F:F,Conciliacao!BF664,df_extratos!G:G,"DEBITO")+SUMIFS(df_extratos!I:I,df_extratos!F:F,Conciliacao!BG664,df_extratos!G:G,"DEBITO")+SUMIFS(df_extratos!I:I,df_extratos!F:F,Conciliacao!BH664,df_extratos!G:G,"DEBITO")</f>
        <v/>
      </c>
      <c r="O664" s="11">
        <f>N664-SUM(J664:M664)</f>
        <v/>
      </c>
      <c r="P664" s="25">
        <f>SUMIFS(df_ajustes_conciliaco!D:D,df_ajustes_conciliaco!C:C,Conciliacao!A664)</f>
        <v/>
      </c>
      <c r="Q664" s="22">
        <f>O664+I664-P664</f>
        <v/>
      </c>
      <c r="BE664" s="20" t="n">
        <v>46320.5</v>
      </c>
      <c r="BF664" s="20" t="n">
        <v>46320.125</v>
      </c>
      <c r="BG664" s="20" t="n">
        <v>46320.5416666088</v>
      </c>
      <c r="BH664" s="20" t="n">
        <v>46320.625</v>
      </c>
    </row>
    <row r="665">
      <c r="A665" s="5">
        <f>A664+1</f>
        <v/>
      </c>
      <c r="B665" s="3">
        <f>-SUMIFS(df_extrato_zig!G:G,df_extrato_zig!E:E,Conciliacao!A665,df_extrato_zig!D:D,"Saque")-SUMIFS(df_extrato_zig!G:G,df_extrato_zig!E:E,Conciliacao!A665,df_extrato_zig!D:D,"Antecipação")</f>
        <v/>
      </c>
      <c r="C665" s="3">
        <f>SUMIFS(df_extrato_zig!E:E,df_extrato_zig!L:L,Conciliacao!A665,df_extrato_zig!F:F,"DINHEIRO")</f>
        <v/>
      </c>
      <c r="D665" s="3">
        <f>SUMIFS(view_parc_agrup!H:H,view_parc_agrup!G:G,Conciliacao!A665)</f>
        <v/>
      </c>
      <c r="E665" s="3">
        <f>SUMIFS(df_eventos!F:F,df_eventos!H:H,Conciliacao!A665)</f>
        <v/>
      </c>
      <c r="F665" s="3">
        <f>SUMIFS(df_mutuos!M:M,df_mutuos!B:B,Conciliacao!A665)</f>
        <v/>
      </c>
      <c r="G665" s="6">
        <f>SUMIFS(df_bloqueios_judiciais!G:G,df_bloqueios_judiciais!D:D,Conciliacao!A665,df_bloqueios_judiciais!G:G,"&gt;0")</f>
        <v/>
      </c>
      <c r="H665" s="7">
        <f>SUMIFS(df_extratos!I:I,df_extratos!F:F,Conciliacao!BE665,df_extratos!G:G,"CREDITO")+SUMIFS(df_extratos!I:I,df_extratos!F:F,Conciliacao!A665,df_extratos!G:G,"CREDITO")+SUMIFS(df_extratos!I:I,df_extratos!F:F,Conciliacao!BF665,df_extratos!G:G,"CREDITO")+SUMIFS(df_extratos!I:I,df_extratos!F:F,Conciliacao!BG665,df_extratos!G:G,"CREDITO")+SUMIFS(df_extratos!I:I,df_extratos!F:F,Conciliacao!BH665,df_extratos!G:G,"CREDITO")</f>
        <v/>
      </c>
      <c r="I665" s="9">
        <f>H665-SUM(B665:G665)</f>
        <v/>
      </c>
      <c r="J665" s="4">
        <f>SUMIFS(df_blueme_sem_parcelamento!E:E,df_blueme_sem_parcelamento!H:H,Conciliacao!A665)*(-1)</f>
        <v/>
      </c>
      <c r="K665" s="4">
        <f>SUMIFS(df_blueme_com_parcelamento!J:J,df_blueme_com_parcelamento!M:M,Conciliacao!A665)*(-1)</f>
        <v/>
      </c>
      <c r="L665" s="4">
        <f>SUMIFS(df_mutuos!N:N,df_mutuos!B:B,Conciliacao!A665)*(-1)</f>
        <v/>
      </c>
      <c r="M665" s="8">
        <f>SUMIFS(df_bloqueios_judiciais!G:G,df_bloqueios_judiciais!D:D,Conciliacao!A665,df_bloqueios_judiciais!G:G,"&lt;0")</f>
        <v/>
      </c>
      <c r="N665" s="10">
        <f>SUMIFS(df_extratos!I:I,df_extratos!F:F,Conciliacao!BE665,df_extratos!G:G,"DEBITO")+SUMIFS(df_extratos!I:I,df_extratos!F:F,Conciliacao!A665,df_extratos!G:G,"DEBITO")+SUMIFS(df_extratos!I:I,df_extratos!F:F,Conciliacao!BF665,df_extratos!G:G,"DEBITO")+SUMIFS(df_extratos!I:I,df_extratos!F:F,Conciliacao!BG665,df_extratos!G:G,"DEBITO")+SUMIFS(df_extratos!I:I,df_extratos!F:F,Conciliacao!BH665,df_extratos!G:G,"DEBITO")</f>
        <v/>
      </c>
      <c r="O665" s="11">
        <f>N665-SUM(J665:M665)</f>
        <v/>
      </c>
      <c r="P665" s="25">
        <f>SUMIFS(df_ajustes_conciliaco!D:D,df_ajustes_conciliaco!C:C,Conciliacao!A665)</f>
        <v/>
      </c>
      <c r="Q665" s="22">
        <f>O665+I665-P665</f>
        <v/>
      </c>
      <c r="BE665" s="20" t="n">
        <v>46321.5</v>
      </c>
      <c r="BF665" s="20" t="n">
        <v>46321.125</v>
      </c>
      <c r="BG665" s="20" t="n">
        <v>46321.5416666088</v>
      </c>
      <c r="BH665" s="20" t="n">
        <v>46321.625</v>
      </c>
    </row>
    <row r="666">
      <c r="A666" s="5">
        <f>A665+1</f>
        <v/>
      </c>
      <c r="B666" s="3">
        <f>-SUMIFS(df_extrato_zig!G:G,df_extrato_zig!E:E,Conciliacao!A666,df_extrato_zig!D:D,"Saque")-SUMIFS(df_extrato_zig!G:G,df_extrato_zig!E:E,Conciliacao!A666,df_extrato_zig!D:D,"Antecipação")</f>
        <v/>
      </c>
      <c r="C666" s="3">
        <f>SUMIFS(df_extrato_zig!E:E,df_extrato_zig!L:L,Conciliacao!A666,df_extrato_zig!F:F,"DINHEIRO")</f>
        <v/>
      </c>
      <c r="D666" s="3">
        <f>SUMIFS(view_parc_agrup!H:H,view_parc_agrup!G:G,Conciliacao!A666)</f>
        <v/>
      </c>
      <c r="E666" s="3">
        <f>SUMIFS(df_eventos!F:F,df_eventos!H:H,Conciliacao!A666)</f>
        <v/>
      </c>
      <c r="F666" s="3">
        <f>SUMIFS(df_mutuos!M:M,df_mutuos!B:B,Conciliacao!A666)</f>
        <v/>
      </c>
      <c r="G666" s="6">
        <f>SUMIFS(df_bloqueios_judiciais!G:G,df_bloqueios_judiciais!D:D,Conciliacao!A666,df_bloqueios_judiciais!G:G,"&gt;0")</f>
        <v/>
      </c>
      <c r="H666" s="7">
        <f>SUMIFS(df_extratos!I:I,df_extratos!F:F,Conciliacao!BE666,df_extratos!G:G,"CREDITO")+SUMIFS(df_extratos!I:I,df_extratos!F:F,Conciliacao!A666,df_extratos!G:G,"CREDITO")+SUMIFS(df_extratos!I:I,df_extratos!F:F,Conciliacao!BF666,df_extratos!G:G,"CREDITO")+SUMIFS(df_extratos!I:I,df_extratos!F:F,Conciliacao!BG666,df_extratos!G:G,"CREDITO")+SUMIFS(df_extratos!I:I,df_extratos!F:F,Conciliacao!BH666,df_extratos!G:G,"CREDITO")</f>
        <v/>
      </c>
      <c r="I666" s="9">
        <f>H666-SUM(B666:G666)</f>
        <v/>
      </c>
      <c r="J666" s="4">
        <f>SUMIFS(df_blueme_sem_parcelamento!E:E,df_blueme_sem_parcelamento!H:H,Conciliacao!A666)*(-1)</f>
        <v/>
      </c>
      <c r="K666" s="4">
        <f>SUMIFS(df_blueme_com_parcelamento!J:J,df_blueme_com_parcelamento!M:M,Conciliacao!A666)*(-1)</f>
        <v/>
      </c>
      <c r="L666" s="4">
        <f>SUMIFS(df_mutuos!N:N,df_mutuos!B:B,Conciliacao!A666)*(-1)</f>
        <v/>
      </c>
      <c r="M666" s="8">
        <f>SUMIFS(df_bloqueios_judiciais!G:G,df_bloqueios_judiciais!D:D,Conciliacao!A666,df_bloqueios_judiciais!G:G,"&lt;0")</f>
        <v/>
      </c>
      <c r="N666" s="10">
        <f>SUMIFS(df_extratos!I:I,df_extratos!F:F,Conciliacao!BE666,df_extratos!G:G,"DEBITO")+SUMIFS(df_extratos!I:I,df_extratos!F:F,Conciliacao!A666,df_extratos!G:G,"DEBITO")+SUMIFS(df_extratos!I:I,df_extratos!F:F,Conciliacao!BF666,df_extratos!G:G,"DEBITO")+SUMIFS(df_extratos!I:I,df_extratos!F:F,Conciliacao!BG666,df_extratos!G:G,"DEBITO")+SUMIFS(df_extratos!I:I,df_extratos!F:F,Conciliacao!BH666,df_extratos!G:G,"DEBITO")</f>
        <v/>
      </c>
      <c r="O666" s="11">
        <f>N666-SUM(J666:M666)</f>
        <v/>
      </c>
      <c r="P666" s="25">
        <f>SUMIFS(df_ajustes_conciliaco!D:D,df_ajustes_conciliaco!C:C,Conciliacao!A666)</f>
        <v/>
      </c>
      <c r="Q666" s="22">
        <f>O666+I666-P666</f>
        <v/>
      </c>
      <c r="BE666" s="20" t="n">
        <v>46322.5</v>
      </c>
      <c r="BF666" s="20" t="n">
        <v>46322.125</v>
      </c>
      <c r="BG666" s="20" t="n">
        <v>46322.5416666088</v>
      </c>
      <c r="BH666" s="20" t="n">
        <v>46322.625</v>
      </c>
    </row>
    <row r="667">
      <c r="A667" s="5">
        <f>A666+1</f>
        <v/>
      </c>
      <c r="B667" s="3">
        <f>-SUMIFS(df_extrato_zig!G:G,df_extrato_zig!E:E,Conciliacao!A667,df_extrato_zig!D:D,"Saque")-SUMIFS(df_extrato_zig!G:G,df_extrato_zig!E:E,Conciliacao!A667,df_extrato_zig!D:D,"Antecipação")</f>
        <v/>
      </c>
      <c r="C667" s="3">
        <f>SUMIFS(df_extrato_zig!E:E,df_extrato_zig!L:L,Conciliacao!A667,df_extrato_zig!F:F,"DINHEIRO")</f>
        <v/>
      </c>
      <c r="D667" s="3">
        <f>SUMIFS(view_parc_agrup!H:H,view_parc_agrup!G:G,Conciliacao!A667)</f>
        <v/>
      </c>
      <c r="E667" s="3">
        <f>SUMIFS(df_eventos!F:F,df_eventos!H:H,Conciliacao!A667)</f>
        <v/>
      </c>
      <c r="F667" s="3">
        <f>SUMIFS(df_mutuos!M:M,df_mutuos!B:B,Conciliacao!A667)</f>
        <v/>
      </c>
      <c r="G667" s="6">
        <f>SUMIFS(df_bloqueios_judiciais!G:G,df_bloqueios_judiciais!D:D,Conciliacao!A667,df_bloqueios_judiciais!G:G,"&gt;0")</f>
        <v/>
      </c>
      <c r="H667" s="7">
        <f>SUMIFS(df_extratos!I:I,df_extratos!F:F,Conciliacao!BE667,df_extratos!G:G,"CREDITO")+SUMIFS(df_extratos!I:I,df_extratos!F:F,Conciliacao!A667,df_extratos!G:G,"CREDITO")+SUMIFS(df_extratos!I:I,df_extratos!F:F,Conciliacao!BF667,df_extratos!G:G,"CREDITO")+SUMIFS(df_extratos!I:I,df_extratos!F:F,Conciliacao!BG667,df_extratos!G:G,"CREDITO")+SUMIFS(df_extratos!I:I,df_extratos!F:F,Conciliacao!BH667,df_extratos!G:G,"CREDITO")</f>
        <v/>
      </c>
      <c r="I667" s="9">
        <f>H667-SUM(B667:G667)</f>
        <v/>
      </c>
      <c r="J667" s="4">
        <f>SUMIFS(df_blueme_sem_parcelamento!E:E,df_blueme_sem_parcelamento!H:H,Conciliacao!A667)*(-1)</f>
        <v/>
      </c>
      <c r="K667" s="4">
        <f>SUMIFS(df_blueme_com_parcelamento!J:J,df_blueme_com_parcelamento!M:M,Conciliacao!A667)*(-1)</f>
        <v/>
      </c>
      <c r="L667" s="4">
        <f>SUMIFS(df_mutuos!N:N,df_mutuos!B:B,Conciliacao!A667)*(-1)</f>
        <v/>
      </c>
      <c r="M667" s="8">
        <f>SUMIFS(df_bloqueios_judiciais!G:G,df_bloqueios_judiciais!D:D,Conciliacao!A667,df_bloqueios_judiciais!G:G,"&lt;0")</f>
        <v/>
      </c>
      <c r="N667" s="10">
        <f>SUMIFS(df_extratos!I:I,df_extratos!F:F,Conciliacao!BE667,df_extratos!G:G,"DEBITO")+SUMIFS(df_extratos!I:I,df_extratos!F:F,Conciliacao!A667,df_extratos!G:G,"DEBITO")+SUMIFS(df_extratos!I:I,df_extratos!F:F,Conciliacao!BF667,df_extratos!G:G,"DEBITO")+SUMIFS(df_extratos!I:I,df_extratos!F:F,Conciliacao!BG667,df_extratos!G:G,"DEBITO")+SUMIFS(df_extratos!I:I,df_extratos!F:F,Conciliacao!BH667,df_extratos!G:G,"DEBITO")</f>
        <v/>
      </c>
      <c r="O667" s="11">
        <f>N667-SUM(J667:M667)</f>
        <v/>
      </c>
      <c r="P667" s="25">
        <f>SUMIFS(df_ajustes_conciliaco!D:D,df_ajustes_conciliaco!C:C,Conciliacao!A667)</f>
        <v/>
      </c>
      <c r="Q667" s="22">
        <f>O667+I667-P667</f>
        <v/>
      </c>
      <c r="BE667" s="20" t="n">
        <v>46323.5</v>
      </c>
      <c r="BF667" s="20" t="n">
        <v>46323.125</v>
      </c>
      <c r="BG667" s="20" t="n">
        <v>46323.5416666088</v>
      </c>
      <c r="BH667" s="20" t="n">
        <v>46323.625</v>
      </c>
    </row>
    <row r="668">
      <c r="A668" s="5">
        <f>A667+1</f>
        <v/>
      </c>
      <c r="B668" s="3">
        <f>-SUMIFS(df_extrato_zig!G:G,df_extrato_zig!E:E,Conciliacao!A668,df_extrato_zig!D:D,"Saque")-SUMIFS(df_extrato_zig!G:G,df_extrato_zig!E:E,Conciliacao!A668,df_extrato_zig!D:D,"Antecipação")</f>
        <v/>
      </c>
      <c r="C668" s="3">
        <f>SUMIFS(df_extrato_zig!E:E,df_extrato_zig!L:L,Conciliacao!A668,df_extrato_zig!F:F,"DINHEIRO")</f>
        <v/>
      </c>
      <c r="D668" s="3">
        <f>SUMIFS(view_parc_agrup!H:H,view_parc_agrup!G:G,Conciliacao!A668)</f>
        <v/>
      </c>
      <c r="E668" s="3">
        <f>SUMIFS(df_eventos!F:F,df_eventos!H:H,Conciliacao!A668)</f>
        <v/>
      </c>
      <c r="F668" s="3">
        <f>SUMIFS(df_mutuos!M:M,df_mutuos!B:B,Conciliacao!A668)</f>
        <v/>
      </c>
      <c r="G668" s="6">
        <f>SUMIFS(df_bloqueios_judiciais!G:G,df_bloqueios_judiciais!D:D,Conciliacao!A668,df_bloqueios_judiciais!G:G,"&gt;0")</f>
        <v/>
      </c>
      <c r="H668" s="7">
        <f>SUMIFS(df_extratos!I:I,df_extratos!F:F,Conciliacao!BE668,df_extratos!G:G,"CREDITO")+SUMIFS(df_extratos!I:I,df_extratos!F:F,Conciliacao!A668,df_extratos!G:G,"CREDITO")+SUMIFS(df_extratos!I:I,df_extratos!F:F,Conciliacao!BF668,df_extratos!G:G,"CREDITO")+SUMIFS(df_extratos!I:I,df_extratos!F:F,Conciliacao!BG668,df_extratos!G:G,"CREDITO")+SUMIFS(df_extratos!I:I,df_extratos!F:F,Conciliacao!BH668,df_extratos!G:G,"CREDITO")</f>
        <v/>
      </c>
      <c r="I668" s="9">
        <f>H668-SUM(B668:G668)</f>
        <v/>
      </c>
      <c r="J668" s="4">
        <f>SUMIFS(df_blueme_sem_parcelamento!E:E,df_blueme_sem_parcelamento!H:H,Conciliacao!A668)*(-1)</f>
        <v/>
      </c>
      <c r="K668" s="4">
        <f>SUMIFS(df_blueme_com_parcelamento!J:J,df_blueme_com_parcelamento!M:M,Conciliacao!A668)*(-1)</f>
        <v/>
      </c>
      <c r="L668" s="4">
        <f>SUMIFS(df_mutuos!N:N,df_mutuos!B:B,Conciliacao!A668)*(-1)</f>
        <v/>
      </c>
      <c r="M668" s="8">
        <f>SUMIFS(df_bloqueios_judiciais!G:G,df_bloqueios_judiciais!D:D,Conciliacao!A668,df_bloqueios_judiciais!G:G,"&lt;0")</f>
        <v/>
      </c>
      <c r="N668" s="10">
        <f>SUMIFS(df_extratos!I:I,df_extratos!F:F,Conciliacao!BE668,df_extratos!G:G,"DEBITO")+SUMIFS(df_extratos!I:I,df_extratos!F:F,Conciliacao!A668,df_extratos!G:G,"DEBITO")+SUMIFS(df_extratos!I:I,df_extratos!F:F,Conciliacao!BF668,df_extratos!G:G,"DEBITO")+SUMIFS(df_extratos!I:I,df_extratos!F:F,Conciliacao!BG668,df_extratos!G:G,"DEBITO")+SUMIFS(df_extratos!I:I,df_extratos!F:F,Conciliacao!BH668,df_extratos!G:G,"DEBITO")</f>
        <v/>
      </c>
      <c r="O668" s="11">
        <f>N668-SUM(J668:M668)</f>
        <v/>
      </c>
      <c r="P668" s="25">
        <f>SUMIFS(df_ajustes_conciliaco!D:D,df_ajustes_conciliaco!C:C,Conciliacao!A668)</f>
        <v/>
      </c>
      <c r="Q668" s="22">
        <f>O668+I668-P668</f>
        <v/>
      </c>
      <c r="BE668" s="20" t="n">
        <v>46324.5</v>
      </c>
      <c r="BF668" s="20" t="n">
        <v>46324.125</v>
      </c>
      <c r="BG668" s="20" t="n">
        <v>46324.5416666088</v>
      </c>
      <c r="BH668" s="20" t="n">
        <v>46324.625</v>
      </c>
    </row>
    <row r="669">
      <c r="A669" s="5">
        <f>A668+1</f>
        <v/>
      </c>
      <c r="B669" s="3">
        <f>-SUMIFS(df_extrato_zig!G:G,df_extrato_zig!E:E,Conciliacao!A669,df_extrato_zig!D:D,"Saque")-SUMIFS(df_extrato_zig!G:G,df_extrato_zig!E:E,Conciliacao!A669,df_extrato_zig!D:D,"Antecipação")</f>
        <v/>
      </c>
      <c r="C669" s="3">
        <f>SUMIFS(df_extrato_zig!E:E,df_extrato_zig!L:L,Conciliacao!A669,df_extrato_zig!F:F,"DINHEIRO")</f>
        <v/>
      </c>
      <c r="D669" s="3">
        <f>SUMIFS(view_parc_agrup!H:H,view_parc_agrup!G:G,Conciliacao!A669)</f>
        <v/>
      </c>
      <c r="E669" s="3">
        <f>SUMIFS(df_eventos!F:F,df_eventos!H:H,Conciliacao!A669)</f>
        <v/>
      </c>
      <c r="F669" s="3">
        <f>SUMIFS(df_mutuos!M:M,df_mutuos!B:B,Conciliacao!A669)</f>
        <v/>
      </c>
      <c r="G669" s="6">
        <f>SUMIFS(df_bloqueios_judiciais!G:G,df_bloqueios_judiciais!D:D,Conciliacao!A669,df_bloqueios_judiciais!G:G,"&gt;0")</f>
        <v/>
      </c>
      <c r="H669" s="7">
        <f>SUMIFS(df_extratos!I:I,df_extratos!F:F,Conciliacao!BE669,df_extratos!G:G,"CREDITO")+SUMIFS(df_extratos!I:I,df_extratos!F:F,Conciliacao!A669,df_extratos!G:G,"CREDITO")+SUMIFS(df_extratos!I:I,df_extratos!F:F,Conciliacao!BF669,df_extratos!G:G,"CREDITO")+SUMIFS(df_extratos!I:I,df_extratos!F:F,Conciliacao!BG669,df_extratos!G:G,"CREDITO")+SUMIFS(df_extratos!I:I,df_extratos!F:F,Conciliacao!BH669,df_extratos!G:G,"CREDITO")</f>
        <v/>
      </c>
      <c r="I669" s="9">
        <f>H669-SUM(B669:G669)</f>
        <v/>
      </c>
      <c r="J669" s="4">
        <f>SUMIFS(df_blueme_sem_parcelamento!E:E,df_blueme_sem_parcelamento!H:H,Conciliacao!A669)*(-1)</f>
        <v/>
      </c>
      <c r="K669" s="4">
        <f>SUMIFS(df_blueme_com_parcelamento!J:J,df_blueme_com_parcelamento!M:M,Conciliacao!A669)*(-1)</f>
        <v/>
      </c>
      <c r="L669" s="4">
        <f>SUMIFS(df_mutuos!N:N,df_mutuos!B:B,Conciliacao!A669)*(-1)</f>
        <v/>
      </c>
      <c r="M669" s="8">
        <f>SUMIFS(df_bloqueios_judiciais!G:G,df_bloqueios_judiciais!D:D,Conciliacao!A669,df_bloqueios_judiciais!G:G,"&lt;0")</f>
        <v/>
      </c>
      <c r="N669" s="10">
        <f>SUMIFS(df_extratos!I:I,df_extratos!F:F,Conciliacao!BE669,df_extratos!G:G,"DEBITO")+SUMIFS(df_extratos!I:I,df_extratos!F:F,Conciliacao!A669,df_extratos!G:G,"DEBITO")+SUMIFS(df_extratos!I:I,df_extratos!F:F,Conciliacao!BF669,df_extratos!G:G,"DEBITO")+SUMIFS(df_extratos!I:I,df_extratos!F:F,Conciliacao!BG669,df_extratos!G:G,"DEBITO")+SUMIFS(df_extratos!I:I,df_extratos!F:F,Conciliacao!BH669,df_extratos!G:G,"DEBITO")</f>
        <v/>
      </c>
      <c r="O669" s="11">
        <f>N669-SUM(J669:M669)</f>
        <v/>
      </c>
      <c r="P669" s="25">
        <f>SUMIFS(df_ajustes_conciliaco!D:D,df_ajustes_conciliaco!C:C,Conciliacao!A669)</f>
        <v/>
      </c>
      <c r="Q669" s="22">
        <f>O669+I669-P669</f>
        <v/>
      </c>
      <c r="BE669" s="20" t="n">
        <v>46325.5</v>
      </c>
      <c r="BF669" s="20" t="n">
        <v>46325.125</v>
      </c>
      <c r="BG669" s="20" t="n">
        <v>46325.5416666088</v>
      </c>
      <c r="BH669" s="20" t="n">
        <v>46325.625</v>
      </c>
    </row>
    <row r="670">
      <c r="A670" s="5">
        <f>A669+1</f>
        <v/>
      </c>
      <c r="B670" s="3">
        <f>-SUMIFS(df_extrato_zig!G:G,df_extrato_zig!E:E,Conciliacao!A670,df_extrato_zig!D:D,"Saque")-SUMIFS(df_extrato_zig!G:G,df_extrato_zig!E:E,Conciliacao!A670,df_extrato_zig!D:D,"Antecipação")</f>
        <v/>
      </c>
      <c r="C670" s="3">
        <f>SUMIFS(df_extrato_zig!E:E,df_extrato_zig!L:L,Conciliacao!A670,df_extrato_zig!F:F,"DINHEIRO")</f>
        <v/>
      </c>
      <c r="D670" s="3">
        <f>SUMIFS(view_parc_agrup!H:H,view_parc_agrup!G:G,Conciliacao!A670)</f>
        <v/>
      </c>
      <c r="E670" s="3">
        <f>SUMIFS(df_eventos!F:F,df_eventos!H:H,Conciliacao!A670)</f>
        <v/>
      </c>
      <c r="F670" s="3">
        <f>SUMIFS(df_mutuos!M:M,df_mutuos!B:B,Conciliacao!A670)</f>
        <v/>
      </c>
      <c r="G670" s="6">
        <f>SUMIFS(df_bloqueios_judiciais!G:G,df_bloqueios_judiciais!D:D,Conciliacao!A670,df_bloqueios_judiciais!G:G,"&gt;0")</f>
        <v/>
      </c>
      <c r="H670" s="7">
        <f>SUMIFS(df_extratos!I:I,df_extratos!F:F,Conciliacao!BE670,df_extratos!G:G,"CREDITO")+SUMIFS(df_extratos!I:I,df_extratos!F:F,Conciliacao!A670,df_extratos!G:G,"CREDITO")+SUMIFS(df_extratos!I:I,df_extratos!F:F,Conciliacao!BF670,df_extratos!G:G,"CREDITO")+SUMIFS(df_extratos!I:I,df_extratos!F:F,Conciliacao!BG670,df_extratos!G:G,"CREDITO")+SUMIFS(df_extratos!I:I,df_extratos!F:F,Conciliacao!BH670,df_extratos!G:G,"CREDITO")</f>
        <v/>
      </c>
      <c r="I670" s="9">
        <f>H670-SUM(B670:G670)</f>
        <v/>
      </c>
      <c r="J670" s="4">
        <f>SUMIFS(df_blueme_sem_parcelamento!E:E,df_blueme_sem_parcelamento!H:H,Conciliacao!A670)*(-1)</f>
        <v/>
      </c>
      <c r="K670" s="4">
        <f>SUMIFS(df_blueme_com_parcelamento!J:J,df_blueme_com_parcelamento!M:M,Conciliacao!A670)*(-1)</f>
        <v/>
      </c>
      <c r="L670" s="4">
        <f>SUMIFS(df_mutuos!N:N,df_mutuos!B:B,Conciliacao!A670)*(-1)</f>
        <v/>
      </c>
      <c r="M670" s="8">
        <f>SUMIFS(df_bloqueios_judiciais!G:G,df_bloqueios_judiciais!D:D,Conciliacao!A670,df_bloqueios_judiciais!G:G,"&lt;0")</f>
        <v/>
      </c>
      <c r="N670" s="10">
        <f>SUMIFS(df_extratos!I:I,df_extratos!F:F,Conciliacao!BE670,df_extratos!G:G,"DEBITO")+SUMIFS(df_extratos!I:I,df_extratos!F:F,Conciliacao!A670,df_extratos!G:G,"DEBITO")+SUMIFS(df_extratos!I:I,df_extratos!F:F,Conciliacao!BF670,df_extratos!G:G,"DEBITO")+SUMIFS(df_extratos!I:I,df_extratos!F:F,Conciliacao!BG670,df_extratos!G:G,"DEBITO")+SUMIFS(df_extratos!I:I,df_extratos!F:F,Conciliacao!BH670,df_extratos!G:G,"DEBITO")</f>
        <v/>
      </c>
      <c r="O670" s="11">
        <f>N670-SUM(J670:M670)</f>
        <v/>
      </c>
      <c r="P670" s="25">
        <f>SUMIFS(df_ajustes_conciliaco!D:D,df_ajustes_conciliaco!C:C,Conciliacao!A670)</f>
        <v/>
      </c>
      <c r="Q670" s="22">
        <f>O670+I670-P670</f>
        <v/>
      </c>
      <c r="BE670" s="20" t="n">
        <v>46326.5</v>
      </c>
      <c r="BF670" s="20" t="n">
        <v>46326.125</v>
      </c>
      <c r="BG670" s="20" t="n">
        <v>46326.5416666088</v>
      </c>
      <c r="BH670" s="20" t="n">
        <v>46326.625</v>
      </c>
    </row>
    <row r="671">
      <c r="A671" s="5">
        <f>A670+1</f>
        <v/>
      </c>
      <c r="B671" s="3">
        <f>-SUMIFS(df_extrato_zig!G:G,df_extrato_zig!E:E,Conciliacao!A671,df_extrato_zig!D:D,"Saque")-SUMIFS(df_extrato_zig!G:G,df_extrato_zig!E:E,Conciliacao!A671,df_extrato_zig!D:D,"Antecipação")</f>
        <v/>
      </c>
      <c r="C671" s="3">
        <f>SUMIFS(df_extrato_zig!E:E,df_extrato_zig!L:L,Conciliacao!A671,df_extrato_zig!F:F,"DINHEIRO")</f>
        <v/>
      </c>
      <c r="D671" s="3">
        <f>SUMIFS(view_parc_agrup!H:H,view_parc_agrup!G:G,Conciliacao!A671)</f>
        <v/>
      </c>
      <c r="E671" s="3">
        <f>SUMIFS(df_eventos!F:F,df_eventos!H:H,Conciliacao!A671)</f>
        <v/>
      </c>
      <c r="F671" s="3">
        <f>SUMIFS(df_mutuos!M:M,df_mutuos!B:B,Conciliacao!A671)</f>
        <v/>
      </c>
      <c r="G671" s="6">
        <f>SUMIFS(df_bloqueios_judiciais!G:G,df_bloqueios_judiciais!D:D,Conciliacao!A671,df_bloqueios_judiciais!G:G,"&gt;0")</f>
        <v/>
      </c>
      <c r="H671" s="7">
        <f>SUMIFS(df_extratos!I:I,df_extratos!F:F,Conciliacao!BE671,df_extratos!G:G,"CREDITO")+SUMIFS(df_extratos!I:I,df_extratos!F:F,Conciliacao!A671,df_extratos!G:G,"CREDITO")+SUMIFS(df_extratos!I:I,df_extratos!F:F,Conciliacao!BF671,df_extratos!G:G,"CREDITO")+SUMIFS(df_extratos!I:I,df_extratos!F:F,Conciliacao!BG671,df_extratos!G:G,"CREDITO")+SUMIFS(df_extratos!I:I,df_extratos!F:F,Conciliacao!BH671,df_extratos!G:G,"CREDITO")</f>
        <v/>
      </c>
      <c r="I671" s="9">
        <f>H671-SUM(B671:G671)</f>
        <v/>
      </c>
      <c r="J671" s="4">
        <f>SUMIFS(df_blueme_sem_parcelamento!E:E,df_blueme_sem_parcelamento!H:H,Conciliacao!A671)*(-1)</f>
        <v/>
      </c>
      <c r="K671" s="4">
        <f>SUMIFS(df_blueme_com_parcelamento!J:J,df_blueme_com_parcelamento!M:M,Conciliacao!A671)*(-1)</f>
        <v/>
      </c>
      <c r="L671" s="4">
        <f>SUMIFS(df_mutuos!N:N,df_mutuos!B:B,Conciliacao!A671)*(-1)</f>
        <v/>
      </c>
      <c r="M671" s="8">
        <f>SUMIFS(df_bloqueios_judiciais!G:G,df_bloqueios_judiciais!D:D,Conciliacao!A671,df_bloqueios_judiciais!G:G,"&lt;0")</f>
        <v/>
      </c>
      <c r="N671" s="10">
        <f>SUMIFS(df_extratos!I:I,df_extratos!F:F,Conciliacao!BE671,df_extratos!G:G,"DEBITO")+SUMIFS(df_extratos!I:I,df_extratos!F:F,Conciliacao!A671,df_extratos!G:G,"DEBITO")+SUMIFS(df_extratos!I:I,df_extratos!F:F,Conciliacao!BF671,df_extratos!G:G,"DEBITO")+SUMIFS(df_extratos!I:I,df_extratos!F:F,Conciliacao!BG671,df_extratos!G:G,"DEBITO")+SUMIFS(df_extratos!I:I,df_extratos!F:F,Conciliacao!BH671,df_extratos!G:G,"DEBITO")</f>
        <v/>
      </c>
      <c r="O671" s="11">
        <f>N671-SUM(J671:M671)</f>
        <v/>
      </c>
      <c r="P671" s="25">
        <f>SUMIFS(df_ajustes_conciliaco!D:D,df_ajustes_conciliaco!C:C,Conciliacao!A671)</f>
        <v/>
      </c>
      <c r="Q671" s="22">
        <f>O671+I671-P671</f>
        <v/>
      </c>
      <c r="BE671" s="20" t="n">
        <v>46327.5</v>
      </c>
      <c r="BF671" s="20" t="n">
        <v>46327.125</v>
      </c>
      <c r="BG671" s="20" t="n">
        <v>46327.5416666088</v>
      </c>
      <c r="BH671" s="20" t="n">
        <v>46327.625</v>
      </c>
    </row>
    <row r="672">
      <c r="A672" s="5">
        <f>A671+1</f>
        <v/>
      </c>
      <c r="B672" s="3">
        <f>-SUMIFS(df_extrato_zig!G:G,df_extrato_zig!E:E,Conciliacao!A672,df_extrato_zig!D:D,"Saque")-SUMIFS(df_extrato_zig!G:G,df_extrato_zig!E:E,Conciliacao!A672,df_extrato_zig!D:D,"Antecipação")</f>
        <v/>
      </c>
      <c r="C672" s="3">
        <f>SUMIFS(df_extrato_zig!E:E,df_extrato_zig!L:L,Conciliacao!A672,df_extrato_zig!F:F,"DINHEIRO")</f>
        <v/>
      </c>
      <c r="D672" s="3">
        <f>SUMIFS(view_parc_agrup!H:H,view_parc_agrup!G:G,Conciliacao!A672)</f>
        <v/>
      </c>
      <c r="E672" s="3">
        <f>SUMIFS(df_eventos!F:F,df_eventos!H:H,Conciliacao!A672)</f>
        <v/>
      </c>
      <c r="F672" s="3">
        <f>SUMIFS(df_mutuos!M:M,df_mutuos!B:B,Conciliacao!A672)</f>
        <v/>
      </c>
      <c r="G672" s="6">
        <f>SUMIFS(df_bloqueios_judiciais!G:G,df_bloqueios_judiciais!D:D,Conciliacao!A672,df_bloqueios_judiciais!G:G,"&gt;0")</f>
        <v/>
      </c>
      <c r="H672" s="7">
        <f>SUMIFS(df_extratos!I:I,df_extratos!F:F,Conciliacao!BE672,df_extratos!G:G,"CREDITO")+SUMIFS(df_extratos!I:I,df_extratos!F:F,Conciliacao!A672,df_extratos!G:G,"CREDITO")+SUMIFS(df_extratos!I:I,df_extratos!F:F,Conciliacao!BF672,df_extratos!G:G,"CREDITO")+SUMIFS(df_extratos!I:I,df_extratos!F:F,Conciliacao!BG672,df_extratos!G:G,"CREDITO")+SUMIFS(df_extratos!I:I,df_extratos!F:F,Conciliacao!BH672,df_extratos!G:G,"CREDITO")</f>
        <v/>
      </c>
      <c r="I672" s="9">
        <f>H672-SUM(B672:G672)</f>
        <v/>
      </c>
      <c r="J672" s="4">
        <f>SUMIFS(df_blueme_sem_parcelamento!E:E,df_blueme_sem_parcelamento!H:H,Conciliacao!A672)*(-1)</f>
        <v/>
      </c>
      <c r="K672" s="4">
        <f>SUMIFS(df_blueme_com_parcelamento!J:J,df_blueme_com_parcelamento!M:M,Conciliacao!A672)*(-1)</f>
        <v/>
      </c>
      <c r="L672" s="4">
        <f>SUMIFS(df_mutuos!N:N,df_mutuos!B:B,Conciliacao!A672)*(-1)</f>
        <v/>
      </c>
      <c r="M672" s="8">
        <f>SUMIFS(df_bloqueios_judiciais!G:G,df_bloqueios_judiciais!D:D,Conciliacao!A672,df_bloqueios_judiciais!G:G,"&lt;0")</f>
        <v/>
      </c>
      <c r="N672" s="10">
        <f>SUMIFS(df_extratos!I:I,df_extratos!F:F,Conciliacao!BE672,df_extratos!G:G,"DEBITO")+SUMIFS(df_extratos!I:I,df_extratos!F:F,Conciliacao!A672,df_extratos!G:G,"DEBITO")+SUMIFS(df_extratos!I:I,df_extratos!F:F,Conciliacao!BF672,df_extratos!G:G,"DEBITO")+SUMIFS(df_extratos!I:I,df_extratos!F:F,Conciliacao!BG672,df_extratos!G:G,"DEBITO")+SUMIFS(df_extratos!I:I,df_extratos!F:F,Conciliacao!BH672,df_extratos!G:G,"DEBITO")</f>
        <v/>
      </c>
      <c r="O672" s="11">
        <f>N672-SUM(J672:M672)</f>
        <v/>
      </c>
      <c r="P672" s="25">
        <f>SUMIFS(df_ajustes_conciliaco!D:D,df_ajustes_conciliaco!C:C,Conciliacao!A672)</f>
        <v/>
      </c>
      <c r="Q672" s="22">
        <f>O672+I672-P672</f>
        <v/>
      </c>
      <c r="BE672" s="20" t="n">
        <v>46328.5</v>
      </c>
      <c r="BF672" s="20" t="n">
        <v>46328.125</v>
      </c>
      <c r="BG672" s="20" t="n">
        <v>46328.5416666088</v>
      </c>
      <c r="BH672" s="20" t="n">
        <v>46328.625</v>
      </c>
    </row>
    <row r="673">
      <c r="A673" s="5">
        <f>A672+1</f>
        <v/>
      </c>
      <c r="B673" s="3">
        <f>-SUMIFS(df_extrato_zig!G:G,df_extrato_zig!E:E,Conciliacao!A673,df_extrato_zig!D:D,"Saque")-SUMIFS(df_extrato_zig!G:G,df_extrato_zig!E:E,Conciliacao!A673,df_extrato_zig!D:D,"Antecipação")</f>
        <v/>
      </c>
      <c r="C673" s="3">
        <f>SUMIFS(df_extrato_zig!E:E,df_extrato_zig!L:L,Conciliacao!A673,df_extrato_zig!F:F,"DINHEIRO")</f>
        <v/>
      </c>
      <c r="D673" s="3">
        <f>SUMIFS(view_parc_agrup!H:H,view_parc_agrup!G:G,Conciliacao!A673)</f>
        <v/>
      </c>
      <c r="E673" s="3">
        <f>SUMIFS(df_eventos!F:F,df_eventos!H:H,Conciliacao!A673)</f>
        <v/>
      </c>
      <c r="F673" s="3">
        <f>SUMIFS(df_mutuos!M:M,df_mutuos!B:B,Conciliacao!A673)</f>
        <v/>
      </c>
      <c r="G673" s="6">
        <f>SUMIFS(df_bloqueios_judiciais!G:G,df_bloqueios_judiciais!D:D,Conciliacao!A673,df_bloqueios_judiciais!G:G,"&gt;0")</f>
        <v/>
      </c>
      <c r="H673" s="7">
        <f>SUMIFS(df_extratos!I:I,df_extratos!F:F,Conciliacao!BE673,df_extratos!G:G,"CREDITO")+SUMIFS(df_extratos!I:I,df_extratos!F:F,Conciliacao!A673,df_extratos!G:G,"CREDITO")+SUMIFS(df_extratos!I:I,df_extratos!F:F,Conciliacao!BF673,df_extratos!G:G,"CREDITO")+SUMIFS(df_extratos!I:I,df_extratos!F:F,Conciliacao!BG673,df_extratos!G:G,"CREDITO")+SUMIFS(df_extratos!I:I,df_extratos!F:F,Conciliacao!BH673,df_extratos!G:G,"CREDITO")</f>
        <v/>
      </c>
      <c r="I673" s="9">
        <f>H673-SUM(B673:G673)</f>
        <v/>
      </c>
      <c r="J673" s="4">
        <f>SUMIFS(df_blueme_sem_parcelamento!E:E,df_blueme_sem_parcelamento!H:H,Conciliacao!A673)*(-1)</f>
        <v/>
      </c>
      <c r="K673" s="4">
        <f>SUMIFS(df_blueme_com_parcelamento!J:J,df_blueme_com_parcelamento!M:M,Conciliacao!A673)*(-1)</f>
        <v/>
      </c>
      <c r="L673" s="4">
        <f>SUMIFS(df_mutuos!N:N,df_mutuos!B:B,Conciliacao!A673)*(-1)</f>
        <v/>
      </c>
      <c r="M673" s="8">
        <f>SUMIFS(df_bloqueios_judiciais!G:G,df_bloqueios_judiciais!D:D,Conciliacao!A673,df_bloqueios_judiciais!G:G,"&lt;0")</f>
        <v/>
      </c>
      <c r="N673" s="10">
        <f>SUMIFS(df_extratos!I:I,df_extratos!F:F,Conciliacao!BE673,df_extratos!G:G,"DEBITO")+SUMIFS(df_extratos!I:I,df_extratos!F:F,Conciliacao!A673,df_extratos!G:G,"DEBITO")+SUMIFS(df_extratos!I:I,df_extratos!F:F,Conciliacao!BF673,df_extratos!G:G,"DEBITO")+SUMIFS(df_extratos!I:I,df_extratos!F:F,Conciliacao!BG673,df_extratos!G:G,"DEBITO")+SUMIFS(df_extratos!I:I,df_extratos!F:F,Conciliacao!BH673,df_extratos!G:G,"DEBITO")</f>
        <v/>
      </c>
      <c r="O673" s="11">
        <f>N673-SUM(J673:M673)</f>
        <v/>
      </c>
      <c r="P673" s="25">
        <f>SUMIFS(df_ajustes_conciliaco!D:D,df_ajustes_conciliaco!C:C,Conciliacao!A673)</f>
        <v/>
      </c>
      <c r="Q673" s="22">
        <f>O673+I673-P673</f>
        <v/>
      </c>
      <c r="BE673" s="20" t="n">
        <v>46329.5</v>
      </c>
      <c r="BF673" s="20" t="n">
        <v>46329.125</v>
      </c>
      <c r="BG673" s="20" t="n">
        <v>46329.5416666088</v>
      </c>
      <c r="BH673" s="20" t="n">
        <v>46329.625</v>
      </c>
    </row>
    <row r="674">
      <c r="A674" s="5">
        <f>A673+1</f>
        <v/>
      </c>
      <c r="B674" s="3">
        <f>-SUMIFS(df_extrato_zig!G:G,df_extrato_zig!E:E,Conciliacao!A674,df_extrato_zig!D:D,"Saque")-SUMIFS(df_extrato_zig!G:G,df_extrato_zig!E:E,Conciliacao!A674,df_extrato_zig!D:D,"Antecipação")</f>
        <v/>
      </c>
      <c r="C674" s="3">
        <f>SUMIFS(df_extrato_zig!E:E,df_extrato_zig!L:L,Conciliacao!A674,df_extrato_zig!F:F,"DINHEIRO")</f>
        <v/>
      </c>
      <c r="D674" s="3">
        <f>SUMIFS(view_parc_agrup!H:H,view_parc_agrup!G:G,Conciliacao!A674)</f>
        <v/>
      </c>
      <c r="E674" s="3">
        <f>SUMIFS(df_eventos!F:F,df_eventos!H:H,Conciliacao!A674)</f>
        <v/>
      </c>
      <c r="F674" s="3">
        <f>SUMIFS(df_mutuos!M:M,df_mutuos!B:B,Conciliacao!A674)</f>
        <v/>
      </c>
      <c r="G674" s="6">
        <f>SUMIFS(df_bloqueios_judiciais!G:G,df_bloqueios_judiciais!D:D,Conciliacao!A674,df_bloqueios_judiciais!G:G,"&gt;0")</f>
        <v/>
      </c>
      <c r="H674" s="7">
        <f>SUMIFS(df_extratos!I:I,df_extratos!F:F,Conciliacao!BE674,df_extratos!G:G,"CREDITO")+SUMIFS(df_extratos!I:I,df_extratos!F:F,Conciliacao!A674,df_extratos!G:G,"CREDITO")+SUMIFS(df_extratos!I:I,df_extratos!F:F,Conciliacao!BF674,df_extratos!G:G,"CREDITO")+SUMIFS(df_extratos!I:I,df_extratos!F:F,Conciliacao!BG674,df_extratos!G:G,"CREDITO")+SUMIFS(df_extratos!I:I,df_extratos!F:F,Conciliacao!BH674,df_extratos!G:G,"CREDITO")</f>
        <v/>
      </c>
      <c r="I674" s="9">
        <f>H674-SUM(B674:G674)</f>
        <v/>
      </c>
      <c r="J674" s="4">
        <f>SUMIFS(df_blueme_sem_parcelamento!E:E,df_blueme_sem_parcelamento!H:H,Conciliacao!A674)*(-1)</f>
        <v/>
      </c>
      <c r="K674" s="4">
        <f>SUMIFS(df_blueme_com_parcelamento!J:J,df_blueme_com_parcelamento!M:M,Conciliacao!A674)*(-1)</f>
        <v/>
      </c>
      <c r="L674" s="4">
        <f>SUMIFS(df_mutuos!N:N,df_mutuos!B:B,Conciliacao!A674)*(-1)</f>
        <v/>
      </c>
      <c r="M674" s="8">
        <f>SUMIFS(df_bloqueios_judiciais!G:G,df_bloqueios_judiciais!D:D,Conciliacao!A674,df_bloqueios_judiciais!G:G,"&lt;0")</f>
        <v/>
      </c>
      <c r="N674" s="10">
        <f>SUMIFS(df_extratos!I:I,df_extratos!F:F,Conciliacao!BE674,df_extratos!G:G,"DEBITO")+SUMIFS(df_extratos!I:I,df_extratos!F:F,Conciliacao!A674,df_extratos!G:G,"DEBITO")+SUMIFS(df_extratos!I:I,df_extratos!F:F,Conciliacao!BF674,df_extratos!G:G,"DEBITO")+SUMIFS(df_extratos!I:I,df_extratos!F:F,Conciliacao!BG674,df_extratos!G:G,"DEBITO")+SUMIFS(df_extratos!I:I,df_extratos!F:F,Conciliacao!BH674,df_extratos!G:G,"DEBITO")</f>
        <v/>
      </c>
      <c r="O674" s="11">
        <f>N674-SUM(J674:M674)</f>
        <v/>
      </c>
      <c r="P674" s="25">
        <f>SUMIFS(df_ajustes_conciliaco!D:D,df_ajustes_conciliaco!C:C,Conciliacao!A674)</f>
        <v/>
      </c>
      <c r="Q674" s="22">
        <f>O674+I674-P674</f>
        <v/>
      </c>
      <c r="BE674" s="20" t="n">
        <v>46330.5</v>
      </c>
      <c r="BF674" s="20" t="n">
        <v>46330.125</v>
      </c>
      <c r="BG674" s="20" t="n">
        <v>46330.5416666088</v>
      </c>
      <c r="BH674" s="20" t="n">
        <v>46330.625</v>
      </c>
    </row>
    <row r="675">
      <c r="A675" s="5">
        <f>A674+1</f>
        <v/>
      </c>
      <c r="B675" s="3">
        <f>-SUMIFS(df_extrato_zig!G:G,df_extrato_zig!E:E,Conciliacao!A675,df_extrato_zig!D:D,"Saque")-SUMIFS(df_extrato_zig!G:G,df_extrato_zig!E:E,Conciliacao!A675,df_extrato_zig!D:D,"Antecipação")</f>
        <v/>
      </c>
      <c r="C675" s="3">
        <f>SUMIFS(df_extrato_zig!E:E,df_extrato_zig!L:L,Conciliacao!A675,df_extrato_zig!F:F,"DINHEIRO")</f>
        <v/>
      </c>
      <c r="D675" s="3">
        <f>SUMIFS(view_parc_agrup!H:H,view_parc_agrup!G:G,Conciliacao!A675)</f>
        <v/>
      </c>
      <c r="E675" s="3">
        <f>SUMIFS(df_eventos!F:F,df_eventos!H:H,Conciliacao!A675)</f>
        <v/>
      </c>
      <c r="F675" s="3">
        <f>SUMIFS(df_mutuos!M:M,df_mutuos!B:B,Conciliacao!A675)</f>
        <v/>
      </c>
      <c r="G675" s="6">
        <f>SUMIFS(df_bloqueios_judiciais!G:G,df_bloqueios_judiciais!D:D,Conciliacao!A675,df_bloqueios_judiciais!G:G,"&gt;0")</f>
        <v/>
      </c>
      <c r="H675" s="7">
        <f>SUMIFS(df_extratos!I:I,df_extratos!F:F,Conciliacao!BE675,df_extratos!G:G,"CREDITO")+SUMIFS(df_extratos!I:I,df_extratos!F:F,Conciliacao!A675,df_extratos!G:G,"CREDITO")+SUMIFS(df_extratos!I:I,df_extratos!F:F,Conciliacao!BF675,df_extratos!G:G,"CREDITO")+SUMIFS(df_extratos!I:I,df_extratos!F:F,Conciliacao!BG675,df_extratos!G:G,"CREDITO")+SUMIFS(df_extratos!I:I,df_extratos!F:F,Conciliacao!BH675,df_extratos!G:G,"CREDITO")</f>
        <v/>
      </c>
      <c r="I675" s="9">
        <f>H675-SUM(B675:G675)</f>
        <v/>
      </c>
      <c r="J675" s="4">
        <f>SUMIFS(df_blueme_sem_parcelamento!E:E,df_blueme_sem_parcelamento!H:H,Conciliacao!A675)*(-1)</f>
        <v/>
      </c>
      <c r="K675" s="4">
        <f>SUMIFS(df_blueme_com_parcelamento!J:J,df_blueme_com_parcelamento!M:M,Conciliacao!A675)*(-1)</f>
        <v/>
      </c>
      <c r="L675" s="4">
        <f>SUMIFS(df_mutuos!N:N,df_mutuos!B:B,Conciliacao!A675)*(-1)</f>
        <v/>
      </c>
      <c r="M675" s="8">
        <f>SUMIFS(df_bloqueios_judiciais!G:G,df_bloqueios_judiciais!D:D,Conciliacao!A675,df_bloqueios_judiciais!G:G,"&lt;0")</f>
        <v/>
      </c>
      <c r="N675" s="10">
        <f>SUMIFS(df_extratos!I:I,df_extratos!F:F,Conciliacao!BE675,df_extratos!G:G,"DEBITO")+SUMIFS(df_extratos!I:I,df_extratos!F:F,Conciliacao!A675,df_extratos!G:G,"DEBITO")+SUMIFS(df_extratos!I:I,df_extratos!F:F,Conciliacao!BF675,df_extratos!G:G,"DEBITO")+SUMIFS(df_extratos!I:I,df_extratos!F:F,Conciliacao!BG675,df_extratos!G:G,"DEBITO")+SUMIFS(df_extratos!I:I,df_extratos!F:F,Conciliacao!BH675,df_extratos!G:G,"DEBITO")</f>
        <v/>
      </c>
      <c r="O675" s="11">
        <f>N675-SUM(J675:M675)</f>
        <v/>
      </c>
      <c r="P675" s="25">
        <f>SUMIFS(df_ajustes_conciliaco!D:D,df_ajustes_conciliaco!C:C,Conciliacao!A675)</f>
        <v/>
      </c>
      <c r="Q675" s="22">
        <f>O675+I675-P675</f>
        <v/>
      </c>
      <c r="BE675" s="20" t="n">
        <v>46331.5</v>
      </c>
      <c r="BF675" s="20" t="n">
        <v>46331.125</v>
      </c>
      <c r="BG675" s="20" t="n">
        <v>46331.5416666088</v>
      </c>
      <c r="BH675" s="20" t="n">
        <v>46331.625</v>
      </c>
    </row>
    <row r="676">
      <c r="A676" s="5">
        <f>A675+1</f>
        <v/>
      </c>
      <c r="B676" s="3">
        <f>-SUMIFS(df_extrato_zig!G:G,df_extrato_zig!E:E,Conciliacao!A676,df_extrato_zig!D:D,"Saque")-SUMIFS(df_extrato_zig!G:G,df_extrato_zig!E:E,Conciliacao!A676,df_extrato_zig!D:D,"Antecipação")</f>
        <v/>
      </c>
      <c r="C676" s="3">
        <f>SUMIFS(df_extrato_zig!E:E,df_extrato_zig!L:L,Conciliacao!A676,df_extrato_zig!F:F,"DINHEIRO")</f>
        <v/>
      </c>
      <c r="D676" s="3">
        <f>SUMIFS(view_parc_agrup!H:H,view_parc_agrup!G:G,Conciliacao!A676)</f>
        <v/>
      </c>
      <c r="E676" s="3">
        <f>SUMIFS(df_eventos!F:F,df_eventos!H:H,Conciliacao!A676)</f>
        <v/>
      </c>
      <c r="F676" s="3">
        <f>SUMIFS(df_mutuos!M:M,df_mutuos!B:B,Conciliacao!A676)</f>
        <v/>
      </c>
      <c r="G676" s="6">
        <f>SUMIFS(df_bloqueios_judiciais!G:G,df_bloqueios_judiciais!D:D,Conciliacao!A676,df_bloqueios_judiciais!G:G,"&gt;0")</f>
        <v/>
      </c>
      <c r="H676" s="7">
        <f>SUMIFS(df_extratos!I:I,df_extratos!F:F,Conciliacao!BE676,df_extratos!G:G,"CREDITO")+SUMIFS(df_extratos!I:I,df_extratos!F:F,Conciliacao!A676,df_extratos!G:G,"CREDITO")+SUMIFS(df_extratos!I:I,df_extratos!F:F,Conciliacao!BF676,df_extratos!G:G,"CREDITO")+SUMIFS(df_extratos!I:I,df_extratos!F:F,Conciliacao!BG676,df_extratos!G:G,"CREDITO")+SUMIFS(df_extratos!I:I,df_extratos!F:F,Conciliacao!BH676,df_extratos!G:G,"CREDITO")</f>
        <v/>
      </c>
      <c r="I676" s="9">
        <f>H676-SUM(B676:G676)</f>
        <v/>
      </c>
      <c r="J676" s="4">
        <f>SUMIFS(df_blueme_sem_parcelamento!E:E,df_blueme_sem_parcelamento!H:H,Conciliacao!A676)*(-1)</f>
        <v/>
      </c>
      <c r="K676" s="4">
        <f>SUMIFS(df_blueme_com_parcelamento!J:J,df_blueme_com_parcelamento!M:M,Conciliacao!A676)*(-1)</f>
        <v/>
      </c>
      <c r="L676" s="4">
        <f>SUMIFS(df_mutuos!N:N,df_mutuos!B:B,Conciliacao!A676)*(-1)</f>
        <v/>
      </c>
      <c r="M676" s="8">
        <f>SUMIFS(df_bloqueios_judiciais!G:G,df_bloqueios_judiciais!D:D,Conciliacao!A676,df_bloqueios_judiciais!G:G,"&lt;0")</f>
        <v/>
      </c>
      <c r="N676" s="10">
        <f>SUMIFS(df_extratos!I:I,df_extratos!F:F,Conciliacao!BE676,df_extratos!G:G,"DEBITO")+SUMIFS(df_extratos!I:I,df_extratos!F:F,Conciliacao!A676,df_extratos!G:G,"DEBITO")+SUMIFS(df_extratos!I:I,df_extratos!F:F,Conciliacao!BF676,df_extratos!G:G,"DEBITO")+SUMIFS(df_extratos!I:I,df_extratos!F:F,Conciliacao!BG676,df_extratos!G:G,"DEBITO")+SUMIFS(df_extratos!I:I,df_extratos!F:F,Conciliacao!BH676,df_extratos!G:G,"DEBITO")</f>
        <v/>
      </c>
      <c r="O676" s="11">
        <f>N676-SUM(J676:M676)</f>
        <v/>
      </c>
      <c r="P676" s="25">
        <f>SUMIFS(df_ajustes_conciliaco!D:D,df_ajustes_conciliaco!C:C,Conciliacao!A676)</f>
        <v/>
      </c>
      <c r="Q676" s="22">
        <f>O676+I676-P676</f>
        <v/>
      </c>
      <c r="BE676" s="20" t="n">
        <v>46332.5</v>
      </c>
      <c r="BF676" s="20" t="n">
        <v>46332.125</v>
      </c>
      <c r="BG676" s="20" t="n">
        <v>46332.5416666088</v>
      </c>
      <c r="BH676" s="20" t="n">
        <v>46332.625</v>
      </c>
    </row>
    <row r="677">
      <c r="A677" s="5">
        <f>A676+1</f>
        <v/>
      </c>
      <c r="B677" s="3">
        <f>-SUMIFS(df_extrato_zig!G:G,df_extrato_zig!E:E,Conciliacao!A677,df_extrato_zig!D:D,"Saque")-SUMIFS(df_extrato_zig!G:G,df_extrato_zig!E:E,Conciliacao!A677,df_extrato_zig!D:D,"Antecipação")</f>
        <v/>
      </c>
      <c r="C677" s="3">
        <f>SUMIFS(df_extrato_zig!E:E,df_extrato_zig!L:L,Conciliacao!A677,df_extrato_zig!F:F,"DINHEIRO")</f>
        <v/>
      </c>
      <c r="D677" s="3">
        <f>SUMIFS(view_parc_agrup!H:H,view_parc_agrup!G:G,Conciliacao!A677)</f>
        <v/>
      </c>
      <c r="E677" s="3">
        <f>SUMIFS(df_eventos!F:F,df_eventos!H:H,Conciliacao!A677)</f>
        <v/>
      </c>
      <c r="F677" s="3">
        <f>SUMIFS(df_mutuos!M:M,df_mutuos!B:B,Conciliacao!A677)</f>
        <v/>
      </c>
      <c r="G677" s="6">
        <f>SUMIFS(df_bloqueios_judiciais!G:G,df_bloqueios_judiciais!D:D,Conciliacao!A677,df_bloqueios_judiciais!G:G,"&gt;0")</f>
        <v/>
      </c>
      <c r="H677" s="7">
        <f>SUMIFS(df_extratos!I:I,df_extratos!F:F,Conciliacao!BE677,df_extratos!G:G,"CREDITO")+SUMIFS(df_extratos!I:I,df_extratos!F:F,Conciliacao!A677,df_extratos!G:G,"CREDITO")+SUMIFS(df_extratos!I:I,df_extratos!F:F,Conciliacao!BF677,df_extratos!G:G,"CREDITO")+SUMIFS(df_extratos!I:I,df_extratos!F:F,Conciliacao!BG677,df_extratos!G:G,"CREDITO")+SUMIFS(df_extratos!I:I,df_extratos!F:F,Conciliacao!BH677,df_extratos!G:G,"CREDITO")</f>
        <v/>
      </c>
      <c r="I677" s="9">
        <f>H677-SUM(B677:G677)</f>
        <v/>
      </c>
      <c r="J677" s="4">
        <f>SUMIFS(df_blueme_sem_parcelamento!E:E,df_blueme_sem_parcelamento!H:H,Conciliacao!A677)*(-1)</f>
        <v/>
      </c>
      <c r="K677" s="4">
        <f>SUMIFS(df_blueme_com_parcelamento!J:J,df_blueme_com_parcelamento!M:M,Conciliacao!A677)*(-1)</f>
        <v/>
      </c>
      <c r="L677" s="4">
        <f>SUMIFS(df_mutuos!N:N,df_mutuos!B:B,Conciliacao!A677)*(-1)</f>
        <v/>
      </c>
      <c r="M677" s="8">
        <f>SUMIFS(df_bloqueios_judiciais!G:G,df_bloqueios_judiciais!D:D,Conciliacao!A677,df_bloqueios_judiciais!G:G,"&lt;0")</f>
        <v/>
      </c>
      <c r="N677" s="10">
        <f>SUMIFS(df_extratos!I:I,df_extratos!F:F,Conciliacao!BE677,df_extratos!G:G,"DEBITO")+SUMIFS(df_extratos!I:I,df_extratos!F:F,Conciliacao!A677,df_extratos!G:G,"DEBITO")+SUMIFS(df_extratos!I:I,df_extratos!F:F,Conciliacao!BF677,df_extratos!G:G,"DEBITO")+SUMIFS(df_extratos!I:I,df_extratos!F:F,Conciliacao!BG677,df_extratos!G:G,"DEBITO")+SUMIFS(df_extratos!I:I,df_extratos!F:F,Conciliacao!BH677,df_extratos!G:G,"DEBITO")</f>
        <v/>
      </c>
      <c r="O677" s="11">
        <f>N677-SUM(J677:M677)</f>
        <v/>
      </c>
      <c r="P677" s="25">
        <f>SUMIFS(df_ajustes_conciliaco!D:D,df_ajustes_conciliaco!C:C,Conciliacao!A677)</f>
        <v/>
      </c>
      <c r="Q677" s="22">
        <f>O677+I677-P677</f>
        <v/>
      </c>
      <c r="BE677" s="20" t="n">
        <v>46333.5</v>
      </c>
      <c r="BF677" s="20" t="n">
        <v>46333.125</v>
      </c>
      <c r="BG677" s="20" t="n">
        <v>46333.5416666088</v>
      </c>
      <c r="BH677" s="20" t="n">
        <v>46333.625</v>
      </c>
    </row>
    <row r="678">
      <c r="A678" s="5">
        <f>A677+1</f>
        <v/>
      </c>
      <c r="B678" s="3">
        <f>-SUMIFS(df_extrato_zig!G:G,df_extrato_zig!E:E,Conciliacao!A678,df_extrato_zig!D:D,"Saque")-SUMIFS(df_extrato_zig!G:G,df_extrato_zig!E:E,Conciliacao!A678,df_extrato_zig!D:D,"Antecipação")</f>
        <v/>
      </c>
      <c r="C678" s="3">
        <f>SUMIFS(df_extrato_zig!E:E,df_extrato_zig!L:L,Conciliacao!A678,df_extrato_zig!F:F,"DINHEIRO")</f>
        <v/>
      </c>
      <c r="D678" s="3">
        <f>SUMIFS(view_parc_agrup!H:H,view_parc_agrup!G:G,Conciliacao!A678)</f>
        <v/>
      </c>
      <c r="E678" s="3">
        <f>SUMIFS(df_eventos!F:F,df_eventos!H:H,Conciliacao!A678)</f>
        <v/>
      </c>
      <c r="F678" s="3">
        <f>SUMIFS(df_mutuos!M:M,df_mutuos!B:B,Conciliacao!A678)</f>
        <v/>
      </c>
      <c r="G678" s="6">
        <f>SUMIFS(df_bloqueios_judiciais!G:G,df_bloqueios_judiciais!D:D,Conciliacao!A678,df_bloqueios_judiciais!G:G,"&gt;0")</f>
        <v/>
      </c>
      <c r="H678" s="7">
        <f>SUMIFS(df_extratos!I:I,df_extratos!F:F,Conciliacao!BE678,df_extratos!G:G,"CREDITO")+SUMIFS(df_extratos!I:I,df_extratos!F:F,Conciliacao!A678,df_extratos!G:G,"CREDITO")+SUMIFS(df_extratos!I:I,df_extratos!F:F,Conciliacao!BF678,df_extratos!G:G,"CREDITO")+SUMIFS(df_extratos!I:I,df_extratos!F:F,Conciliacao!BG678,df_extratos!G:G,"CREDITO")+SUMIFS(df_extratos!I:I,df_extratos!F:F,Conciliacao!BH678,df_extratos!G:G,"CREDITO")</f>
        <v/>
      </c>
      <c r="I678" s="9">
        <f>H678-SUM(B678:G678)</f>
        <v/>
      </c>
      <c r="J678" s="4">
        <f>SUMIFS(df_blueme_sem_parcelamento!E:E,df_blueme_sem_parcelamento!H:H,Conciliacao!A678)*(-1)</f>
        <v/>
      </c>
      <c r="K678" s="4">
        <f>SUMIFS(df_blueme_com_parcelamento!J:J,df_blueme_com_parcelamento!M:M,Conciliacao!A678)*(-1)</f>
        <v/>
      </c>
      <c r="L678" s="4">
        <f>SUMIFS(df_mutuos!N:N,df_mutuos!B:B,Conciliacao!A678)*(-1)</f>
        <v/>
      </c>
      <c r="M678" s="8">
        <f>SUMIFS(df_bloqueios_judiciais!G:G,df_bloqueios_judiciais!D:D,Conciliacao!A678,df_bloqueios_judiciais!G:G,"&lt;0")</f>
        <v/>
      </c>
      <c r="N678" s="10">
        <f>SUMIFS(df_extratos!I:I,df_extratos!F:F,Conciliacao!BE678,df_extratos!G:G,"DEBITO")+SUMIFS(df_extratos!I:I,df_extratos!F:F,Conciliacao!A678,df_extratos!G:G,"DEBITO")+SUMIFS(df_extratos!I:I,df_extratos!F:F,Conciliacao!BF678,df_extratos!G:G,"DEBITO")+SUMIFS(df_extratos!I:I,df_extratos!F:F,Conciliacao!BG678,df_extratos!G:G,"DEBITO")+SUMIFS(df_extratos!I:I,df_extratos!F:F,Conciliacao!BH678,df_extratos!G:G,"DEBITO")</f>
        <v/>
      </c>
      <c r="O678" s="11">
        <f>N678-SUM(J678:M678)</f>
        <v/>
      </c>
      <c r="P678" s="25">
        <f>SUMIFS(df_ajustes_conciliaco!D:D,df_ajustes_conciliaco!C:C,Conciliacao!A678)</f>
        <v/>
      </c>
      <c r="Q678" s="22">
        <f>O678+I678-P678</f>
        <v/>
      </c>
      <c r="BE678" s="20" t="n">
        <v>46334.5</v>
      </c>
      <c r="BF678" s="20" t="n">
        <v>46334.125</v>
      </c>
      <c r="BG678" s="20" t="n">
        <v>46334.5416666088</v>
      </c>
      <c r="BH678" s="20" t="n">
        <v>46334.625</v>
      </c>
    </row>
    <row r="679">
      <c r="A679" s="5">
        <f>A678+1</f>
        <v/>
      </c>
      <c r="B679" s="3">
        <f>-SUMIFS(df_extrato_zig!G:G,df_extrato_zig!E:E,Conciliacao!A679,df_extrato_zig!D:D,"Saque")-SUMIFS(df_extrato_zig!G:G,df_extrato_zig!E:E,Conciliacao!A679,df_extrato_zig!D:D,"Antecipação")</f>
        <v/>
      </c>
      <c r="C679" s="3">
        <f>SUMIFS(df_extrato_zig!E:E,df_extrato_zig!L:L,Conciliacao!A679,df_extrato_zig!F:F,"DINHEIRO")</f>
        <v/>
      </c>
      <c r="D679" s="3">
        <f>SUMIFS(view_parc_agrup!H:H,view_parc_agrup!G:G,Conciliacao!A679)</f>
        <v/>
      </c>
      <c r="E679" s="3">
        <f>SUMIFS(df_eventos!F:F,df_eventos!H:H,Conciliacao!A679)</f>
        <v/>
      </c>
      <c r="F679" s="3">
        <f>SUMIFS(df_mutuos!M:M,df_mutuos!B:B,Conciliacao!A679)</f>
        <v/>
      </c>
      <c r="G679" s="6">
        <f>SUMIFS(df_bloqueios_judiciais!G:G,df_bloqueios_judiciais!D:D,Conciliacao!A679,df_bloqueios_judiciais!G:G,"&gt;0")</f>
        <v/>
      </c>
      <c r="H679" s="7">
        <f>SUMIFS(df_extratos!I:I,df_extratos!F:F,Conciliacao!BE679,df_extratos!G:G,"CREDITO")+SUMIFS(df_extratos!I:I,df_extratos!F:F,Conciliacao!A679,df_extratos!G:G,"CREDITO")+SUMIFS(df_extratos!I:I,df_extratos!F:F,Conciliacao!BF679,df_extratos!G:G,"CREDITO")+SUMIFS(df_extratos!I:I,df_extratos!F:F,Conciliacao!BG679,df_extratos!G:G,"CREDITO")+SUMIFS(df_extratos!I:I,df_extratos!F:F,Conciliacao!BH679,df_extratos!G:G,"CREDITO")</f>
        <v/>
      </c>
      <c r="I679" s="9">
        <f>H679-SUM(B679:G679)</f>
        <v/>
      </c>
      <c r="J679" s="4">
        <f>SUMIFS(df_blueme_sem_parcelamento!E:E,df_blueme_sem_parcelamento!H:H,Conciliacao!A679)*(-1)</f>
        <v/>
      </c>
      <c r="K679" s="4">
        <f>SUMIFS(df_blueme_com_parcelamento!J:J,df_blueme_com_parcelamento!M:M,Conciliacao!A679)*(-1)</f>
        <v/>
      </c>
      <c r="L679" s="4">
        <f>SUMIFS(df_mutuos!N:N,df_mutuos!B:B,Conciliacao!A679)*(-1)</f>
        <v/>
      </c>
      <c r="M679" s="8">
        <f>SUMIFS(df_bloqueios_judiciais!G:G,df_bloqueios_judiciais!D:D,Conciliacao!A679,df_bloqueios_judiciais!G:G,"&lt;0")</f>
        <v/>
      </c>
      <c r="N679" s="10">
        <f>SUMIFS(df_extratos!I:I,df_extratos!F:F,Conciliacao!BE679,df_extratos!G:G,"DEBITO")+SUMIFS(df_extratos!I:I,df_extratos!F:F,Conciliacao!A679,df_extratos!G:G,"DEBITO")+SUMIFS(df_extratos!I:I,df_extratos!F:F,Conciliacao!BF679,df_extratos!G:G,"DEBITO")+SUMIFS(df_extratos!I:I,df_extratos!F:F,Conciliacao!BG679,df_extratos!G:G,"DEBITO")+SUMIFS(df_extratos!I:I,df_extratos!F:F,Conciliacao!BH679,df_extratos!G:G,"DEBITO")</f>
        <v/>
      </c>
      <c r="O679" s="11">
        <f>N679-SUM(J679:M679)</f>
        <v/>
      </c>
      <c r="P679" s="25">
        <f>SUMIFS(df_ajustes_conciliaco!D:D,df_ajustes_conciliaco!C:C,Conciliacao!A679)</f>
        <v/>
      </c>
      <c r="Q679" s="22">
        <f>O679+I679-P679</f>
        <v/>
      </c>
      <c r="BE679" s="20" t="n">
        <v>46335.5</v>
      </c>
      <c r="BF679" s="20" t="n">
        <v>46335.125</v>
      </c>
      <c r="BG679" s="20" t="n">
        <v>46335.5416666088</v>
      </c>
      <c r="BH679" s="20" t="n">
        <v>46335.625</v>
      </c>
    </row>
    <row r="680">
      <c r="A680" s="5">
        <f>A679+1</f>
        <v/>
      </c>
      <c r="B680" s="3">
        <f>-SUMIFS(df_extrato_zig!G:G,df_extrato_zig!E:E,Conciliacao!A680,df_extrato_zig!D:D,"Saque")-SUMIFS(df_extrato_zig!G:G,df_extrato_zig!E:E,Conciliacao!A680,df_extrato_zig!D:D,"Antecipação")</f>
        <v/>
      </c>
      <c r="C680" s="3">
        <f>SUMIFS(df_extrato_zig!E:E,df_extrato_zig!L:L,Conciliacao!A680,df_extrato_zig!F:F,"DINHEIRO")</f>
        <v/>
      </c>
      <c r="D680" s="3">
        <f>SUMIFS(view_parc_agrup!H:H,view_parc_agrup!G:G,Conciliacao!A680)</f>
        <v/>
      </c>
      <c r="E680" s="3">
        <f>SUMIFS(df_eventos!F:F,df_eventos!H:H,Conciliacao!A680)</f>
        <v/>
      </c>
      <c r="F680" s="3">
        <f>SUMIFS(df_mutuos!M:M,df_mutuos!B:B,Conciliacao!A680)</f>
        <v/>
      </c>
      <c r="G680" s="6">
        <f>SUMIFS(df_bloqueios_judiciais!G:G,df_bloqueios_judiciais!D:D,Conciliacao!A680,df_bloqueios_judiciais!G:G,"&gt;0")</f>
        <v/>
      </c>
      <c r="H680" s="7">
        <f>SUMIFS(df_extratos!I:I,df_extratos!F:F,Conciliacao!BE680,df_extratos!G:G,"CREDITO")+SUMIFS(df_extratos!I:I,df_extratos!F:F,Conciliacao!A680,df_extratos!G:G,"CREDITO")+SUMIFS(df_extratos!I:I,df_extratos!F:F,Conciliacao!BF680,df_extratos!G:G,"CREDITO")+SUMIFS(df_extratos!I:I,df_extratos!F:F,Conciliacao!BG680,df_extratos!G:G,"CREDITO")+SUMIFS(df_extratos!I:I,df_extratos!F:F,Conciliacao!BH680,df_extratos!G:G,"CREDITO")</f>
        <v/>
      </c>
      <c r="I680" s="9">
        <f>H680-SUM(B680:G680)</f>
        <v/>
      </c>
      <c r="J680" s="4">
        <f>SUMIFS(df_blueme_sem_parcelamento!E:E,df_blueme_sem_parcelamento!H:H,Conciliacao!A680)*(-1)</f>
        <v/>
      </c>
      <c r="K680" s="4">
        <f>SUMIFS(df_blueme_com_parcelamento!J:J,df_blueme_com_parcelamento!M:M,Conciliacao!A680)*(-1)</f>
        <v/>
      </c>
      <c r="L680" s="4">
        <f>SUMIFS(df_mutuos!N:N,df_mutuos!B:B,Conciliacao!A680)*(-1)</f>
        <v/>
      </c>
      <c r="M680" s="8">
        <f>SUMIFS(df_bloqueios_judiciais!G:G,df_bloqueios_judiciais!D:D,Conciliacao!A680,df_bloqueios_judiciais!G:G,"&lt;0")</f>
        <v/>
      </c>
      <c r="N680" s="10">
        <f>SUMIFS(df_extratos!I:I,df_extratos!F:F,Conciliacao!BE680,df_extratos!G:G,"DEBITO")+SUMIFS(df_extratos!I:I,df_extratos!F:F,Conciliacao!A680,df_extratos!G:G,"DEBITO")+SUMIFS(df_extratos!I:I,df_extratos!F:F,Conciliacao!BF680,df_extratos!G:G,"DEBITO")+SUMIFS(df_extratos!I:I,df_extratos!F:F,Conciliacao!BG680,df_extratos!G:G,"DEBITO")+SUMIFS(df_extratos!I:I,df_extratos!F:F,Conciliacao!BH680,df_extratos!G:G,"DEBITO")</f>
        <v/>
      </c>
      <c r="O680" s="11">
        <f>N680-SUM(J680:M680)</f>
        <v/>
      </c>
      <c r="P680" s="25">
        <f>SUMIFS(df_ajustes_conciliaco!D:D,df_ajustes_conciliaco!C:C,Conciliacao!A680)</f>
        <v/>
      </c>
      <c r="Q680" s="22">
        <f>O680+I680-P680</f>
        <v/>
      </c>
      <c r="BE680" s="20" t="n">
        <v>46336.5</v>
      </c>
      <c r="BF680" s="20" t="n">
        <v>46336.125</v>
      </c>
      <c r="BG680" s="20" t="n">
        <v>46336.5416666088</v>
      </c>
      <c r="BH680" s="20" t="n">
        <v>46336.625</v>
      </c>
    </row>
    <row r="681">
      <c r="A681" s="5">
        <f>A680+1</f>
        <v/>
      </c>
      <c r="B681" s="3">
        <f>-SUMIFS(df_extrato_zig!G:G,df_extrato_zig!E:E,Conciliacao!A681,df_extrato_zig!D:D,"Saque")-SUMIFS(df_extrato_zig!G:G,df_extrato_zig!E:E,Conciliacao!A681,df_extrato_zig!D:D,"Antecipação")</f>
        <v/>
      </c>
      <c r="C681" s="3">
        <f>SUMIFS(df_extrato_zig!E:E,df_extrato_zig!L:L,Conciliacao!A681,df_extrato_zig!F:F,"DINHEIRO")</f>
        <v/>
      </c>
      <c r="D681" s="3">
        <f>SUMIFS(view_parc_agrup!H:H,view_parc_agrup!G:G,Conciliacao!A681)</f>
        <v/>
      </c>
      <c r="E681" s="3">
        <f>SUMIFS(df_eventos!F:F,df_eventos!H:H,Conciliacao!A681)</f>
        <v/>
      </c>
      <c r="F681" s="3">
        <f>SUMIFS(df_mutuos!M:M,df_mutuos!B:B,Conciliacao!A681)</f>
        <v/>
      </c>
      <c r="G681" s="6">
        <f>SUMIFS(df_bloqueios_judiciais!G:G,df_bloqueios_judiciais!D:D,Conciliacao!A681,df_bloqueios_judiciais!G:G,"&gt;0")</f>
        <v/>
      </c>
      <c r="H681" s="7">
        <f>SUMIFS(df_extratos!I:I,df_extratos!F:F,Conciliacao!BE681,df_extratos!G:G,"CREDITO")+SUMIFS(df_extratos!I:I,df_extratos!F:F,Conciliacao!A681,df_extratos!G:G,"CREDITO")+SUMIFS(df_extratos!I:I,df_extratos!F:F,Conciliacao!BF681,df_extratos!G:G,"CREDITO")+SUMIFS(df_extratos!I:I,df_extratos!F:F,Conciliacao!BG681,df_extratos!G:G,"CREDITO")+SUMIFS(df_extratos!I:I,df_extratos!F:F,Conciliacao!BH681,df_extratos!G:G,"CREDITO")</f>
        <v/>
      </c>
      <c r="I681" s="9">
        <f>H681-SUM(B681:G681)</f>
        <v/>
      </c>
      <c r="J681" s="4">
        <f>SUMIFS(df_blueme_sem_parcelamento!E:E,df_blueme_sem_parcelamento!H:H,Conciliacao!A681)*(-1)</f>
        <v/>
      </c>
      <c r="K681" s="4">
        <f>SUMIFS(df_blueme_com_parcelamento!J:J,df_blueme_com_parcelamento!M:M,Conciliacao!A681)*(-1)</f>
        <v/>
      </c>
      <c r="L681" s="4">
        <f>SUMIFS(df_mutuos!N:N,df_mutuos!B:B,Conciliacao!A681)*(-1)</f>
        <v/>
      </c>
      <c r="M681" s="8">
        <f>SUMIFS(df_bloqueios_judiciais!G:G,df_bloqueios_judiciais!D:D,Conciliacao!A681,df_bloqueios_judiciais!G:G,"&lt;0")</f>
        <v/>
      </c>
      <c r="N681" s="10">
        <f>SUMIFS(df_extratos!I:I,df_extratos!F:F,Conciliacao!BE681,df_extratos!G:G,"DEBITO")+SUMIFS(df_extratos!I:I,df_extratos!F:F,Conciliacao!A681,df_extratos!G:G,"DEBITO")+SUMIFS(df_extratos!I:I,df_extratos!F:F,Conciliacao!BF681,df_extratos!G:G,"DEBITO")+SUMIFS(df_extratos!I:I,df_extratos!F:F,Conciliacao!BG681,df_extratos!G:G,"DEBITO")+SUMIFS(df_extratos!I:I,df_extratos!F:F,Conciliacao!BH681,df_extratos!G:G,"DEBITO")</f>
        <v/>
      </c>
      <c r="O681" s="11">
        <f>N681-SUM(J681:M681)</f>
        <v/>
      </c>
      <c r="P681" s="25">
        <f>SUMIFS(df_ajustes_conciliaco!D:D,df_ajustes_conciliaco!C:C,Conciliacao!A681)</f>
        <v/>
      </c>
      <c r="Q681" s="22">
        <f>O681+I681-P681</f>
        <v/>
      </c>
      <c r="BE681" s="20" t="n">
        <v>46337.5</v>
      </c>
      <c r="BF681" s="20" t="n">
        <v>46337.125</v>
      </c>
      <c r="BG681" s="20" t="n">
        <v>46337.5416666088</v>
      </c>
      <c r="BH681" s="20" t="n">
        <v>46337.625</v>
      </c>
    </row>
    <row r="682">
      <c r="A682" s="5">
        <f>A681+1</f>
        <v/>
      </c>
      <c r="B682" s="3">
        <f>-SUMIFS(df_extrato_zig!G:G,df_extrato_zig!E:E,Conciliacao!A682,df_extrato_zig!D:D,"Saque")-SUMIFS(df_extrato_zig!G:G,df_extrato_zig!E:E,Conciliacao!A682,df_extrato_zig!D:D,"Antecipação")</f>
        <v/>
      </c>
      <c r="C682" s="3">
        <f>SUMIFS(df_extrato_zig!E:E,df_extrato_zig!L:L,Conciliacao!A682,df_extrato_zig!F:F,"DINHEIRO")</f>
        <v/>
      </c>
      <c r="D682" s="3">
        <f>SUMIFS(view_parc_agrup!H:H,view_parc_agrup!G:G,Conciliacao!A682)</f>
        <v/>
      </c>
      <c r="E682" s="3">
        <f>SUMIFS(df_eventos!F:F,df_eventos!H:H,Conciliacao!A682)</f>
        <v/>
      </c>
      <c r="F682" s="3">
        <f>SUMIFS(df_mutuos!M:M,df_mutuos!B:B,Conciliacao!A682)</f>
        <v/>
      </c>
      <c r="G682" s="6">
        <f>SUMIFS(df_bloqueios_judiciais!G:G,df_bloqueios_judiciais!D:D,Conciliacao!A682,df_bloqueios_judiciais!G:G,"&gt;0")</f>
        <v/>
      </c>
      <c r="H682" s="7">
        <f>SUMIFS(df_extratos!I:I,df_extratos!F:F,Conciliacao!BE682,df_extratos!G:G,"CREDITO")+SUMIFS(df_extratos!I:I,df_extratos!F:F,Conciliacao!A682,df_extratos!G:G,"CREDITO")+SUMIFS(df_extratos!I:I,df_extratos!F:F,Conciliacao!BF682,df_extratos!G:G,"CREDITO")+SUMIFS(df_extratos!I:I,df_extratos!F:F,Conciliacao!BG682,df_extratos!G:G,"CREDITO")+SUMIFS(df_extratos!I:I,df_extratos!F:F,Conciliacao!BH682,df_extratos!G:G,"CREDITO")</f>
        <v/>
      </c>
      <c r="I682" s="9">
        <f>H682-SUM(B682:G682)</f>
        <v/>
      </c>
      <c r="J682" s="4">
        <f>SUMIFS(df_blueme_sem_parcelamento!E:E,df_blueme_sem_parcelamento!H:H,Conciliacao!A682)*(-1)</f>
        <v/>
      </c>
      <c r="K682" s="4">
        <f>SUMIFS(df_blueme_com_parcelamento!J:J,df_blueme_com_parcelamento!M:M,Conciliacao!A682)*(-1)</f>
        <v/>
      </c>
      <c r="L682" s="4">
        <f>SUMIFS(df_mutuos!N:N,df_mutuos!B:B,Conciliacao!A682)*(-1)</f>
        <v/>
      </c>
      <c r="M682" s="8">
        <f>SUMIFS(df_bloqueios_judiciais!G:G,df_bloqueios_judiciais!D:D,Conciliacao!A682,df_bloqueios_judiciais!G:G,"&lt;0")</f>
        <v/>
      </c>
      <c r="N682" s="10">
        <f>SUMIFS(df_extratos!I:I,df_extratos!F:F,Conciliacao!BE682,df_extratos!G:G,"DEBITO")+SUMIFS(df_extratos!I:I,df_extratos!F:F,Conciliacao!A682,df_extratos!G:G,"DEBITO")+SUMIFS(df_extratos!I:I,df_extratos!F:F,Conciliacao!BF682,df_extratos!G:G,"DEBITO")+SUMIFS(df_extratos!I:I,df_extratos!F:F,Conciliacao!BG682,df_extratos!G:G,"DEBITO")+SUMIFS(df_extratos!I:I,df_extratos!F:F,Conciliacao!BH682,df_extratos!G:G,"DEBITO")</f>
        <v/>
      </c>
      <c r="O682" s="11">
        <f>N682-SUM(J682:M682)</f>
        <v/>
      </c>
      <c r="P682" s="25">
        <f>SUMIFS(df_ajustes_conciliaco!D:D,df_ajustes_conciliaco!C:C,Conciliacao!A682)</f>
        <v/>
      </c>
      <c r="Q682" s="22">
        <f>O682+I682-P682</f>
        <v/>
      </c>
      <c r="BE682" s="20" t="n">
        <v>46338.5</v>
      </c>
      <c r="BF682" s="20" t="n">
        <v>46338.125</v>
      </c>
      <c r="BG682" s="20" t="n">
        <v>46338.5416666088</v>
      </c>
      <c r="BH682" s="20" t="n">
        <v>46338.625</v>
      </c>
    </row>
    <row r="683">
      <c r="A683" s="5">
        <f>A682+1</f>
        <v/>
      </c>
      <c r="B683" s="3">
        <f>-SUMIFS(df_extrato_zig!G:G,df_extrato_zig!E:E,Conciliacao!A683,df_extrato_zig!D:D,"Saque")-SUMIFS(df_extrato_zig!G:G,df_extrato_zig!E:E,Conciliacao!A683,df_extrato_zig!D:D,"Antecipação")</f>
        <v/>
      </c>
      <c r="C683" s="3">
        <f>SUMIFS(df_extrato_zig!E:E,df_extrato_zig!L:L,Conciliacao!A683,df_extrato_zig!F:F,"DINHEIRO")</f>
        <v/>
      </c>
      <c r="D683" s="3">
        <f>SUMIFS(view_parc_agrup!H:H,view_parc_agrup!G:G,Conciliacao!A683)</f>
        <v/>
      </c>
      <c r="E683" s="3">
        <f>SUMIFS(df_eventos!F:F,df_eventos!H:H,Conciliacao!A683)</f>
        <v/>
      </c>
      <c r="F683" s="3">
        <f>SUMIFS(df_mutuos!M:M,df_mutuos!B:B,Conciliacao!A683)</f>
        <v/>
      </c>
      <c r="G683" s="6">
        <f>SUMIFS(df_bloqueios_judiciais!G:G,df_bloqueios_judiciais!D:D,Conciliacao!A683,df_bloqueios_judiciais!G:G,"&gt;0")</f>
        <v/>
      </c>
      <c r="H683" s="7">
        <f>SUMIFS(df_extratos!I:I,df_extratos!F:F,Conciliacao!BE683,df_extratos!G:G,"CREDITO")+SUMIFS(df_extratos!I:I,df_extratos!F:F,Conciliacao!A683,df_extratos!G:G,"CREDITO")+SUMIFS(df_extratos!I:I,df_extratos!F:F,Conciliacao!BF683,df_extratos!G:G,"CREDITO")+SUMIFS(df_extratos!I:I,df_extratos!F:F,Conciliacao!BG683,df_extratos!G:G,"CREDITO")+SUMIFS(df_extratos!I:I,df_extratos!F:F,Conciliacao!BH683,df_extratos!G:G,"CREDITO")</f>
        <v/>
      </c>
      <c r="I683" s="9">
        <f>H683-SUM(B683:G683)</f>
        <v/>
      </c>
      <c r="J683" s="4">
        <f>SUMIFS(df_blueme_sem_parcelamento!E:E,df_blueme_sem_parcelamento!H:H,Conciliacao!A683)*(-1)</f>
        <v/>
      </c>
      <c r="K683" s="4">
        <f>SUMIFS(df_blueme_com_parcelamento!J:J,df_blueme_com_parcelamento!M:M,Conciliacao!A683)*(-1)</f>
        <v/>
      </c>
      <c r="L683" s="4">
        <f>SUMIFS(df_mutuos!N:N,df_mutuos!B:B,Conciliacao!A683)*(-1)</f>
        <v/>
      </c>
      <c r="M683" s="8">
        <f>SUMIFS(df_bloqueios_judiciais!G:G,df_bloqueios_judiciais!D:D,Conciliacao!A683,df_bloqueios_judiciais!G:G,"&lt;0")</f>
        <v/>
      </c>
      <c r="N683" s="10">
        <f>SUMIFS(df_extratos!I:I,df_extratos!F:F,Conciliacao!BE683,df_extratos!G:G,"DEBITO")+SUMIFS(df_extratos!I:I,df_extratos!F:F,Conciliacao!A683,df_extratos!G:G,"DEBITO")+SUMIFS(df_extratos!I:I,df_extratos!F:F,Conciliacao!BF683,df_extratos!G:G,"DEBITO")+SUMIFS(df_extratos!I:I,df_extratos!F:F,Conciliacao!BG683,df_extratos!G:G,"DEBITO")+SUMIFS(df_extratos!I:I,df_extratos!F:F,Conciliacao!BH683,df_extratos!G:G,"DEBITO")</f>
        <v/>
      </c>
      <c r="O683" s="11">
        <f>N683-SUM(J683:M683)</f>
        <v/>
      </c>
      <c r="P683" s="25">
        <f>SUMIFS(df_ajustes_conciliaco!D:D,df_ajustes_conciliaco!C:C,Conciliacao!A683)</f>
        <v/>
      </c>
      <c r="Q683" s="22">
        <f>O683+I683-P683</f>
        <v/>
      </c>
      <c r="BE683" s="20" t="n">
        <v>46339.5</v>
      </c>
      <c r="BF683" s="20" t="n">
        <v>46339.125</v>
      </c>
      <c r="BG683" s="20" t="n">
        <v>46339.5416666088</v>
      </c>
      <c r="BH683" s="20" t="n">
        <v>46339.625</v>
      </c>
    </row>
    <row r="684">
      <c r="A684" s="5">
        <f>A683+1</f>
        <v/>
      </c>
      <c r="B684" s="3">
        <f>-SUMIFS(df_extrato_zig!G:G,df_extrato_zig!E:E,Conciliacao!A684,df_extrato_zig!D:D,"Saque")-SUMIFS(df_extrato_zig!G:G,df_extrato_zig!E:E,Conciliacao!A684,df_extrato_zig!D:D,"Antecipação")</f>
        <v/>
      </c>
      <c r="C684" s="3">
        <f>SUMIFS(df_extrato_zig!E:E,df_extrato_zig!L:L,Conciliacao!A684,df_extrato_zig!F:F,"DINHEIRO")</f>
        <v/>
      </c>
      <c r="D684" s="3">
        <f>SUMIFS(view_parc_agrup!H:H,view_parc_agrup!G:G,Conciliacao!A684)</f>
        <v/>
      </c>
      <c r="E684" s="3">
        <f>SUMIFS(df_eventos!F:F,df_eventos!H:H,Conciliacao!A684)</f>
        <v/>
      </c>
      <c r="F684" s="3">
        <f>SUMIFS(df_mutuos!M:M,df_mutuos!B:B,Conciliacao!A684)</f>
        <v/>
      </c>
      <c r="G684" s="6">
        <f>SUMIFS(df_bloqueios_judiciais!G:G,df_bloqueios_judiciais!D:D,Conciliacao!A684,df_bloqueios_judiciais!G:G,"&gt;0")</f>
        <v/>
      </c>
      <c r="H684" s="7">
        <f>SUMIFS(df_extratos!I:I,df_extratos!F:F,Conciliacao!BE684,df_extratos!G:G,"CREDITO")+SUMIFS(df_extratos!I:I,df_extratos!F:F,Conciliacao!A684,df_extratos!G:G,"CREDITO")+SUMIFS(df_extratos!I:I,df_extratos!F:F,Conciliacao!BF684,df_extratos!G:G,"CREDITO")+SUMIFS(df_extratos!I:I,df_extratos!F:F,Conciliacao!BG684,df_extratos!G:G,"CREDITO")+SUMIFS(df_extratos!I:I,df_extratos!F:F,Conciliacao!BH684,df_extratos!G:G,"CREDITO")</f>
        <v/>
      </c>
      <c r="I684" s="9">
        <f>H684-SUM(B684:G684)</f>
        <v/>
      </c>
      <c r="J684" s="4">
        <f>SUMIFS(df_blueme_sem_parcelamento!E:E,df_blueme_sem_parcelamento!H:H,Conciliacao!A684)*(-1)</f>
        <v/>
      </c>
      <c r="K684" s="4">
        <f>SUMIFS(df_blueme_com_parcelamento!J:J,df_blueme_com_parcelamento!M:M,Conciliacao!A684)*(-1)</f>
        <v/>
      </c>
      <c r="L684" s="4">
        <f>SUMIFS(df_mutuos!N:N,df_mutuos!B:B,Conciliacao!A684)*(-1)</f>
        <v/>
      </c>
      <c r="M684" s="8">
        <f>SUMIFS(df_bloqueios_judiciais!G:G,df_bloqueios_judiciais!D:D,Conciliacao!A684,df_bloqueios_judiciais!G:G,"&lt;0")</f>
        <v/>
      </c>
      <c r="N684" s="10">
        <f>SUMIFS(df_extratos!I:I,df_extratos!F:F,Conciliacao!BE684,df_extratos!G:G,"DEBITO")+SUMIFS(df_extratos!I:I,df_extratos!F:F,Conciliacao!A684,df_extratos!G:G,"DEBITO")+SUMIFS(df_extratos!I:I,df_extratos!F:F,Conciliacao!BF684,df_extratos!G:G,"DEBITO")+SUMIFS(df_extratos!I:I,df_extratos!F:F,Conciliacao!BG684,df_extratos!G:G,"DEBITO")+SUMIFS(df_extratos!I:I,df_extratos!F:F,Conciliacao!BH684,df_extratos!G:G,"DEBITO")</f>
        <v/>
      </c>
      <c r="O684" s="11">
        <f>N684-SUM(J684:M684)</f>
        <v/>
      </c>
      <c r="P684" s="25">
        <f>SUMIFS(df_ajustes_conciliaco!D:D,df_ajustes_conciliaco!C:C,Conciliacao!A684)</f>
        <v/>
      </c>
      <c r="Q684" s="22">
        <f>O684+I684-P684</f>
        <v/>
      </c>
      <c r="BE684" s="20" t="n">
        <v>46340.5</v>
      </c>
      <c r="BF684" s="20" t="n">
        <v>46340.125</v>
      </c>
      <c r="BG684" s="20" t="n">
        <v>46340.5416666088</v>
      </c>
      <c r="BH684" s="20" t="n">
        <v>46340.625</v>
      </c>
    </row>
    <row r="685">
      <c r="A685" s="5">
        <f>A684+1</f>
        <v/>
      </c>
      <c r="B685" s="3">
        <f>-SUMIFS(df_extrato_zig!G:G,df_extrato_zig!E:E,Conciliacao!A685,df_extrato_zig!D:D,"Saque")-SUMIFS(df_extrato_zig!G:G,df_extrato_zig!E:E,Conciliacao!A685,df_extrato_zig!D:D,"Antecipação")</f>
        <v/>
      </c>
      <c r="C685" s="3">
        <f>SUMIFS(df_extrato_zig!E:E,df_extrato_zig!L:L,Conciliacao!A685,df_extrato_zig!F:F,"DINHEIRO")</f>
        <v/>
      </c>
      <c r="D685" s="3">
        <f>SUMIFS(view_parc_agrup!H:H,view_parc_agrup!G:G,Conciliacao!A685)</f>
        <v/>
      </c>
      <c r="E685" s="3">
        <f>SUMIFS(df_eventos!F:F,df_eventos!H:H,Conciliacao!A685)</f>
        <v/>
      </c>
      <c r="F685" s="3">
        <f>SUMIFS(df_mutuos!M:M,df_mutuos!B:B,Conciliacao!A685)</f>
        <v/>
      </c>
      <c r="G685" s="6">
        <f>SUMIFS(df_bloqueios_judiciais!G:G,df_bloqueios_judiciais!D:D,Conciliacao!A685,df_bloqueios_judiciais!G:G,"&gt;0")</f>
        <v/>
      </c>
      <c r="H685" s="7">
        <f>SUMIFS(df_extratos!I:I,df_extratos!F:F,Conciliacao!BE685,df_extratos!G:G,"CREDITO")+SUMIFS(df_extratos!I:I,df_extratos!F:F,Conciliacao!A685,df_extratos!G:G,"CREDITO")+SUMIFS(df_extratos!I:I,df_extratos!F:F,Conciliacao!BF685,df_extratos!G:G,"CREDITO")+SUMIFS(df_extratos!I:I,df_extratos!F:F,Conciliacao!BG685,df_extratos!G:G,"CREDITO")+SUMIFS(df_extratos!I:I,df_extratos!F:F,Conciliacao!BH685,df_extratos!G:G,"CREDITO")</f>
        <v/>
      </c>
      <c r="I685" s="9">
        <f>H685-SUM(B685:G685)</f>
        <v/>
      </c>
      <c r="J685" s="4">
        <f>SUMIFS(df_blueme_sem_parcelamento!E:E,df_blueme_sem_parcelamento!H:H,Conciliacao!A685)*(-1)</f>
        <v/>
      </c>
      <c r="K685" s="4">
        <f>SUMIFS(df_blueme_com_parcelamento!J:J,df_blueme_com_parcelamento!M:M,Conciliacao!A685)*(-1)</f>
        <v/>
      </c>
      <c r="L685" s="4">
        <f>SUMIFS(df_mutuos!N:N,df_mutuos!B:B,Conciliacao!A685)*(-1)</f>
        <v/>
      </c>
      <c r="M685" s="8">
        <f>SUMIFS(df_bloqueios_judiciais!G:G,df_bloqueios_judiciais!D:D,Conciliacao!A685,df_bloqueios_judiciais!G:G,"&lt;0")</f>
        <v/>
      </c>
      <c r="N685" s="10">
        <f>SUMIFS(df_extratos!I:I,df_extratos!F:F,Conciliacao!BE685,df_extratos!G:G,"DEBITO")+SUMIFS(df_extratos!I:I,df_extratos!F:F,Conciliacao!A685,df_extratos!G:G,"DEBITO")+SUMIFS(df_extratos!I:I,df_extratos!F:F,Conciliacao!BF685,df_extratos!G:G,"DEBITO")+SUMIFS(df_extratos!I:I,df_extratos!F:F,Conciliacao!BG685,df_extratos!G:G,"DEBITO")+SUMIFS(df_extratos!I:I,df_extratos!F:F,Conciliacao!BH685,df_extratos!G:G,"DEBITO")</f>
        <v/>
      </c>
      <c r="O685" s="11">
        <f>N685-SUM(J685:M685)</f>
        <v/>
      </c>
      <c r="P685" s="25">
        <f>SUMIFS(df_ajustes_conciliaco!D:D,df_ajustes_conciliaco!C:C,Conciliacao!A685)</f>
        <v/>
      </c>
      <c r="Q685" s="22">
        <f>O685+I685-P685</f>
        <v/>
      </c>
      <c r="BE685" s="20" t="n">
        <v>46341.5</v>
      </c>
      <c r="BF685" s="20" t="n">
        <v>46341.125</v>
      </c>
      <c r="BG685" s="20" t="n">
        <v>46341.5416666088</v>
      </c>
      <c r="BH685" s="20" t="n">
        <v>46341.625</v>
      </c>
    </row>
    <row r="686">
      <c r="A686" s="5">
        <f>A685+1</f>
        <v/>
      </c>
      <c r="B686" s="3">
        <f>-SUMIFS(df_extrato_zig!G:G,df_extrato_zig!E:E,Conciliacao!A686,df_extrato_zig!D:D,"Saque")-SUMIFS(df_extrato_zig!G:G,df_extrato_zig!E:E,Conciliacao!A686,df_extrato_zig!D:D,"Antecipação")</f>
        <v/>
      </c>
      <c r="C686" s="3">
        <f>SUMIFS(df_extrato_zig!E:E,df_extrato_zig!L:L,Conciliacao!A686,df_extrato_zig!F:F,"DINHEIRO")</f>
        <v/>
      </c>
      <c r="D686" s="3">
        <f>SUMIFS(view_parc_agrup!H:H,view_parc_agrup!G:G,Conciliacao!A686)</f>
        <v/>
      </c>
      <c r="E686" s="3">
        <f>SUMIFS(df_eventos!F:F,df_eventos!H:H,Conciliacao!A686)</f>
        <v/>
      </c>
      <c r="F686" s="3">
        <f>SUMIFS(df_mutuos!M:M,df_mutuos!B:B,Conciliacao!A686)</f>
        <v/>
      </c>
      <c r="G686" s="6">
        <f>SUMIFS(df_bloqueios_judiciais!G:G,df_bloqueios_judiciais!D:D,Conciliacao!A686,df_bloqueios_judiciais!G:G,"&gt;0")</f>
        <v/>
      </c>
      <c r="H686" s="7">
        <f>SUMIFS(df_extratos!I:I,df_extratos!F:F,Conciliacao!BE686,df_extratos!G:G,"CREDITO")+SUMIFS(df_extratos!I:I,df_extratos!F:F,Conciliacao!A686,df_extratos!G:G,"CREDITO")+SUMIFS(df_extratos!I:I,df_extratos!F:F,Conciliacao!BF686,df_extratos!G:G,"CREDITO")+SUMIFS(df_extratos!I:I,df_extratos!F:F,Conciliacao!BG686,df_extratos!G:G,"CREDITO")+SUMIFS(df_extratos!I:I,df_extratos!F:F,Conciliacao!BH686,df_extratos!G:G,"CREDITO")</f>
        <v/>
      </c>
      <c r="I686" s="9">
        <f>H686-SUM(B686:G686)</f>
        <v/>
      </c>
      <c r="J686" s="4">
        <f>SUMIFS(df_blueme_sem_parcelamento!E:E,df_blueme_sem_parcelamento!H:H,Conciliacao!A686)*(-1)</f>
        <v/>
      </c>
      <c r="K686" s="4">
        <f>SUMIFS(df_blueme_com_parcelamento!J:J,df_blueme_com_parcelamento!M:M,Conciliacao!A686)*(-1)</f>
        <v/>
      </c>
      <c r="L686" s="4">
        <f>SUMIFS(df_mutuos!N:N,df_mutuos!B:B,Conciliacao!A686)*(-1)</f>
        <v/>
      </c>
      <c r="M686" s="8">
        <f>SUMIFS(df_bloqueios_judiciais!G:G,df_bloqueios_judiciais!D:D,Conciliacao!A686,df_bloqueios_judiciais!G:G,"&lt;0")</f>
        <v/>
      </c>
      <c r="N686" s="10">
        <f>SUMIFS(df_extratos!I:I,df_extratos!F:F,Conciliacao!BE686,df_extratos!G:G,"DEBITO")+SUMIFS(df_extratos!I:I,df_extratos!F:F,Conciliacao!A686,df_extratos!G:G,"DEBITO")+SUMIFS(df_extratos!I:I,df_extratos!F:F,Conciliacao!BF686,df_extratos!G:G,"DEBITO")+SUMIFS(df_extratos!I:I,df_extratos!F:F,Conciliacao!BG686,df_extratos!G:G,"DEBITO")+SUMIFS(df_extratos!I:I,df_extratos!F:F,Conciliacao!BH686,df_extratos!G:G,"DEBITO")</f>
        <v/>
      </c>
      <c r="O686" s="11">
        <f>N686-SUM(J686:M686)</f>
        <v/>
      </c>
      <c r="P686" s="25">
        <f>SUMIFS(df_ajustes_conciliaco!D:D,df_ajustes_conciliaco!C:C,Conciliacao!A686)</f>
        <v/>
      </c>
      <c r="Q686" s="22">
        <f>O686+I686-P686</f>
        <v/>
      </c>
      <c r="BE686" s="20" t="n">
        <v>46342.5</v>
      </c>
      <c r="BF686" s="20" t="n">
        <v>46342.125</v>
      </c>
      <c r="BG686" s="20" t="n">
        <v>46342.5416666088</v>
      </c>
      <c r="BH686" s="20" t="n">
        <v>46342.625</v>
      </c>
    </row>
    <row r="687">
      <c r="A687" s="5">
        <f>A686+1</f>
        <v/>
      </c>
      <c r="B687" s="3">
        <f>-SUMIFS(df_extrato_zig!G:G,df_extrato_zig!E:E,Conciliacao!A687,df_extrato_zig!D:D,"Saque")-SUMIFS(df_extrato_zig!G:G,df_extrato_zig!E:E,Conciliacao!A687,df_extrato_zig!D:D,"Antecipação")</f>
        <v/>
      </c>
      <c r="C687" s="3">
        <f>SUMIFS(df_extrato_zig!E:E,df_extrato_zig!L:L,Conciliacao!A687,df_extrato_zig!F:F,"DINHEIRO")</f>
        <v/>
      </c>
      <c r="D687" s="3">
        <f>SUMIFS(view_parc_agrup!H:H,view_parc_agrup!G:G,Conciliacao!A687)</f>
        <v/>
      </c>
      <c r="E687" s="3">
        <f>SUMIFS(df_eventos!F:F,df_eventos!H:H,Conciliacao!A687)</f>
        <v/>
      </c>
      <c r="F687" s="3">
        <f>SUMIFS(df_mutuos!M:M,df_mutuos!B:B,Conciliacao!A687)</f>
        <v/>
      </c>
      <c r="G687" s="6">
        <f>SUMIFS(df_bloqueios_judiciais!G:G,df_bloqueios_judiciais!D:D,Conciliacao!A687,df_bloqueios_judiciais!G:G,"&gt;0")</f>
        <v/>
      </c>
      <c r="H687" s="7">
        <f>SUMIFS(df_extratos!I:I,df_extratos!F:F,Conciliacao!BE687,df_extratos!G:G,"CREDITO")+SUMIFS(df_extratos!I:I,df_extratos!F:F,Conciliacao!A687,df_extratos!G:G,"CREDITO")+SUMIFS(df_extratos!I:I,df_extratos!F:F,Conciliacao!BF687,df_extratos!G:G,"CREDITO")+SUMIFS(df_extratos!I:I,df_extratos!F:F,Conciliacao!BG687,df_extratos!G:G,"CREDITO")+SUMIFS(df_extratos!I:I,df_extratos!F:F,Conciliacao!BH687,df_extratos!G:G,"CREDITO")</f>
        <v/>
      </c>
      <c r="I687" s="9">
        <f>H687-SUM(B687:G687)</f>
        <v/>
      </c>
      <c r="J687" s="4">
        <f>SUMIFS(df_blueme_sem_parcelamento!E:E,df_blueme_sem_parcelamento!H:H,Conciliacao!A687)*(-1)</f>
        <v/>
      </c>
      <c r="K687" s="4">
        <f>SUMIFS(df_blueme_com_parcelamento!J:J,df_blueme_com_parcelamento!M:M,Conciliacao!A687)*(-1)</f>
        <v/>
      </c>
      <c r="L687" s="4">
        <f>SUMIFS(df_mutuos!N:N,df_mutuos!B:B,Conciliacao!A687)*(-1)</f>
        <v/>
      </c>
      <c r="M687" s="8">
        <f>SUMIFS(df_bloqueios_judiciais!G:G,df_bloqueios_judiciais!D:D,Conciliacao!A687,df_bloqueios_judiciais!G:G,"&lt;0")</f>
        <v/>
      </c>
      <c r="N687" s="10">
        <f>SUMIFS(df_extratos!I:I,df_extratos!F:F,Conciliacao!BE687,df_extratos!G:G,"DEBITO")+SUMIFS(df_extratos!I:I,df_extratos!F:F,Conciliacao!A687,df_extratos!G:G,"DEBITO")+SUMIFS(df_extratos!I:I,df_extratos!F:F,Conciliacao!BF687,df_extratos!G:G,"DEBITO")+SUMIFS(df_extratos!I:I,df_extratos!F:F,Conciliacao!BG687,df_extratos!G:G,"DEBITO")+SUMIFS(df_extratos!I:I,df_extratos!F:F,Conciliacao!BH687,df_extratos!G:G,"DEBITO")</f>
        <v/>
      </c>
      <c r="O687" s="11">
        <f>N687-SUM(J687:M687)</f>
        <v/>
      </c>
      <c r="P687" s="25">
        <f>SUMIFS(df_ajustes_conciliaco!D:D,df_ajustes_conciliaco!C:C,Conciliacao!A687)</f>
        <v/>
      </c>
      <c r="Q687" s="22">
        <f>O687+I687-P687</f>
        <v/>
      </c>
      <c r="BE687" s="20" t="n">
        <v>46343.5</v>
      </c>
      <c r="BF687" s="20" t="n">
        <v>46343.125</v>
      </c>
      <c r="BG687" s="20" t="n">
        <v>46343.5416666088</v>
      </c>
      <c r="BH687" s="20" t="n">
        <v>46343.625</v>
      </c>
    </row>
    <row r="688">
      <c r="A688" s="5">
        <f>A687+1</f>
        <v/>
      </c>
      <c r="B688" s="3">
        <f>-SUMIFS(df_extrato_zig!G:G,df_extrato_zig!E:E,Conciliacao!A688,df_extrato_zig!D:D,"Saque")-SUMIFS(df_extrato_zig!G:G,df_extrato_zig!E:E,Conciliacao!A688,df_extrato_zig!D:D,"Antecipação")</f>
        <v/>
      </c>
      <c r="C688" s="3">
        <f>SUMIFS(df_extrato_zig!E:E,df_extrato_zig!L:L,Conciliacao!A688,df_extrato_zig!F:F,"DINHEIRO")</f>
        <v/>
      </c>
      <c r="D688" s="3">
        <f>SUMIFS(view_parc_agrup!H:H,view_parc_agrup!G:G,Conciliacao!A688)</f>
        <v/>
      </c>
      <c r="E688" s="3">
        <f>SUMIFS(df_eventos!F:F,df_eventos!H:H,Conciliacao!A688)</f>
        <v/>
      </c>
      <c r="F688" s="3">
        <f>SUMIFS(df_mutuos!M:M,df_mutuos!B:B,Conciliacao!A688)</f>
        <v/>
      </c>
      <c r="G688" s="6">
        <f>SUMIFS(df_bloqueios_judiciais!G:G,df_bloqueios_judiciais!D:D,Conciliacao!A688,df_bloqueios_judiciais!G:G,"&gt;0")</f>
        <v/>
      </c>
      <c r="H688" s="7">
        <f>SUMIFS(df_extratos!I:I,df_extratos!F:F,Conciliacao!BE688,df_extratos!G:G,"CREDITO")+SUMIFS(df_extratos!I:I,df_extratos!F:F,Conciliacao!A688,df_extratos!G:G,"CREDITO")+SUMIFS(df_extratos!I:I,df_extratos!F:F,Conciliacao!BF688,df_extratos!G:G,"CREDITO")+SUMIFS(df_extratos!I:I,df_extratos!F:F,Conciliacao!BG688,df_extratos!G:G,"CREDITO")+SUMIFS(df_extratos!I:I,df_extratos!F:F,Conciliacao!BH688,df_extratos!G:G,"CREDITO")</f>
        <v/>
      </c>
      <c r="I688" s="9">
        <f>H688-SUM(B688:G688)</f>
        <v/>
      </c>
      <c r="J688" s="4">
        <f>SUMIFS(df_blueme_sem_parcelamento!E:E,df_blueme_sem_parcelamento!H:H,Conciliacao!A688)*(-1)</f>
        <v/>
      </c>
      <c r="K688" s="4">
        <f>SUMIFS(df_blueme_com_parcelamento!J:J,df_blueme_com_parcelamento!M:M,Conciliacao!A688)*(-1)</f>
        <v/>
      </c>
      <c r="L688" s="4">
        <f>SUMIFS(df_mutuos!N:N,df_mutuos!B:B,Conciliacao!A688)*(-1)</f>
        <v/>
      </c>
      <c r="M688" s="8">
        <f>SUMIFS(df_bloqueios_judiciais!G:G,df_bloqueios_judiciais!D:D,Conciliacao!A688,df_bloqueios_judiciais!G:G,"&lt;0")</f>
        <v/>
      </c>
      <c r="N688" s="10">
        <f>SUMIFS(df_extratos!I:I,df_extratos!F:F,Conciliacao!BE688,df_extratos!G:G,"DEBITO")+SUMIFS(df_extratos!I:I,df_extratos!F:F,Conciliacao!A688,df_extratos!G:G,"DEBITO")+SUMIFS(df_extratos!I:I,df_extratos!F:F,Conciliacao!BF688,df_extratos!G:G,"DEBITO")+SUMIFS(df_extratos!I:I,df_extratos!F:F,Conciliacao!BG688,df_extratos!G:G,"DEBITO")+SUMIFS(df_extratos!I:I,df_extratos!F:F,Conciliacao!BH688,df_extratos!G:G,"DEBITO")</f>
        <v/>
      </c>
      <c r="O688" s="11">
        <f>N688-SUM(J688:M688)</f>
        <v/>
      </c>
      <c r="P688" s="25">
        <f>SUMIFS(df_ajustes_conciliaco!D:D,df_ajustes_conciliaco!C:C,Conciliacao!A688)</f>
        <v/>
      </c>
      <c r="Q688" s="22">
        <f>O688+I688-P688</f>
        <v/>
      </c>
      <c r="BE688" s="20" t="n">
        <v>46344.5</v>
      </c>
      <c r="BF688" s="20" t="n">
        <v>46344.125</v>
      </c>
      <c r="BG688" s="20" t="n">
        <v>46344.5416666088</v>
      </c>
      <c r="BH688" s="20" t="n">
        <v>46344.625</v>
      </c>
    </row>
    <row r="689">
      <c r="A689" s="5">
        <f>A688+1</f>
        <v/>
      </c>
      <c r="B689" s="3">
        <f>-SUMIFS(df_extrato_zig!G:G,df_extrato_zig!E:E,Conciliacao!A689,df_extrato_zig!D:D,"Saque")-SUMIFS(df_extrato_zig!G:G,df_extrato_zig!E:E,Conciliacao!A689,df_extrato_zig!D:D,"Antecipação")</f>
        <v/>
      </c>
      <c r="C689" s="3">
        <f>SUMIFS(df_extrato_zig!E:E,df_extrato_zig!L:L,Conciliacao!A689,df_extrato_zig!F:F,"DINHEIRO")</f>
        <v/>
      </c>
      <c r="D689" s="3">
        <f>SUMIFS(view_parc_agrup!H:H,view_parc_agrup!G:G,Conciliacao!A689)</f>
        <v/>
      </c>
      <c r="E689" s="3">
        <f>SUMIFS(df_eventos!F:F,df_eventos!H:H,Conciliacao!A689)</f>
        <v/>
      </c>
      <c r="F689" s="3">
        <f>SUMIFS(df_mutuos!M:M,df_mutuos!B:B,Conciliacao!A689)</f>
        <v/>
      </c>
      <c r="G689" s="6">
        <f>SUMIFS(df_bloqueios_judiciais!G:G,df_bloqueios_judiciais!D:D,Conciliacao!A689,df_bloqueios_judiciais!G:G,"&gt;0")</f>
        <v/>
      </c>
      <c r="H689" s="7">
        <f>SUMIFS(df_extratos!I:I,df_extratos!F:F,Conciliacao!BE689,df_extratos!G:G,"CREDITO")+SUMIFS(df_extratos!I:I,df_extratos!F:F,Conciliacao!A689,df_extratos!G:G,"CREDITO")+SUMIFS(df_extratos!I:I,df_extratos!F:F,Conciliacao!BF689,df_extratos!G:G,"CREDITO")+SUMIFS(df_extratos!I:I,df_extratos!F:F,Conciliacao!BG689,df_extratos!G:G,"CREDITO")+SUMIFS(df_extratos!I:I,df_extratos!F:F,Conciliacao!BH689,df_extratos!G:G,"CREDITO")</f>
        <v/>
      </c>
      <c r="I689" s="9">
        <f>H689-SUM(B689:G689)</f>
        <v/>
      </c>
      <c r="J689" s="4">
        <f>SUMIFS(df_blueme_sem_parcelamento!E:E,df_blueme_sem_parcelamento!H:H,Conciliacao!A689)*(-1)</f>
        <v/>
      </c>
      <c r="K689" s="4">
        <f>SUMIFS(df_blueme_com_parcelamento!J:J,df_blueme_com_parcelamento!M:M,Conciliacao!A689)*(-1)</f>
        <v/>
      </c>
      <c r="L689" s="4">
        <f>SUMIFS(df_mutuos!N:N,df_mutuos!B:B,Conciliacao!A689)*(-1)</f>
        <v/>
      </c>
      <c r="M689" s="8">
        <f>SUMIFS(df_bloqueios_judiciais!G:G,df_bloqueios_judiciais!D:D,Conciliacao!A689,df_bloqueios_judiciais!G:G,"&lt;0")</f>
        <v/>
      </c>
      <c r="N689" s="10">
        <f>SUMIFS(df_extratos!I:I,df_extratos!F:F,Conciliacao!BE689,df_extratos!G:G,"DEBITO")+SUMIFS(df_extratos!I:I,df_extratos!F:F,Conciliacao!A689,df_extratos!G:G,"DEBITO")+SUMIFS(df_extratos!I:I,df_extratos!F:F,Conciliacao!BF689,df_extratos!G:G,"DEBITO")+SUMIFS(df_extratos!I:I,df_extratos!F:F,Conciliacao!BG689,df_extratos!G:G,"DEBITO")+SUMIFS(df_extratos!I:I,df_extratos!F:F,Conciliacao!BH689,df_extratos!G:G,"DEBITO")</f>
        <v/>
      </c>
      <c r="O689" s="11">
        <f>N689-SUM(J689:M689)</f>
        <v/>
      </c>
      <c r="P689" s="25">
        <f>SUMIFS(df_ajustes_conciliaco!D:D,df_ajustes_conciliaco!C:C,Conciliacao!A689)</f>
        <v/>
      </c>
      <c r="Q689" s="22">
        <f>O689+I689-P689</f>
        <v/>
      </c>
      <c r="BE689" s="20" t="n">
        <v>46345.5</v>
      </c>
      <c r="BF689" s="20" t="n">
        <v>46345.125</v>
      </c>
      <c r="BG689" s="20" t="n">
        <v>46345.5416666088</v>
      </c>
      <c r="BH689" s="20" t="n">
        <v>46345.625</v>
      </c>
    </row>
    <row r="690">
      <c r="A690" s="5">
        <f>A689+1</f>
        <v/>
      </c>
      <c r="B690" s="3">
        <f>-SUMIFS(df_extrato_zig!G:G,df_extrato_zig!E:E,Conciliacao!A690,df_extrato_zig!D:D,"Saque")-SUMIFS(df_extrato_zig!G:G,df_extrato_zig!E:E,Conciliacao!A690,df_extrato_zig!D:D,"Antecipação")</f>
        <v/>
      </c>
      <c r="C690" s="3">
        <f>SUMIFS(df_extrato_zig!E:E,df_extrato_zig!L:L,Conciliacao!A690,df_extrato_zig!F:F,"DINHEIRO")</f>
        <v/>
      </c>
      <c r="D690" s="3">
        <f>SUMIFS(view_parc_agrup!H:H,view_parc_agrup!G:G,Conciliacao!A690)</f>
        <v/>
      </c>
      <c r="E690" s="3">
        <f>SUMIFS(df_eventos!F:F,df_eventos!H:H,Conciliacao!A690)</f>
        <v/>
      </c>
      <c r="F690" s="3">
        <f>SUMIFS(df_mutuos!M:M,df_mutuos!B:B,Conciliacao!A690)</f>
        <v/>
      </c>
      <c r="G690" s="6">
        <f>SUMIFS(df_bloqueios_judiciais!G:G,df_bloqueios_judiciais!D:D,Conciliacao!A690,df_bloqueios_judiciais!G:G,"&gt;0")</f>
        <v/>
      </c>
      <c r="H690" s="7">
        <f>SUMIFS(df_extratos!I:I,df_extratos!F:F,Conciliacao!BE690,df_extratos!G:G,"CREDITO")+SUMIFS(df_extratos!I:I,df_extratos!F:F,Conciliacao!A690,df_extratos!G:G,"CREDITO")+SUMIFS(df_extratos!I:I,df_extratos!F:F,Conciliacao!BF690,df_extratos!G:G,"CREDITO")+SUMIFS(df_extratos!I:I,df_extratos!F:F,Conciliacao!BG690,df_extratos!G:G,"CREDITO")+SUMIFS(df_extratos!I:I,df_extratos!F:F,Conciliacao!BH690,df_extratos!G:G,"CREDITO")</f>
        <v/>
      </c>
      <c r="I690" s="9">
        <f>H690-SUM(B690:G690)</f>
        <v/>
      </c>
      <c r="J690" s="4">
        <f>SUMIFS(df_blueme_sem_parcelamento!E:E,df_blueme_sem_parcelamento!H:H,Conciliacao!A690)*(-1)</f>
        <v/>
      </c>
      <c r="K690" s="4">
        <f>SUMIFS(df_blueme_com_parcelamento!J:J,df_blueme_com_parcelamento!M:M,Conciliacao!A690)*(-1)</f>
        <v/>
      </c>
      <c r="L690" s="4">
        <f>SUMIFS(df_mutuos!N:N,df_mutuos!B:B,Conciliacao!A690)*(-1)</f>
        <v/>
      </c>
      <c r="M690" s="8">
        <f>SUMIFS(df_bloqueios_judiciais!G:G,df_bloqueios_judiciais!D:D,Conciliacao!A690,df_bloqueios_judiciais!G:G,"&lt;0")</f>
        <v/>
      </c>
      <c r="N690" s="10">
        <f>SUMIFS(df_extratos!I:I,df_extratos!F:F,Conciliacao!BE690,df_extratos!G:G,"DEBITO")+SUMIFS(df_extratos!I:I,df_extratos!F:F,Conciliacao!A690,df_extratos!G:G,"DEBITO")+SUMIFS(df_extratos!I:I,df_extratos!F:F,Conciliacao!BF690,df_extratos!G:G,"DEBITO")+SUMIFS(df_extratos!I:I,df_extratos!F:F,Conciliacao!BG690,df_extratos!G:G,"DEBITO")+SUMIFS(df_extratos!I:I,df_extratos!F:F,Conciliacao!BH690,df_extratos!G:G,"DEBITO")</f>
        <v/>
      </c>
      <c r="O690" s="11">
        <f>N690-SUM(J690:M690)</f>
        <v/>
      </c>
      <c r="P690" s="25">
        <f>SUMIFS(df_ajustes_conciliaco!D:D,df_ajustes_conciliaco!C:C,Conciliacao!A690)</f>
        <v/>
      </c>
      <c r="Q690" s="22">
        <f>O690+I690-P690</f>
        <v/>
      </c>
      <c r="BE690" s="20" t="n">
        <v>46346.5</v>
      </c>
      <c r="BF690" s="20" t="n">
        <v>46346.125</v>
      </c>
      <c r="BG690" s="20" t="n">
        <v>46346.5416666088</v>
      </c>
      <c r="BH690" s="20" t="n">
        <v>46346.625</v>
      </c>
    </row>
    <row r="691">
      <c r="A691" s="5">
        <f>A690+1</f>
        <v/>
      </c>
      <c r="B691" s="3">
        <f>-SUMIFS(df_extrato_zig!G:G,df_extrato_zig!E:E,Conciliacao!A691,df_extrato_zig!D:D,"Saque")-SUMIFS(df_extrato_zig!G:G,df_extrato_zig!E:E,Conciliacao!A691,df_extrato_zig!D:D,"Antecipação")</f>
        <v/>
      </c>
      <c r="C691" s="3">
        <f>SUMIFS(df_extrato_zig!E:E,df_extrato_zig!L:L,Conciliacao!A691,df_extrato_zig!F:F,"DINHEIRO")</f>
        <v/>
      </c>
      <c r="D691" s="3">
        <f>SUMIFS(view_parc_agrup!H:H,view_parc_agrup!G:G,Conciliacao!A691)</f>
        <v/>
      </c>
      <c r="E691" s="3">
        <f>SUMIFS(df_eventos!F:F,df_eventos!H:H,Conciliacao!A691)</f>
        <v/>
      </c>
      <c r="F691" s="3">
        <f>SUMIFS(df_mutuos!M:M,df_mutuos!B:B,Conciliacao!A691)</f>
        <v/>
      </c>
      <c r="G691" s="6">
        <f>SUMIFS(df_bloqueios_judiciais!G:G,df_bloqueios_judiciais!D:D,Conciliacao!A691,df_bloqueios_judiciais!G:G,"&gt;0")</f>
        <v/>
      </c>
      <c r="H691" s="7">
        <f>SUMIFS(df_extratos!I:I,df_extratos!F:F,Conciliacao!BE691,df_extratos!G:G,"CREDITO")+SUMIFS(df_extratos!I:I,df_extratos!F:F,Conciliacao!A691,df_extratos!G:G,"CREDITO")+SUMIFS(df_extratos!I:I,df_extratos!F:F,Conciliacao!BF691,df_extratos!G:G,"CREDITO")+SUMIFS(df_extratos!I:I,df_extratos!F:F,Conciliacao!BG691,df_extratos!G:G,"CREDITO")+SUMIFS(df_extratos!I:I,df_extratos!F:F,Conciliacao!BH691,df_extratos!G:G,"CREDITO")</f>
        <v/>
      </c>
      <c r="I691" s="9">
        <f>H691-SUM(B691:G691)</f>
        <v/>
      </c>
      <c r="J691" s="4">
        <f>SUMIFS(df_blueme_sem_parcelamento!E:E,df_blueme_sem_parcelamento!H:H,Conciliacao!A691)*(-1)</f>
        <v/>
      </c>
      <c r="K691" s="4">
        <f>SUMIFS(df_blueme_com_parcelamento!J:J,df_blueme_com_parcelamento!M:M,Conciliacao!A691)*(-1)</f>
        <v/>
      </c>
      <c r="L691" s="4">
        <f>SUMIFS(df_mutuos!N:N,df_mutuos!B:B,Conciliacao!A691)*(-1)</f>
        <v/>
      </c>
      <c r="M691" s="8">
        <f>SUMIFS(df_bloqueios_judiciais!G:G,df_bloqueios_judiciais!D:D,Conciliacao!A691,df_bloqueios_judiciais!G:G,"&lt;0")</f>
        <v/>
      </c>
      <c r="N691" s="10">
        <f>SUMIFS(df_extratos!I:I,df_extratos!F:F,Conciliacao!BE691,df_extratos!G:G,"DEBITO")+SUMIFS(df_extratos!I:I,df_extratos!F:F,Conciliacao!A691,df_extratos!G:G,"DEBITO")+SUMIFS(df_extratos!I:I,df_extratos!F:F,Conciliacao!BF691,df_extratos!G:G,"DEBITO")+SUMIFS(df_extratos!I:I,df_extratos!F:F,Conciliacao!BG691,df_extratos!G:G,"DEBITO")+SUMIFS(df_extratos!I:I,df_extratos!F:F,Conciliacao!BH691,df_extratos!G:G,"DEBITO")</f>
        <v/>
      </c>
      <c r="O691" s="11">
        <f>N691-SUM(J691:M691)</f>
        <v/>
      </c>
      <c r="P691" s="25">
        <f>SUMIFS(df_ajustes_conciliaco!D:D,df_ajustes_conciliaco!C:C,Conciliacao!A691)</f>
        <v/>
      </c>
      <c r="Q691" s="22">
        <f>O691+I691-P691</f>
        <v/>
      </c>
      <c r="BE691" s="20" t="n">
        <v>46347.5</v>
      </c>
      <c r="BF691" s="20" t="n">
        <v>46347.125</v>
      </c>
      <c r="BG691" s="20" t="n">
        <v>46347.5416666088</v>
      </c>
      <c r="BH691" s="20" t="n">
        <v>46347.625</v>
      </c>
    </row>
    <row r="692">
      <c r="A692" s="5">
        <f>A691+1</f>
        <v/>
      </c>
      <c r="B692" s="3">
        <f>-SUMIFS(df_extrato_zig!G:G,df_extrato_zig!E:E,Conciliacao!A692,df_extrato_zig!D:D,"Saque")-SUMIFS(df_extrato_zig!G:G,df_extrato_zig!E:E,Conciliacao!A692,df_extrato_zig!D:D,"Antecipação")</f>
        <v/>
      </c>
      <c r="C692" s="3">
        <f>SUMIFS(df_extrato_zig!E:E,df_extrato_zig!L:L,Conciliacao!A692,df_extrato_zig!F:F,"DINHEIRO")</f>
        <v/>
      </c>
      <c r="D692" s="3">
        <f>SUMIFS(view_parc_agrup!H:H,view_parc_agrup!G:G,Conciliacao!A692)</f>
        <v/>
      </c>
      <c r="E692" s="3">
        <f>SUMIFS(df_eventos!F:F,df_eventos!H:H,Conciliacao!A692)</f>
        <v/>
      </c>
      <c r="F692" s="3">
        <f>SUMIFS(df_mutuos!M:M,df_mutuos!B:B,Conciliacao!A692)</f>
        <v/>
      </c>
      <c r="G692" s="6">
        <f>SUMIFS(df_bloqueios_judiciais!G:G,df_bloqueios_judiciais!D:D,Conciliacao!A692,df_bloqueios_judiciais!G:G,"&gt;0")</f>
        <v/>
      </c>
      <c r="H692" s="7">
        <f>SUMIFS(df_extratos!I:I,df_extratos!F:F,Conciliacao!BE692,df_extratos!G:G,"CREDITO")+SUMIFS(df_extratos!I:I,df_extratos!F:F,Conciliacao!A692,df_extratos!G:G,"CREDITO")+SUMIFS(df_extratos!I:I,df_extratos!F:F,Conciliacao!BF692,df_extratos!G:G,"CREDITO")+SUMIFS(df_extratos!I:I,df_extratos!F:F,Conciliacao!BG692,df_extratos!G:G,"CREDITO")+SUMIFS(df_extratos!I:I,df_extratos!F:F,Conciliacao!BH692,df_extratos!G:G,"CREDITO")</f>
        <v/>
      </c>
      <c r="I692" s="9">
        <f>H692-SUM(B692:G692)</f>
        <v/>
      </c>
      <c r="J692" s="4">
        <f>SUMIFS(df_blueme_sem_parcelamento!E:E,df_blueme_sem_parcelamento!H:H,Conciliacao!A692)*(-1)</f>
        <v/>
      </c>
      <c r="K692" s="4">
        <f>SUMIFS(df_blueme_com_parcelamento!J:J,df_blueme_com_parcelamento!M:M,Conciliacao!A692)*(-1)</f>
        <v/>
      </c>
      <c r="L692" s="4">
        <f>SUMIFS(df_mutuos!N:N,df_mutuos!B:B,Conciliacao!A692)*(-1)</f>
        <v/>
      </c>
      <c r="M692" s="8">
        <f>SUMIFS(df_bloqueios_judiciais!G:G,df_bloqueios_judiciais!D:D,Conciliacao!A692,df_bloqueios_judiciais!G:G,"&lt;0")</f>
        <v/>
      </c>
      <c r="N692" s="10">
        <f>SUMIFS(df_extratos!I:I,df_extratos!F:F,Conciliacao!BE692,df_extratos!G:G,"DEBITO")+SUMIFS(df_extratos!I:I,df_extratos!F:F,Conciliacao!A692,df_extratos!G:G,"DEBITO")+SUMIFS(df_extratos!I:I,df_extratos!F:F,Conciliacao!BF692,df_extratos!G:G,"DEBITO")+SUMIFS(df_extratos!I:I,df_extratos!F:F,Conciliacao!BG692,df_extratos!G:G,"DEBITO")+SUMIFS(df_extratos!I:I,df_extratos!F:F,Conciliacao!BH692,df_extratos!G:G,"DEBITO")</f>
        <v/>
      </c>
      <c r="O692" s="11">
        <f>N692-SUM(J692:M692)</f>
        <v/>
      </c>
      <c r="P692" s="25">
        <f>SUMIFS(df_ajustes_conciliaco!D:D,df_ajustes_conciliaco!C:C,Conciliacao!A692)</f>
        <v/>
      </c>
      <c r="Q692" s="22">
        <f>O692+I692-P692</f>
        <v/>
      </c>
      <c r="BE692" s="20" t="n">
        <v>46348.5</v>
      </c>
      <c r="BF692" s="20" t="n">
        <v>46348.125</v>
      </c>
      <c r="BG692" s="20" t="n">
        <v>46348.5416666088</v>
      </c>
      <c r="BH692" s="20" t="n">
        <v>46348.625</v>
      </c>
    </row>
    <row r="693">
      <c r="A693" s="5">
        <f>A692+1</f>
        <v/>
      </c>
      <c r="B693" s="3">
        <f>-SUMIFS(df_extrato_zig!G:G,df_extrato_zig!E:E,Conciliacao!A693,df_extrato_zig!D:D,"Saque")-SUMIFS(df_extrato_zig!G:G,df_extrato_zig!E:E,Conciliacao!A693,df_extrato_zig!D:D,"Antecipação")</f>
        <v/>
      </c>
      <c r="C693" s="3">
        <f>SUMIFS(df_extrato_zig!E:E,df_extrato_zig!L:L,Conciliacao!A693,df_extrato_zig!F:F,"DINHEIRO")</f>
        <v/>
      </c>
      <c r="D693" s="3">
        <f>SUMIFS(view_parc_agrup!H:H,view_parc_agrup!G:G,Conciliacao!A693)</f>
        <v/>
      </c>
      <c r="E693" s="3">
        <f>SUMIFS(df_eventos!F:F,df_eventos!H:H,Conciliacao!A693)</f>
        <v/>
      </c>
      <c r="F693" s="3">
        <f>SUMIFS(df_mutuos!M:M,df_mutuos!B:B,Conciliacao!A693)</f>
        <v/>
      </c>
      <c r="G693" s="6">
        <f>SUMIFS(df_bloqueios_judiciais!G:G,df_bloqueios_judiciais!D:D,Conciliacao!A693,df_bloqueios_judiciais!G:G,"&gt;0")</f>
        <v/>
      </c>
      <c r="H693" s="7">
        <f>SUMIFS(df_extratos!I:I,df_extratos!F:F,Conciliacao!BE693,df_extratos!G:G,"CREDITO")+SUMIFS(df_extratos!I:I,df_extratos!F:F,Conciliacao!A693,df_extratos!G:G,"CREDITO")+SUMIFS(df_extratos!I:I,df_extratos!F:F,Conciliacao!BF693,df_extratos!G:G,"CREDITO")+SUMIFS(df_extratos!I:I,df_extratos!F:F,Conciliacao!BG693,df_extratos!G:G,"CREDITO")+SUMIFS(df_extratos!I:I,df_extratos!F:F,Conciliacao!BH693,df_extratos!G:G,"CREDITO")</f>
        <v/>
      </c>
      <c r="I693" s="9">
        <f>H693-SUM(B693:G693)</f>
        <v/>
      </c>
      <c r="J693" s="4">
        <f>SUMIFS(df_blueme_sem_parcelamento!E:E,df_blueme_sem_parcelamento!H:H,Conciliacao!A693)*(-1)</f>
        <v/>
      </c>
      <c r="K693" s="4">
        <f>SUMIFS(df_blueme_com_parcelamento!J:J,df_blueme_com_parcelamento!M:M,Conciliacao!A693)*(-1)</f>
        <v/>
      </c>
      <c r="L693" s="4">
        <f>SUMIFS(df_mutuos!N:N,df_mutuos!B:B,Conciliacao!A693)*(-1)</f>
        <v/>
      </c>
      <c r="M693" s="8">
        <f>SUMIFS(df_bloqueios_judiciais!G:G,df_bloqueios_judiciais!D:D,Conciliacao!A693,df_bloqueios_judiciais!G:G,"&lt;0")</f>
        <v/>
      </c>
      <c r="N693" s="10">
        <f>SUMIFS(df_extratos!I:I,df_extratos!F:F,Conciliacao!BE693,df_extratos!G:G,"DEBITO")+SUMIFS(df_extratos!I:I,df_extratos!F:F,Conciliacao!A693,df_extratos!G:G,"DEBITO")+SUMIFS(df_extratos!I:I,df_extratos!F:F,Conciliacao!BF693,df_extratos!G:G,"DEBITO")+SUMIFS(df_extratos!I:I,df_extratos!F:F,Conciliacao!BG693,df_extratos!G:G,"DEBITO")+SUMIFS(df_extratos!I:I,df_extratos!F:F,Conciliacao!BH693,df_extratos!G:G,"DEBITO")</f>
        <v/>
      </c>
      <c r="O693" s="11">
        <f>N693-SUM(J693:M693)</f>
        <v/>
      </c>
      <c r="P693" s="25">
        <f>SUMIFS(df_ajustes_conciliaco!D:D,df_ajustes_conciliaco!C:C,Conciliacao!A693)</f>
        <v/>
      </c>
      <c r="Q693" s="22">
        <f>O693+I693-P693</f>
        <v/>
      </c>
      <c r="BE693" s="20" t="n">
        <v>46349.5</v>
      </c>
      <c r="BF693" s="20" t="n">
        <v>46349.125</v>
      </c>
      <c r="BG693" s="20" t="n">
        <v>46349.5416666088</v>
      </c>
      <c r="BH693" s="20" t="n">
        <v>46349.625</v>
      </c>
    </row>
    <row r="694">
      <c r="A694" s="5">
        <f>A693+1</f>
        <v/>
      </c>
      <c r="B694" s="3">
        <f>-SUMIFS(df_extrato_zig!G:G,df_extrato_zig!E:E,Conciliacao!A694,df_extrato_zig!D:D,"Saque")-SUMIFS(df_extrato_zig!G:G,df_extrato_zig!E:E,Conciliacao!A694,df_extrato_zig!D:D,"Antecipação")</f>
        <v/>
      </c>
      <c r="C694" s="3">
        <f>SUMIFS(df_extrato_zig!E:E,df_extrato_zig!L:L,Conciliacao!A694,df_extrato_zig!F:F,"DINHEIRO")</f>
        <v/>
      </c>
      <c r="D694" s="3">
        <f>SUMIFS(view_parc_agrup!H:H,view_parc_agrup!G:G,Conciliacao!A694)</f>
        <v/>
      </c>
      <c r="E694" s="3">
        <f>SUMIFS(df_eventos!F:F,df_eventos!H:H,Conciliacao!A694)</f>
        <v/>
      </c>
      <c r="F694" s="3">
        <f>SUMIFS(df_mutuos!M:M,df_mutuos!B:B,Conciliacao!A694)</f>
        <v/>
      </c>
      <c r="G694" s="6">
        <f>SUMIFS(df_bloqueios_judiciais!G:G,df_bloqueios_judiciais!D:D,Conciliacao!A694,df_bloqueios_judiciais!G:G,"&gt;0")</f>
        <v/>
      </c>
      <c r="H694" s="7">
        <f>SUMIFS(df_extratos!I:I,df_extratos!F:F,Conciliacao!BE694,df_extratos!G:G,"CREDITO")+SUMIFS(df_extratos!I:I,df_extratos!F:F,Conciliacao!A694,df_extratos!G:G,"CREDITO")+SUMIFS(df_extratos!I:I,df_extratos!F:F,Conciliacao!BF694,df_extratos!G:G,"CREDITO")+SUMIFS(df_extratos!I:I,df_extratos!F:F,Conciliacao!BG694,df_extratos!G:G,"CREDITO")+SUMIFS(df_extratos!I:I,df_extratos!F:F,Conciliacao!BH694,df_extratos!G:G,"CREDITO")</f>
        <v/>
      </c>
      <c r="I694" s="9">
        <f>H694-SUM(B694:G694)</f>
        <v/>
      </c>
      <c r="J694" s="4">
        <f>SUMIFS(df_blueme_sem_parcelamento!E:E,df_blueme_sem_parcelamento!H:H,Conciliacao!A694)*(-1)</f>
        <v/>
      </c>
      <c r="K694" s="4">
        <f>SUMIFS(df_blueme_com_parcelamento!J:J,df_blueme_com_parcelamento!M:M,Conciliacao!A694)*(-1)</f>
        <v/>
      </c>
      <c r="L694" s="4">
        <f>SUMIFS(df_mutuos!N:N,df_mutuos!B:B,Conciliacao!A694)*(-1)</f>
        <v/>
      </c>
      <c r="M694" s="8">
        <f>SUMIFS(df_bloqueios_judiciais!G:G,df_bloqueios_judiciais!D:D,Conciliacao!A694,df_bloqueios_judiciais!G:G,"&lt;0")</f>
        <v/>
      </c>
      <c r="N694" s="10">
        <f>SUMIFS(df_extratos!I:I,df_extratos!F:F,Conciliacao!BE694,df_extratos!G:G,"DEBITO")+SUMIFS(df_extratos!I:I,df_extratos!F:F,Conciliacao!A694,df_extratos!G:G,"DEBITO")+SUMIFS(df_extratos!I:I,df_extratos!F:F,Conciliacao!BF694,df_extratos!G:G,"DEBITO")+SUMIFS(df_extratos!I:I,df_extratos!F:F,Conciliacao!BG694,df_extratos!G:G,"DEBITO")+SUMIFS(df_extratos!I:I,df_extratos!F:F,Conciliacao!BH694,df_extratos!G:G,"DEBITO")</f>
        <v/>
      </c>
      <c r="O694" s="11">
        <f>N694-SUM(J694:M694)</f>
        <v/>
      </c>
      <c r="P694" s="25">
        <f>SUMIFS(df_ajustes_conciliaco!D:D,df_ajustes_conciliaco!C:C,Conciliacao!A694)</f>
        <v/>
      </c>
      <c r="Q694" s="22">
        <f>O694+I694-P694</f>
        <v/>
      </c>
      <c r="BE694" s="20" t="n">
        <v>46350.5</v>
      </c>
      <c r="BF694" s="20" t="n">
        <v>46350.125</v>
      </c>
      <c r="BG694" s="20" t="n">
        <v>46350.5416666088</v>
      </c>
      <c r="BH694" s="20" t="n">
        <v>46350.625</v>
      </c>
    </row>
    <row r="695">
      <c r="A695" s="5">
        <f>A694+1</f>
        <v/>
      </c>
      <c r="B695" s="3">
        <f>-SUMIFS(df_extrato_zig!G:G,df_extrato_zig!E:E,Conciliacao!A695,df_extrato_zig!D:D,"Saque")-SUMIFS(df_extrato_zig!G:G,df_extrato_zig!E:E,Conciliacao!A695,df_extrato_zig!D:D,"Antecipação")</f>
        <v/>
      </c>
      <c r="C695" s="3">
        <f>SUMIFS(df_extrato_zig!E:E,df_extrato_zig!L:L,Conciliacao!A695,df_extrato_zig!F:F,"DINHEIRO")</f>
        <v/>
      </c>
      <c r="D695" s="3">
        <f>SUMIFS(view_parc_agrup!H:H,view_parc_agrup!G:G,Conciliacao!A695)</f>
        <v/>
      </c>
      <c r="E695" s="3">
        <f>SUMIFS(df_eventos!F:F,df_eventos!H:H,Conciliacao!A695)</f>
        <v/>
      </c>
      <c r="F695" s="3">
        <f>SUMIFS(df_mutuos!M:M,df_mutuos!B:B,Conciliacao!A695)</f>
        <v/>
      </c>
      <c r="G695" s="6">
        <f>SUMIFS(df_bloqueios_judiciais!G:G,df_bloqueios_judiciais!D:D,Conciliacao!A695,df_bloqueios_judiciais!G:G,"&gt;0")</f>
        <v/>
      </c>
      <c r="H695" s="7">
        <f>SUMIFS(df_extratos!I:I,df_extratos!F:F,Conciliacao!BE695,df_extratos!G:G,"CREDITO")+SUMIFS(df_extratos!I:I,df_extratos!F:F,Conciliacao!A695,df_extratos!G:G,"CREDITO")+SUMIFS(df_extratos!I:I,df_extratos!F:F,Conciliacao!BF695,df_extratos!G:G,"CREDITO")+SUMIFS(df_extratos!I:I,df_extratos!F:F,Conciliacao!BG695,df_extratos!G:G,"CREDITO")+SUMIFS(df_extratos!I:I,df_extratos!F:F,Conciliacao!BH695,df_extratos!G:G,"CREDITO")</f>
        <v/>
      </c>
      <c r="I695" s="9">
        <f>H695-SUM(B695:G695)</f>
        <v/>
      </c>
      <c r="J695" s="4">
        <f>SUMIFS(df_blueme_sem_parcelamento!E:E,df_blueme_sem_parcelamento!H:H,Conciliacao!A695)*(-1)</f>
        <v/>
      </c>
      <c r="K695" s="4">
        <f>SUMIFS(df_blueme_com_parcelamento!J:J,df_blueme_com_parcelamento!M:M,Conciliacao!A695)*(-1)</f>
        <v/>
      </c>
      <c r="L695" s="4">
        <f>SUMIFS(df_mutuos!N:N,df_mutuos!B:B,Conciliacao!A695)*(-1)</f>
        <v/>
      </c>
      <c r="M695" s="8">
        <f>SUMIFS(df_bloqueios_judiciais!G:G,df_bloqueios_judiciais!D:D,Conciliacao!A695,df_bloqueios_judiciais!G:G,"&lt;0")</f>
        <v/>
      </c>
      <c r="N695" s="10">
        <f>SUMIFS(df_extratos!I:I,df_extratos!F:F,Conciliacao!BE695,df_extratos!G:G,"DEBITO")+SUMIFS(df_extratos!I:I,df_extratos!F:F,Conciliacao!A695,df_extratos!G:G,"DEBITO")+SUMIFS(df_extratos!I:I,df_extratos!F:F,Conciliacao!BF695,df_extratos!G:G,"DEBITO")+SUMIFS(df_extratos!I:I,df_extratos!F:F,Conciliacao!BG695,df_extratos!G:G,"DEBITO")+SUMIFS(df_extratos!I:I,df_extratos!F:F,Conciliacao!BH695,df_extratos!G:G,"DEBITO")</f>
        <v/>
      </c>
      <c r="O695" s="11">
        <f>N695-SUM(J695:M695)</f>
        <v/>
      </c>
      <c r="P695" s="25">
        <f>SUMIFS(df_ajustes_conciliaco!D:D,df_ajustes_conciliaco!C:C,Conciliacao!A695)</f>
        <v/>
      </c>
      <c r="Q695" s="22">
        <f>O695+I695-P695</f>
        <v/>
      </c>
      <c r="BE695" s="20" t="n">
        <v>46351.5</v>
      </c>
      <c r="BF695" s="20" t="n">
        <v>46351.125</v>
      </c>
      <c r="BG695" s="20" t="n">
        <v>46351.5416666088</v>
      </c>
      <c r="BH695" s="20" t="n">
        <v>46351.625</v>
      </c>
    </row>
    <row r="696">
      <c r="A696" s="5">
        <f>A695+1</f>
        <v/>
      </c>
      <c r="B696" s="3">
        <f>-SUMIFS(df_extrato_zig!G:G,df_extrato_zig!E:E,Conciliacao!A696,df_extrato_zig!D:D,"Saque")-SUMIFS(df_extrato_zig!G:G,df_extrato_zig!E:E,Conciliacao!A696,df_extrato_zig!D:D,"Antecipação")</f>
        <v/>
      </c>
      <c r="C696" s="3">
        <f>SUMIFS(df_extrato_zig!E:E,df_extrato_zig!L:L,Conciliacao!A696,df_extrato_zig!F:F,"DINHEIRO")</f>
        <v/>
      </c>
      <c r="D696" s="3">
        <f>SUMIFS(view_parc_agrup!H:H,view_parc_agrup!G:G,Conciliacao!A696)</f>
        <v/>
      </c>
      <c r="E696" s="3">
        <f>SUMIFS(df_eventos!F:F,df_eventos!H:H,Conciliacao!A696)</f>
        <v/>
      </c>
      <c r="F696" s="3">
        <f>SUMIFS(df_mutuos!M:M,df_mutuos!B:B,Conciliacao!A696)</f>
        <v/>
      </c>
      <c r="G696" s="6">
        <f>SUMIFS(df_bloqueios_judiciais!G:G,df_bloqueios_judiciais!D:D,Conciliacao!A696,df_bloqueios_judiciais!G:G,"&gt;0")</f>
        <v/>
      </c>
      <c r="H696" s="7">
        <f>SUMIFS(df_extratos!I:I,df_extratos!F:F,Conciliacao!BE696,df_extratos!G:G,"CREDITO")+SUMIFS(df_extratos!I:I,df_extratos!F:F,Conciliacao!A696,df_extratos!G:G,"CREDITO")+SUMIFS(df_extratos!I:I,df_extratos!F:F,Conciliacao!BF696,df_extratos!G:G,"CREDITO")+SUMIFS(df_extratos!I:I,df_extratos!F:F,Conciliacao!BG696,df_extratos!G:G,"CREDITO")+SUMIFS(df_extratos!I:I,df_extratos!F:F,Conciliacao!BH696,df_extratos!G:G,"CREDITO")</f>
        <v/>
      </c>
      <c r="I696" s="9">
        <f>H696-SUM(B696:G696)</f>
        <v/>
      </c>
      <c r="J696" s="4">
        <f>SUMIFS(df_blueme_sem_parcelamento!E:E,df_blueme_sem_parcelamento!H:H,Conciliacao!A696)*(-1)</f>
        <v/>
      </c>
      <c r="K696" s="4">
        <f>SUMIFS(df_blueme_com_parcelamento!J:J,df_blueme_com_parcelamento!M:M,Conciliacao!A696)*(-1)</f>
        <v/>
      </c>
      <c r="L696" s="4">
        <f>SUMIFS(df_mutuos!N:N,df_mutuos!B:B,Conciliacao!A696)*(-1)</f>
        <v/>
      </c>
      <c r="M696" s="8">
        <f>SUMIFS(df_bloqueios_judiciais!G:G,df_bloqueios_judiciais!D:D,Conciliacao!A696,df_bloqueios_judiciais!G:G,"&lt;0")</f>
        <v/>
      </c>
      <c r="N696" s="10">
        <f>SUMIFS(df_extratos!I:I,df_extratos!F:F,Conciliacao!BE696,df_extratos!G:G,"DEBITO")+SUMIFS(df_extratos!I:I,df_extratos!F:F,Conciliacao!A696,df_extratos!G:G,"DEBITO")+SUMIFS(df_extratos!I:I,df_extratos!F:F,Conciliacao!BF696,df_extratos!G:G,"DEBITO")+SUMIFS(df_extratos!I:I,df_extratos!F:F,Conciliacao!BG696,df_extratos!G:G,"DEBITO")+SUMIFS(df_extratos!I:I,df_extratos!F:F,Conciliacao!BH696,df_extratos!G:G,"DEBITO")</f>
        <v/>
      </c>
      <c r="O696" s="11">
        <f>N696-SUM(J696:M696)</f>
        <v/>
      </c>
      <c r="P696" s="25">
        <f>SUMIFS(df_ajustes_conciliaco!D:D,df_ajustes_conciliaco!C:C,Conciliacao!A696)</f>
        <v/>
      </c>
      <c r="Q696" s="22">
        <f>O696+I696-P696</f>
        <v/>
      </c>
      <c r="BE696" s="20" t="n">
        <v>46352.5</v>
      </c>
      <c r="BF696" s="20" t="n">
        <v>46352.125</v>
      </c>
      <c r="BG696" s="20" t="n">
        <v>46352.5416666088</v>
      </c>
      <c r="BH696" s="20" t="n">
        <v>46352.625</v>
      </c>
    </row>
    <row r="697">
      <c r="A697" s="5">
        <f>A696+1</f>
        <v/>
      </c>
      <c r="B697" s="3">
        <f>-SUMIFS(df_extrato_zig!G:G,df_extrato_zig!E:E,Conciliacao!A697,df_extrato_zig!D:D,"Saque")-SUMIFS(df_extrato_zig!G:G,df_extrato_zig!E:E,Conciliacao!A697,df_extrato_zig!D:D,"Antecipação")</f>
        <v/>
      </c>
      <c r="C697" s="3">
        <f>SUMIFS(df_extrato_zig!E:E,df_extrato_zig!L:L,Conciliacao!A697,df_extrato_zig!F:F,"DINHEIRO")</f>
        <v/>
      </c>
      <c r="D697" s="3">
        <f>SUMIFS(view_parc_agrup!H:H,view_parc_agrup!G:G,Conciliacao!A697)</f>
        <v/>
      </c>
      <c r="E697" s="3">
        <f>SUMIFS(df_eventos!F:F,df_eventos!H:H,Conciliacao!A697)</f>
        <v/>
      </c>
      <c r="F697" s="3">
        <f>SUMIFS(df_mutuos!M:M,df_mutuos!B:B,Conciliacao!A697)</f>
        <v/>
      </c>
      <c r="G697" s="6">
        <f>SUMIFS(df_bloqueios_judiciais!G:G,df_bloqueios_judiciais!D:D,Conciliacao!A697,df_bloqueios_judiciais!G:G,"&gt;0")</f>
        <v/>
      </c>
      <c r="H697" s="7">
        <f>SUMIFS(df_extratos!I:I,df_extratos!F:F,Conciliacao!BE697,df_extratos!G:G,"CREDITO")+SUMIFS(df_extratos!I:I,df_extratos!F:F,Conciliacao!A697,df_extratos!G:G,"CREDITO")+SUMIFS(df_extratos!I:I,df_extratos!F:F,Conciliacao!BF697,df_extratos!G:G,"CREDITO")+SUMIFS(df_extratos!I:I,df_extratos!F:F,Conciliacao!BG697,df_extratos!G:G,"CREDITO")+SUMIFS(df_extratos!I:I,df_extratos!F:F,Conciliacao!BH697,df_extratos!G:G,"CREDITO")</f>
        <v/>
      </c>
      <c r="I697" s="9">
        <f>H697-SUM(B697:G697)</f>
        <v/>
      </c>
      <c r="J697" s="4">
        <f>SUMIFS(df_blueme_sem_parcelamento!E:E,df_blueme_sem_parcelamento!H:H,Conciliacao!A697)*(-1)</f>
        <v/>
      </c>
      <c r="K697" s="4">
        <f>SUMIFS(df_blueme_com_parcelamento!J:J,df_blueme_com_parcelamento!M:M,Conciliacao!A697)*(-1)</f>
        <v/>
      </c>
      <c r="L697" s="4">
        <f>SUMIFS(df_mutuos!N:N,df_mutuos!B:B,Conciliacao!A697)*(-1)</f>
        <v/>
      </c>
      <c r="M697" s="8">
        <f>SUMIFS(df_bloqueios_judiciais!G:G,df_bloqueios_judiciais!D:D,Conciliacao!A697,df_bloqueios_judiciais!G:G,"&lt;0")</f>
        <v/>
      </c>
      <c r="N697" s="10">
        <f>SUMIFS(df_extratos!I:I,df_extratos!F:F,Conciliacao!BE697,df_extratos!G:G,"DEBITO")+SUMIFS(df_extratos!I:I,df_extratos!F:F,Conciliacao!A697,df_extratos!G:G,"DEBITO")+SUMIFS(df_extratos!I:I,df_extratos!F:F,Conciliacao!BF697,df_extratos!G:G,"DEBITO")+SUMIFS(df_extratos!I:I,df_extratos!F:F,Conciliacao!BG697,df_extratos!G:G,"DEBITO")+SUMIFS(df_extratos!I:I,df_extratos!F:F,Conciliacao!BH697,df_extratos!G:G,"DEBITO")</f>
        <v/>
      </c>
      <c r="O697" s="11">
        <f>N697-SUM(J697:M697)</f>
        <v/>
      </c>
      <c r="P697" s="25">
        <f>SUMIFS(df_ajustes_conciliaco!D:D,df_ajustes_conciliaco!C:C,Conciliacao!A697)</f>
        <v/>
      </c>
      <c r="Q697" s="22">
        <f>O697+I697-P697</f>
        <v/>
      </c>
      <c r="BE697" s="20" t="n">
        <v>46353.5</v>
      </c>
      <c r="BF697" s="20" t="n">
        <v>46353.125</v>
      </c>
      <c r="BG697" s="20" t="n">
        <v>46353.5416666088</v>
      </c>
      <c r="BH697" s="20" t="n">
        <v>46353.625</v>
      </c>
    </row>
    <row r="698">
      <c r="A698" s="5">
        <f>A697+1</f>
        <v/>
      </c>
      <c r="B698" s="3">
        <f>-SUMIFS(df_extrato_zig!G:G,df_extrato_zig!E:E,Conciliacao!A698,df_extrato_zig!D:D,"Saque")-SUMIFS(df_extrato_zig!G:G,df_extrato_zig!E:E,Conciliacao!A698,df_extrato_zig!D:D,"Antecipação")</f>
        <v/>
      </c>
      <c r="C698" s="3">
        <f>SUMIFS(df_extrato_zig!E:E,df_extrato_zig!L:L,Conciliacao!A698,df_extrato_zig!F:F,"DINHEIRO")</f>
        <v/>
      </c>
      <c r="D698" s="3">
        <f>SUMIFS(view_parc_agrup!H:H,view_parc_agrup!G:G,Conciliacao!A698)</f>
        <v/>
      </c>
      <c r="E698" s="3">
        <f>SUMIFS(df_eventos!F:F,df_eventos!H:H,Conciliacao!A698)</f>
        <v/>
      </c>
      <c r="F698" s="3">
        <f>SUMIFS(df_mutuos!M:M,df_mutuos!B:B,Conciliacao!A698)</f>
        <v/>
      </c>
      <c r="G698" s="6">
        <f>SUMIFS(df_bloqueios_judiciais!G:G,df_bloqueios_judiciais!D:D,Conciliacao!A698,df_bloqueios_judiciais!G:G,"&gt;0")</f>
        <v/>
      </c>
      <c r="H698" s="7">
        <f>SUMIFS(df_extratos!I:I,df_extratos!F:F,Conciliacao!BE698,df_extratos!G:G,"CREDITO")+SUMIFS(df_extratos!I:I,df_extratos!F:F,Conciliacao!A698,df_extratos!G:G,"CREDITO")+SUMIFS(df_extratos!I:I,df_extratos!F:F,Conciliacao!BF698,df_extratos!G:G,"CREDITO")+SUMIFS(df_extratos!I:I,df_extratos!F:F,Conciliacao!BG698,df_extratos!G:G,"CREDITO")+SUMIFS(df_extratos!I:I,df_extratos!F:F,Conciliacao!BH698,df_extratos!G:G,"CREDITO")</f>
        <v/>
      </c>
      <c r="I698" s="9">
        <f>H698-SUM(B698:G698)</f>
        <v/>
      </c>
      <c r="J698" s="4">
        <f>SUMIFS(df_blueme_sem_parcelamento!E:E,df_blueme_sem_parcelamento!H:H,Conciliacao!A698)*(-1)</f>
        <v/>
      </c>
      <c r="K698" s="4">
        <f>SUMIFS(df_blueme_com_parcelamento!J:J,df_blueme_com_parcelamento!M:M,Conciliacao!A698)*(-1)</f>
        <v/>
      </c>
      <c r="L698" s="4">
        <f>SUMIFS(df_mutuos!N:N,df_mutuos!B:B,Conciliacao!A698)*(-1)</f>
        <v/>
      </c>
      <c r="M698" s="8">
        <f>SUMIFS(df_bloqueios_judiciais!G:G,df_bloqueios_judiciais!D:D,Conciliacao!A698,df_bloqueios_judiciais!G:G,"&lt;0")</f>
        <v/>
      </c>
      <c r="N698" s="10">
        <f>SUMIFS(df_extratos!I:I,df_extratos!F:F,Conciliacao!BE698,df_extratos!G:G,"DEBITO")+SUMIFS(df_extratos!I:I,df_extratos!F:F,Conciliacao!A698,df_extratos!G:G,"DEBITO")+SUMIFS(df_extratos!I:I,df_extratos!F:F,Conciliacao!BF698,df_extratos!G:G,"DEBITO")+SUMIFS(df_extratos!I:I,df_extratos!F:F,Conciliacao!BG698,df_extratos!G:G,"DEBITO")+SUMIFS(df_extratos!I:I,df_extratos!F:F,Conciliacao!BH698,df_extratos!G:G,"DEBITO")</f>
        <v/>
      </c>
      <c r="O698" s="11">
        <f>N698-SUM(J698:M698)</f>
        <v/>
      </c>
      <c r="P698" s="25">
        <f>SUMIFS(df_ajustes_conciliaco!D:D,df_ajustes_conciliaco!C:C,Conciliacao!A698)</f>
        <v/>
      </c>
      <c r="Q698" s="22">
        <f>O698+I698-P698</f>
        <v/>
      </c>
      <c r="BE698" s="20" t="n">
        <v>46354.5</v>
      </c>
      <c r="BF698" s="20" t="n">
        <v>46354.125</v>
      </c>
      <c r="BG698" s="20" t="n">
        <v>46354.5416666088</v>
      </c>
      <c r="BH698" s="20" t="n">
        <v>46354.625</v>
      </c>
    </row>
    <row r="699">
      <c r="A699" s="5">
        <f>A698+1</f>
        <v/>
      </c>
      <c r="B699" s="3">
        <f>-SUMIFS(df_extrato_zig!G:G,df_extrato_zig!E:E,Conciliacao!A699,df_extrato_zig!D:D,"Saque")-SUMIFS(df_extrato_zig!G:G,df_extrato_zig!E:E,Conciliacao!A699,df_extrato_zig!D:D,"Antecipação")</f>
        <v/>
      </c>
      <c r="C699" s="3">
        <f>SUMIFS(df_extrato_zig!E:E,df_extrato_zig!L:L,Conciliacao!A699,df_extrato_zig!F:F,"DINHEIRO")</f>
        <v/>
      </c>
      <c r="D699" s="3">
        <f>SUMIFS(view_parc_agrup!H:H,view_parc_agrup!G:G,Conciliacao!A699)</f>
        <v/>
      </c>
      <c r="E699" s="3">
        <f>SUMIFS(df_eventos!F:F,df_eventos!H:H,Conciliacao!A699)</f>
        <v/>
      </c>
      <c r="F699" s="3">
        <f>SUMIFS(df_mutuos!M:M,df_mutuos!B:B,Conciliacao!A699)</f>
        <v/>
      </c>
      <c r="G699" s="6">
        <f>SUMIFS(df_bloqueios_judiciais!G:G,df_bloqueios_judiciais!D:D,Conciliacao!A699,df_bloqueios_judiciais!G:G,"&gt;0")</f>
        <v/>
      </c>
      <c r="H699" s="7">
        <f>SUMIFS(df_extratos!I:I,df_extratos!F:F,Conciliacao!BE699,df_extratos!G:G,"CREDITO")+SUMIFS(df_extratos!I:I,df_extratos!F:F,Conciliacao!A699,df_extratos!G:G,"CREDITO")+SUMIFS(df_extratos!I:I,df_extratos!F:F,Conciliacao!BF699,df_extratos!G:G,"CREDITO")+SUMIFS(df_extratos!I:I,df_extratos!F:F,Conciliacao!BG699,df_extratos!G:G,"CREDITO")+SUMIFS(df_extratos!I:I,df_extratos!F:F,Conciliacao!BH699,df_extratos!G:G,"CREDITO")</f>
        <v/>
      </c>
      <c r="I699" s="9">
        <f>H699-SUM(B699:G699)</f>
        <v/>
      </c>
      <c r="J699" s="4">
        <f>SUMIFS(df_blueme_sem_parcelamento!E:E,df_blueme_sem_parcelamento!H:H,Conciliacao!A699)*(-1)</f>
        <v/>
      </c>
      <c r="K699" s="4">
        <f>SUMIFS(df_blueme_com_parcelamento!J:J,df_blueme_com_parcelamento!M:M,Conciliacao!A699)*(-1)</f>
        <v/>
      </c>
      <c r="L699" s="4">
        <f>SUMIFS(df_mutuos!N:N,df_mutuos!B:B,Conciliacao!A699)*(-1)</f>
        <v/>
      </c>
      <c r="M699" s="8">
        <f>SUMIFS(df_bloqueios_judiciais!G:G,df_bloqueios_judiciais!D:D,Conciliacao!A699,df_bloqueios_judiciais!G:G,"&lt;0")</f>
        <v/>
      </c>
      <c r="N699" s="10">
        <f>SUMIFS(df_extratos!I:I,df_extratos!F:F,Conciliacao!BE699,df_extratos!G:G,"DEBITO")+SUMIFS(df_extratos!I:I,df_extratos!F:F,Conciliacao!A699,df_extratos!G:G,"DEBITO")+SUMIFS(df_extratos!I:I,df_extratos!F:F,Conciliacao!BF699,df_extratos!G:G,"DEBITO")+SUMIFS(df_extratos!I:I,df_extratos!F:F,Conciliacao!BG699,df_extratos!G:G,"DEBITO")+SUMIFS(df_extratos!I:I,df_extratos!F:F,Conciliacao!BH699,df_extratos!G:G,"DEBITO")</f>
        <v/>
      </c>
      <c r="O699" s="11">
        <f>N699-SUM(J699:M699)</f>
        <v/>
      </c>
      <c r="P699" s="25">
        <f>SUMIFS(df_ajustes_conciliaco!D:D,df_ajustes_conciliaco!C:C,Conciliacao!A699)</f>
        <v/>
      </c>
      <c r="Q699" s="22">
        <f>O699+I699-P699</f>
        <v/>
      </c>
      <c r="BE699" s="20" t="n">
        <v>46355.5</v>
      </c>
      <c r="BF699" s="20" t="n">
        <v>46355.125</v>
      </c>
      <c r="BG699" s="20" t="n">
        <v>46355.5416666088</v>
      </c>
      <c r="BH699" s="20" t="n">
        <v>46355.625</v>
      </c>
    </row>
    <row r="700">
      <c r="A700" s="5">
        <f>A699+1</f>
        <v/>
      </c>
      <c r="B700" s="3">
        <f>-SUMIFS(df_extrato_zig!G:G,df_extrato_zig!E:E,Conciliacao!A700,df_extrato_zig!D:D,"Saque")-SUMIFS(df_extrato_zig!G:G,df_extrato_zig!E:E,Conciliacao!A700,df_extrato_zig!D:D,"Antecipação")</f>
        <v/>
      </c>
      <c r="C700" s="3">
        <f>SUMIFS(df_extrato_zig!E:E,df_extrato_zig!L:L,Conciliacao!A700,df_extrato_zig!F:F,"DINHEIRO")</f>
        <v/>
      </c>
      <c r="D700" s="3">
        <f>SUMIFS(view_parc_agrup!H:H,view_parc_agrup!G:G,Conciliacao!A700)</f>
        <v/>
      </c>
      <c r="E700" s="3">
        <f>SUMIFS(df_eventos!F:F,df_eventos!H:H,Conciliacao!A700)</f>
        <v/>
      </c>
      <c r="F700" s="3">
        <f>SUMIFS(df_mutuos!M:M,df_mutuos!B:B,Conciliacao!A700)</f>
        <v/>
      </c>
      <c r="G700" s="6">
        <f>SUMIFS(df_bloqueios_judiciais!G:G,df_bloqueios_judiciais!D:D,Conciliacao!A700,df_bloqueios_judiciais!G:G,"&gt;0")</f>
        <v/>
      </c>
      <c r="H700" s="7">
        <f>SUMIFS(df_extratos!I:I,df_extratos!F:F,Conciliacao!BE700,df_extratos!G:G,"CREDITO")+SUMIFS(df_extratos!I:I,df_extratos!F:F,Conciliacao!A700,df_extratos!G:G,"CREDITO")+SUMIFS(df_extratos!I:I,df_extratos!F:F,Conciliacao!BF700,df_extratos!G:G,"CREDITO")+SUMIFS(df_extratos!I:I,df_extratos!F:F,Conciliacao!BG700,df_extratos!G:G,"CREDITO")+SUMIFS(df_extratos!I:I,df_extratos!F:F,Conciliacao!BH700,df_extratos!G:G,"CREDITO")</f>
        <v/>
      </c>
      <c r="I700" s="9">
        <f>H700-SUM(B700:G700)</f>
        <v/>
      </c>
      <c r="J700" s="4">
        <f>SUMIFS(df_blueme_sem_parcelamento!E:E,df_blueme_sem_parcelamento!H:H,Conciliacao!A700)*(-1)</f>
        <v/>
      </c>
      <c r="K700" s="4">
        <f>SUMIFS(df_blueme_com_parcelamento!J:J,df_blueme_com_parcelamento!M:M,Conciliacao!A700)*(-1)</f>
        <v/>
      </c>
      <c r="L700" s="4">
        <f>SUMIFS(df_mutuos!N:N,df_mutuos!B:B,Conciliacao!A700)*(-1)</f>
        <v/>
      </c>
      <c r="M700" s="8">
        <f>SUMIFS(df_bloqueios_judiciais!G:G,df_bloqueios_judiciais!D:D,Conciliacao!A700,df_bloqueios_judiciais!G:G,"&lt;0")</f>
        <v/>
      </c>
      <c r="N700" s="10">
        <f>SUMIFS(df_extratos!I:I,df_extratos!F:F,Conciliacao!BE700,df_extratos!G:G,"DEBITO")+SUMIFS(df_extratos!I:I,df_extratos!F:F,Conciliacao!A700,df_extratos!G:G,"DEBITO")+SUMIFS(df_extratos!I:I,df_extratos!F:F,Conciliacao!BF700,df_extratos!G:G,"DEBITO")+SUMIFS(df_extratos!I:I,df_extratos!F:F,Conciliacao!BG700,df_extratos!G:G,"DEBITO")+SUMIFS(df_extratos!I:I,df_extratos!F:F,Conciliacao!BH700,df_extratos!G:G,"DEBITO")</f>
        <v/>
      </c>
      <c r="O700" s="11">
        <f>N700-SUM(J700:M700)</f>
        <v/>
      </c>
      <c r="P700" s="25">
        <f>SUMIFS(df_ajustes_conciliaco!D:D,df_ajustes_conciliaco!C:C,Conciliacao!A700)</f>
        <v/>
      </c>
      <c r="Q700" s="22">
        <f>O700+I700-P700</f>
        <v/>
      </c>
      <c r="BE700" s="20" t="n">
        <v>46356.5</v>
      </c>
      <c r="BF700" s="20" t="n">
        <v>46356.125</v>
      </c>
      <c r="BG700" s="20" t="n">
        <v>46356.5416666088</v>
      </c>
      <c r="BH700" s="20" t="n">
        <v>46356.625</v>
      </c>
    </row>
    <row r="701">
      <c r="A701" s="5">
        <f>A700+1</f>
        <v/>
      </c>
      <c r="B701" s="3">
        <f>-SUMIFS(df_extrato_zig!G:G,df_extrato_zig!E:E,Conciliacao!A701,df_extrato_zig!D:D,"Saque")-SUMIFS(df_extrato_zig!G:G,df_extrato_zig!E:E,Conciliacao!A701,df_extrato_zig!D:D,"Antecipação")</f>
        <v/>
      </c>
      <c r="C701" s="3">
        <f>SUMIFS(df_extrato_zig!E:E,df_extrato_zig!L:L,Conciliacao!A701,df_extrato_zig!F:F,"DINHEIRO")</f>
        <v/>
      </c>
      <c r="D701" s="3">
        <f>SUMIFS(view_parc_agrup!H:H,view_parc_agrup!G:G,Conciliacao!A701)</f>
        <v/>
      </c>
      <c r="E701" s="3">
        <f>SUMIFS(df_eventos!F:F,df_eventos!H:H,Conciliacao!A701)</f>
        <v/>
      </c>
      <c r="F701" s="3">
        <f>SUMIFS(df_mutuos!M:M,df_mutuos!B:B,Conciliacao!A701)</f>
        <v/>
      </c>
      <c r="G701" s="6">
        <f>SUMIFS(df_bloqueios_judiciais!G:G,df_bloqueios_judiciais!D:D,Conciliacao!A701,df_bloqueios_judiciais!G:G,"&gt;0")</f>
        <v/>
      </c>
      <c r="H701" s="7">
        <f>SUMIFS(df_extratos!I:I,df_extratos!F:F,Conciliacao!BE701,df_extratos!G:G,"CREDITO")+SUMIFS(df_extratos!I:I,df_extratos!F:F,Conciliacao!A701,df_extratos!G:G,"CREDITO")+SUMIFS(df_extratos!I:I,df_extratos!F:F,Conciliacao!BF701,df_extratos!G:G,"CREDITO")+SUMIFS(df_extratos!I:I,df_extratos!F:F,Conciliacao!BG701,df_extratos!G:G,"CREDITO")+SUMIFS(df_extratos!I:I,df_extratos!F:F,Conciliacao!BH701,df_extratos!G:G,"CREDITO")</f>
        <v/>
      </c>
      <c r="I701" s="9">
        <f>H701-SUM(B701:G701)</f>
        <v/>
      </c>
      <c r="J701" s="4">
        <f>SUMIFS(df_blueme_sem_parcelamento!E:E,df_blueme_sem_parcelamento!H:H,Conciliacao!A701)*(-1)</f>
        <v/>
      </c>
      <c r="K701" s="4">
        <f>SUMIFS(df_blueme_com_parcelamento!J:J,df_blueme_com_parcelamento!M:M,Conciliacao!A701)*(-1)</f>
        <v/>
      </c>
      <c r="L701" s="4">
        <f>SUMIFS(df_mutuos!N:N,df_mutuos!B:B,Conciliacao!A701)*(-1)</f>
        <v/>
      </c>
      <c r="M701" s="8">
        <f>SUMIFS(df_bloqueios_judiciais!G:G,df_bloqueios_judiciais!D:D,Conciliacao!A701,df_bloqueios_judiciais!G:G,"&lt;0")</f>
        <v/>
      </c>
      <c r="N701" s="10">
        <f>SUMIFS(df_extratos!I:I,df_extratos!F:F,Conciliacao!BE701,df_extratos!G:G,"DEBITO")+SUMIFS(df_extratos!I:I,df_extratos!F:F,Conciliacao!A701,df_extratos!G:G,"DEBITO")+SUMIFS(df_extratos!I:I,df_extratos!F:F,Conciliacao!BF701,df_extratos!G:G,"DEBITO")+SUMIFS(df_extratos!I:I,df_extratos!F:F,Conciliacao!BG701,df_extratos!G:G,"DEBITO")+SUMIFS(df_extratos!I:I,df_extratos!F:F,Conciliacao!BH701,df_extratos!G:G,"DEBITO")</f>
        <v/>
      </c>
      <c r="O701" s="11">
        <f>N701-SUM(J701:M701)</f>
        <v/>
      </c>
      <c r="P701" s="25">
        <f>SUMIFS(df_ajustes_conciliaco!D:D,df_ajustes_conciliaco!C:C,Conciliacao!A701)</f>
        <v/>
      </c>
      <c r="Q701" s="22">
        <f>O701+I701-P701</f>
        <v/>
      </c>
      <c r="BE701" s="20" t="n">
        <v>46357.5</v>
      </c>
      <c r="BF701" s="20" t="n">
        <v>46357.125</v>
      </c>
      <c r="BG701" s="20" t="n">
        <v>46357.5416666088</v>
      </c>
      <c r="BH701" s="20" t="n">
        <v>46357.625</v>
      </c>
    </row>
    <row r="702">
      <c r="A702" s="5">
        <f>A701+1</f>
        <v/>
      </c>
      <c r="B702" s="3">
        <f>-SUMIFS(df_extrato_zig!G:G,df_extrato_zig!E:E,Conciliacao!A702,df_extrato_zig!D:D,"Saque")-SUMIFS(df_extrato_zig!G:G,df_extrato_zig!E:E,Conciliacao!A702,df_extrato_zig!D:D,"Antecipação")</f>
        <v/>
      </c>
      <c r="C702" s="3">
        <f>SUMIFS(df_extrato_zig!E:E,df_extrato_zig!L:L,Conciliacao!A702,df_extrato_zig!F:F,"DINHEIRO")</f>
        <v/>
      </c>
      <c r="D702" s="3">
        <f>SUMIFS(view_parc_agrup!H:H,view_parc_agrup!G:G,Conciliacao!A702)</f>
        <v/>
      </c>
      <c r="E702" s="3">
        <f>SUMIFS(df_eventos!F:F,df_eventos!H:H,Conciliacao!A702)</f>
        <v/>
      </c>
      <c r="F702" s="3">
        <f>SUMIFS(df_mutuos!M:M,df_mutuos!B:B,Conciliacao!A702)</f>
        <v/>
      </c>
      <c r="G702" s="6">
        <f>SUMIFS(df_bloqueios_judiciais!G:G,df_bloqueios_judiciais!D:D,Conciliacao!A702,df_bloqueios_judiciais!G:G,"&gt;0")</f>
        <v/>
      </c>
      <c r="H702" s="7">
        <f>SUMIFS(df_extratos!I:I,df_extratos!F:F,Conciliacao!BE702,df_extratos!G:G,"CREDITO")+SUMIFS(df_extratos!I:I,df_extratos!F:F,Conciliacao!A702,df_extratos!G:G,"CREDITO")+SUMIFS(df_extratos!I:I,df_extratos!F:F,Conciliacao!BF702,df_extratos!G:G,"CREDITO")+SUMIFS(df_extratos!I:I,df_extratos!F:F,Conciliacao!BG702,df_extratos!G:G,"CREDITO")+SUMIFS(df_extratos!I:I,df_extratos!F:F,Conciliacao!BH702,df_extratos!G:G,"CREDITO")</f>
        <v/>
      </c>
      <c r="I702" s="9">
        <f>H702-SUM(B702:G702)</f>
        <v/>
      </c>
      <c r="J702" s="4">
        <f>SUMIFS(df_blueme_sem_parcelamento!E:E,df_blueme_sem_parcelamento!H:H,Conciliacao!A702)*(-1)</f>
        <v/>
      </c>
      <c r="K702" s="4">
        <f>SUMIFS(df_blueme_com_parcelamento!J:J,df_blueme_com_parcelamento!M:M,Conciliacao!A702)*(-1)</f>
        <v/>
      </c>
      <c r="L702" s="4">
        <f>SUMIFS(df_mutuos!N:N,df_mutuos!B:B,Conciliacao!A702)*(-1)</f>
        <v/>
      </c>
      <c r="M702" s="8">
        <f>SUMIFS(df_bloqueios_judiciais!G:G,df_bloqueios_judiciais!D:D,Conciliacao!A702,df_bloqueios_judiciais!G:G,"&lt;0")</f>
        <v/>
      </c>
      <c r="N702" s="10">
        <f>SUMIFS(df_extratos!I:I,df_extratos!F:F,Conciliacao!BE702,df_extratos!G:G,"DEBITO")+SUMIFS(df_extratos!I:I,df_extratos!F:F,Conciliacao!A702,df_extratos!G:G,"DEBITO")+SUMIFS(df_extratos!I:I,df_extratos!F:F,Conciliacao!BF702,df_extratos!G:G,"DEBITO")+SUMIFS(df_extratos!I:I,df_extratos!F:F,Conciliacao!BG702,df_extratos!G:G,"DEBITO")+SUMIFS(df_extratos!I:I,df_extratos!F:F,Conciliacao!BH702,df_extratos!G:G,"DEBITO")</f>
        <v/>
      </c>
      <c r="O702" s="11">
        <f>N702-SUM(J702:M702)</f>
        <v/>
      </c>
      <c r="P702" s="25">
        <f>SUMIFS(df_ajustes_conciliaco!D:D,df_ajustes_conciliaco!C:C,Conciliacao!A702)</f>
        <v/>
      </c>
      <c r="Q702" s="22">
        <f>O702+I702-P702</f>
        <v/>
      </c>
      <c r="BE702" s="20" t="n">
        <v>46358.5</v>
      </c>
      <c r="BF702" s="20" t="n">
        <v>46358.125</v>
      </c>
      <c r="BG702" s="20" t="n">
        <v>46358.5416666088</v>
      </c>
      <c r="BH702" s="20" t="n">
        <v>46358.625</v>
      </c>
    </row>
    <row r="703">
      <c r="A703" s="5">
        <f>A702+1</f>
        <v/>
      </c>
      <c r="B703" s="3">
        <f>-SUMIFS(df_extrato_zig!G:G,df_extrato_zig!E:E,Conciliacao!A703,df_extrato_zig!D:D,"Saque")-SUMIFS(df_extrato_zig!G:G,df_extrato_zig!E:E,Conciliacao!A703,df_extrato_zig!D:D,"Antecipação")</f>
        <v/>
      </c>
      <c r="C703" s="3">
        <f>SUMIFS(df_extrato_zig!E:E,df_extrato_zig!L:L,Conciliacao!A703,df_extrato_zig!F:F,"DINHEIRO")</f>
        <v/>
      </c>
      <c r="D703" s="3">
        <f>SUMIFS(view_parc_agrup!H:H,view_parc_agrup!G:G,Conciliacao!A703)</f>
        <v/>
      </c>
      <c r="E703" s="3">
        <f>SUMIFS(df_eventos!F:F,df_eventos!H:H,Conciliacao!A703)</f>
        <v/>
      </c>
      <c r="F703" s="3">
        <f>SUMIFS(df_mutuos!M:M,df_mutuos!B:B,Conciliacao!A703)</f>
        <v/>
      </c>
      <c r="G703" s="6">
        <f>SUMIFS(df_bloqueios_judiciais!G:G,df_bloqueios_judiciais!D:D,Conciliacao!A703,df_bloqueios_judiciais!G:G,"&gt;0")</f>
        <v/>
      </c>
      <c r="H703" s="7">
        <f>SUMIFS(df_extratos!I:I,df_extratos!F:F,Conciliacao!BE703,df_extratos!G:G,"CREDITO")+SUMIFS(df_extratos!I:I,df_extratos!F:F,Conciliacao!A703,df_extratos!G:G,"CREDITO")+SUMIFS(df_extratos!I:I,df_extratos!F:F,Conciliacao!BF703,df_extratos!G:G,"CREDITO")+SUMIFS(df_extratos!I:I,df_extratos!F:F,Conciliacao!BG703,df_extratos!G:G,"CREDITO")+SUMIFS(df_extratos!I:I,df_extratos!F:F,Conciliacao!BH703,df_extratos!G:G,"CREDITO")</f>
        <v/>
      </c>
      <c r="I703" s="9">
        <f>H703-SUM(B703:G703)</f>
        <v/>
      </c>
      <c r="J703" s="4">
        <f>SUMIFS(df_blueme_sem_parcelamento!E:E,df_blueme_sem_parcelamento!H:H,Conciliacao!A703)*(-1)</f>
        <v/>
      </c>
      <c r="K703" s="4">
        <f>SUMIFS(df_blueme_com_parcelamento!J:J,df_blueme_com_parcelamento!M:M,Conciliacao!A703)*(-1)</f>
        <v/>
      </c>
      <c r="L703" s="4">
        <f>SUMIFS(df_mutuos!N:N,df_mutuos!B:B,Conciliacao!A703)*(-1)</f>
        <v/>
      </c>
      <c r="M703" s="8">
        <f>SUMIFS(df_bloqueios_judiciais!G:G,df_bloqueios_judiciais!D:D,Conciliacao!A703,df_bloqueios_judiciais!G:G,"&lt;0")</f>
        <v/>
      </c>
      <c r="N703" s="10">
        <f>SUMIFS(df_extratos!I:I,df_extratos!F:F,Conciliacao!BE703,df_extratos!G:G,"DEBITO")+SUMIFS(df_extratos!I:I,df_extratos!F:F,Conciliacao!A703,df_extratos!G:G,"DEBITO")+SUMIFS(df_extratos!I:I,df_extratos!F:F,Conciliacao!BF703,df_extratos!G:G,"DEBITO")+SUMIFS(df_extratos!I:I,df_extratos!F:F,Conciliacao!BG703,df_extratos!G:G,"DEBITO")+SUMIFS(df_extratos!I:I,df_extratos!F:F,Conciliacao!BH703,df_extratos!G:G,"DEBITO")</f>
        <v/>
      </c>
      <c r="O703" s="11">
        <f>N703-SUM(J703:M703)</f>
        <v/>
      </c>
      <c r="P703" s="25">
        <f>SUMIFS(df_ajustes_conciliaco!D:D,df_ajustes_conciliaco!C:C,Conciliacao!A703)</f>
        <v/>
      </c>
      <c r="Q703" s="22">
        <f>O703+I703-P703</f>
        <v/>
      </c>
      <c r="BE703" s="20" t="n">
        <v>46359.5</v>
      </c>
      <c r="BF703" s="20" t="n">
        <v>46359.125</v>
      </c>
      <c r="BG703" s="20" t="n">
        <v>46359.5416666088</v>
      </c>
      <c r="BH703" s="20" t="n">
        <v>46359.625</v>
      </c>
    </row>
    <row r="704">
      <c r="A704" s="5">
        <f>A703+1</f>
        <v/>
      </c>
      <c r="B704" s="3">
        <f>-SUMIFS(df_extrato_zig!G:G,df_extrato_zig!E:E,Conciliacao!A704,df_extrato_zig!D:D,"Saque")-SUMIFS(df_extrato_zig!G:G,df_extrato_zig!E:E,Conciliacao!A704,df_extrato_zig!D:D,"Antecipação")</f>
        <v/>
      </c>
      <c r="C704" s="3">
        <f>SUMIFS(df_extrato_zig!E:E,df_extrato_zig!L:L,Conciliacao!A704,df_extrato_zig!F:F,"DINHEIRO")</f>
        <v/>
      </c>
      <c r="D704" s="3">
        <f>SUMIFS(view_parc_agrup!H:H,view_parc_agrup!G:G,Conciliacao!A704)</f>
        <v/>
      </c>
      <c r="E704" s="3">
        <f>SUMIFS(df_eventos!F:F,df_eventos!H:H,Conciliacao!A704)</f>
        <v/>
      </c>
      <c r="F704" s="3">
        <f>SUMIFS(df_mutuos!M:M,df_mutuos!B:B,Conciliacao!A704)</f>
        <v/>
      </c>
      <c r="G704" s="6">
        <f>SUMIFS(df_bloqueios_judiciais!G:G,df_bloqueios_judiciais!D:D,Conciliacao!A704,df_bloqueios_judiciais!G:G,"&gt;0")</f>
        <v/>
      </c>
      <c r="H704" s="7">
        <f>SUMIFS(df_extratos!I:I,df_extratos!F:F,Conciliacao!BE704,df_extratos!G:G,"CREDITO")+SUMIFS(df_extratos!I:I,df_extratos!F:F,Conciliacao!A704,df_extratos!G:G,"CREDITO")+SUMIFS(df_extratos!I:I,df_extratos!F:F,Conciliacao!BF704,df_extratos!G:G,"CREDITO")+SUMIFS(df_extratos!I:I,df_extratos!F:F,Conciliacao!BG704,df_extratos!G:G,"CREDITO")+SUMIFS(df_extratos!I:I,df_extratos!F:F,Conciliacao!BH704,df_extratos!G:G,"CREDITO")</f>
        <v/>
      </c>
      <c r="I704" s="9">
        <f>H704-SUM(B704:G704)</f>
        <v/>
      </c>
      <c r="J704" s="4">
        <f>SUMIFS(df_blueme_sem_parcelamento!E:E,df_blueme_sem_parcelamento!H:H,Conciliacao!A704)*(-1)</f>
        <v/>
      </c>
      <c r="K704" s="4">
        <f>SUMIFS(df_blueme_com_parcelamento!J:J,df_blueme_com_parcelamento!M:M,Conciliacao!A704)*(-1)</f>
        <v/>
      </c>
      <c r="L704" s="4">
        <f>SUMIFS(df_mutuos!N:N,df_mutuos!B:B,Conciliacao!A704)*(-1)</f>
        <v/>
      </c>
      <c r="M704" s="8">
        <f>SUMIFS(df_bloqueios_judiciais!G:G,df_bloqueios_judiciais!D:D,Conciliacao!A704,df_bloqueios_judiciais!G:G,"&lt;0")</f>
        <v/>
      </c>
      <c r="N704" s="10">
        <f>SUMIFS(df_extratos!I:I,df_extratos!F:F,Conciliacao!BE704,df_extratos!G:G,"DEBITO")+SUMIFS(df_extratos!I:I,df_extratos!F:F,Conciliacao!A704,df_extratos!G:G,"DEBITO")+SUMIFS(df_extratos!I:I,df_extratos!F:F,Conciliacao!BF704,df_extratos!G:G,"DEBITO")+SUMIFS(df_extratos!I:I,df_extratos!F:F,Conciliacao!BG704,df_extratos!G:G,"DEBITO")+SUMIFS(df_extratos!I:I,df_extratos!F:F,Conciliacao!BH704,df_extratos!G:G,"DEBITO")</f>
        <v/>
      </c>
      <c r="O704" s="11">
        <f>N704-SUM(J704:M704)</f>
        <v/>
      </c>
      <c r="P704" s="25">
        <f>SUMIFS(df_ajustes_conciliaco!D:D,df_ajustes_conciliaco!C:C,Conciliacao!A704)</f>
        <v/>
      </c>
      <c r="Q704" s="22">
        <f>O704+I704-P704</f>
        <v/>
      </c>
      <c r="BE704" s="20" t="n">
        <v>46360.5</v>
      </c>
      <c r="BF704" s="20" t="n">
        <v>46360.125</v>
      </c>
      <c r="BG704" s="20" t="n">
        <v>46360.5416666088</v>
      </c>
      <c r="BH704" s="20" t="n">
        <v>46360.625</v>
      </c>
    </row>
    <row r="705">
      <c r="A705" s="5">
        <f>A704+1</f>
        <v/>
      </c>
      <c r="B705" s="3">
        <f>-SUMIFS(df_extrato_zig!G:G,df_extrato_zig!E:E,Conciliacao!A705,df_extrato_zig!D:D,"Saque")-SUMIFS(df_extrato_zig!G:G,df_extrato_zig!E:E,Conciliacao!A705,df_extrato_zig!D:D,"Antecipação")</f>
        <v/>
      </c>
      <c r="C705" s="3">
        <f>SUMIFS(df_extrato_zig!E:E,df_extrato_zig!L:L,Conciliacao!A705,df_extrato_zig!F:F,"DINHEIRO")</f>
        <v/>
      </c>
      <c r="D705" s="3">
        <f>SUMIFS(view_parc_agrup!H:H,view_parc_agrup!G:G,Conciliacao!A705)</f>
        <v/>
      </c>
      <c r="E705" s="3">
        <f>SUMIFS(df_eventos!F:F,df_eventos!H:H,Conciliacao!A705)</f>
        <v/>
      </c>
      <c r="F705" s="3">
        <f>SUMIFS(df_mutuos!M:M,df_mutuos!B:B,Conciliacao!A705)</f>
        <v/>
      </c>
      <c r="G705" s="6">
        <f>SUMIFS(df_bloqueios_judiciais!G:G,df_bloqueios_judiciais!D:D,Conciliacao!A705,df_bloqueios_judiciais!G:G,"&gt;0")</f>
        <v/>
      </c>
      <c r="H705" s="7">
        <f>SUMIFS(df_extratos!I:I,df_extratos!F:F,Conciliacao!BE705,df_extratos!G:G,"CREDITO")+SUMIFS(df_extratos!I:I,df_extratos!F:F,Conciliacao!A705,df_extratos!G:G,"CREDITO")+SUMIFS(df_extratos!I:I,df_extratos!F:F,Conciliacao!BF705,df_extratos!G:G,"CREDITO")+SUMIFS(df_extratos!I:I,df_extratos!F:F,Conciliacao!BG705,df_extratos!G:G,"CREDITO")+SUMIFS(df_extratos!I:I,df_extratos!F:F,Conciliacao!BH705,df_extratos!G:G,"CREDITO")</f>
        <v/>
      </c>
      <c r="I705" s="9">
        <f>H705-SUM(B705:G705)</f>
        <v/>
      </c>
      <c r="J705" s="4">
        <f>SUMIFS(df_blueme_sem_parcelamento!E:E,df_blueme_sem_parcelamento!H:H,Conciliacao!A705)*(-1)</f>
        <v/>
      </c>
      <c r="K705" s="4">
        <f>SUMIFS(df_blueme_com_parcelamento!J:J,df_blueme_com_parcelamento!M:M,Conciliacao!A705)*(-1)</f>
        <v/>
      </c>
      <c r="L705" s="4">
        <f>SUMIFS(df_mutuos!N:N,df_mutuos!B:B,Conciliacao!A705)*(-1)</f>
        <v/>
      </c>
      <c r="M705" s="8">
        <f>SUMIFS(df_bloqueios_judiciais!G:G,df_bloqueios_judiciais!D:D,Conciliacao!A705,df_bloqueios_judiciais!G:G,"&lt;0")</f>
        <v/>
      </c>
      <c r="N705" s="10">
        <f>SUMIFS(df_extratos!I:I,df_extratos!F:F,Conciliacao!BE705,df_extratos!G:G,"DEBITO")+SUMIFS(df_extratos!I:I,df_extratos!F:F,Conciliacao!A705,df_extratos!G:G,"DEBITO")+SUMIFS(df_extratos!I:I,df_extratos!F:F,Conciliacao!BF705,df_extratos!G:G,"DEBITO")+SUMIFS(df_extratos!I:I,df_extratos!F:F,Conciliacao!BG705,df_extratos!G:G,"DEBITO")+SUMIFS(df_extratos!I:I,df_extratos!F:F,Conciliacao!BH705,df_extratos!G:G,"DEBITO")</f>
        <v/>
      </c>
      <c r="O705" s="11">
        <f>N705-SUM(J705:M705)</f>
        <v/>
      </c>
      <c r="P705" s="25">
        <f>SUMIFS(df_ajustes_conciliaco!D:D,df_ajustes_conciliaco!C:C,Conciliacao!A705)</f>
        <v/>
      </c>
      <c r="Q705" s="22">
        <f>O705+I705-P705</f>
        <v/>
      </c>
      <c r="BE705" s="20" t="n">
        <v>46361.5</v>
      </c>
      <c r="BF705" s="20" t="n">
        <v>46361.125</v>
      </c>
      <c r="BG705" s="20" t="n">
        <v>46361.5416666088</v>
      </c>
      <c r="BH705" s="20" t="n">
        <v>46361.625</v>
      </c>
    </row>
    <row r="706">
      <c r="A706" s="5">
        <f>A705+1</f>
        <v/>
      </c>
      <c r="B706" s="3">
        <f>-SUMIFS(df_extrato_zig!G:G,df_extrato_zig!E:E,Conciliacao!A706,df_extrato_zig!D:D,"Saque")-SUMIFS(df_extrato_zig!G:G,df_extrato_zig!E:E,Conciliacao!A706,df_extrato_zig!D:D,"Antecipação")</f>
        <v/>
      </c>
      <c r="C706" s="3">
        <f>SUMIFS(df_extrato_zig!E:E,df_extrato_zig!L:L,Conciliacao!A706,df_extrato_zig!F:F,"DINHEIRO")</f>
        <v/>
      </c>
      <c r="D706" s="3">
        <f>SUMIFS(view_parc_agrup!H:H,view_parc_agrup!G:G,Conciliacao!A706)</f>
        <v/>
      </c>
      <c r="E706" s="3">
        <f>SUMIFS(df_eventos!F:F,df_eventos!H:H,Conciliacao!A706)</f>
        <v/>
      </c>
      <c r="F706" s="3">
        <f>SUMIFS(df_mutuos!M:M,df_mutuos!B:B,Conciliacao!A706)</f>
        <v/>
      </c>
      <c r="G706" s="6">
        <f>SUMIFS(df_bloqueios_judiciais!G:G,df_bloqueios_judiciais!D:D,Conciliacao!A706,df_bloqueios_judiciais!G:G,"&gt;0")</f>
        <v/>
      </c>
      <c r="H706" s="7">
        <f>SUMIFS(df_extratos!I:I,df_extratos!F:F,Conciliacao!BE706,df_extratos!G:G,"CREDITO")+SUMIFS(df_extratos!I:I,df_extratos!F:F,Conciliacao!A706,df_extratos!G:G,"CREDITO")+SUMIFS(df_extratos!I:I,df_extratos!F:F,Conciliacao!BF706,df_extratos!G:G,"CREDITO")+SUMIFS(df_extratos!I:I,df_extratos!F:F,Conciliacao!BG706,df_extratos!G:G,"CREDITO")+SUMIFS(df_extratos!I:I,df_extratos!F:F,Conciliacao!BH706,df_extratos!G:G,"CREDITO")</f>
        <v/>
      </c>
      <c r="I706" s="9">
        <f>H706-SUM(B706:G706)</f>
        <v/>
      </c>
      <c r="J706" s="4">
        <f>SUMIFS(df_blueme_sem_parcelamento!E:E,df_blueme_sem_parcelamento!H:H,Conciliacao!A706)*(-1)</f>
        <v/>
      </c>
      <c r="K706" s="4">
        <f>SUMIFS(df_blueme_com_parcelamento!J:J,df_blueme_com_parcelamento!M:M,Conciliacao!A706)*(-1)</f>
        <v/>
      </c>
      <c r="L706" s="4">
        <f>SUMIFS(df_mutuos!N:N,df_mutuos!B:B,Conciliacao!A706)*(-1)</f>
        <v/>
      </c>
      <c r="M706" s="8">
        <f>SUMIFS(df_bloqueios_judiciais!G:G,df_bloqueios_judiciais!D:D,Conciliacao!A706,df_bloqueios_judiciais!G:G,"&lt;0")</f>
        <v/>
      </c>
      <c r="N706" s="10">
        <f>SUMIFS(df_extratos!I:I,df_extratos!F:F,Conciliacao!BE706,df_extratos!G:G,"DEBITO")+SUMIFS(df_extratos!I:I,df_extratos!F:F,Conciliacao!A706,df_extratos!G:G,"DEBITO")+SUMIFS(df_extratos!I:I,df_extratos!F:F,Conciliacao!BF706,df_extratos!G:G,"DEBITO")+SUMIFS(df_extratos!I:I,df_extratos!F:F,Conciliacao!BG706,df_extratos!G:G,"DEBITO")+SUMIFS(df_extratos!I:I,df_extratos!F:F,Conciliacao!BH706,df_extratos!G:G,"DEBITO")</f>
        <v/>
      </c>
      <c r="O706" s="11">
        <f>N706-SUM(J706:M706)</f>
        <v/>
      </c>
      <c r="P706" s="25">
        <f>SUMIFS(df_ajustes_conciliaco!D:D,df_ajustes_conciliaco!C:C,Conciliacao!A706)</f>
        <v/>
      </c>
      <c r="Q706" s="22">
        <f>O706+I706-P706</f>
        <v/>
      </c>
      <c r="BE706" s="20" t="n">
        <v>46362.5</v>
      </c>
      <c r="BF706" s="20" t="n">
        <v>46362.125</v>
      </c>
      <c r="BG706" s="20" t="n">
        <v>46362.5416666088</v>
      </c>
      <c r="BH706" s="20" t="n">
        <v>46362.625</v>
      </c>
    </row>
    <row r="707">
      <c r="A707" s="5">
        <f>A706+1</f>
        <v/>
      </c>
      <c r="B707" s="3">
        <f>-SUMIFS(df_extrato_zig!G:G,df_extrato_zig!E:E,Conciliacao!A707,df_extrato_zig!D:D,"Saque")-SUMIFS(df_extrato_zig!G:G,df_extrato_zig!E:E,Conciliacao!A707,df_extrato_zig!D:D,"Antecipação")</f>
        <v/>
      </c>
      <c r="C707" s="3">
        <f>SUMIFS(df_extrato_zig!E:E,df_extrato_zig!L:L,Conciliacao!A707,df_extrato_zig!F:F,"DINHEIRO")</f>
        <v/>
      </c>
      <c r="D707" s="3">
        <f>SUMIFS(view_parc_agrup!H:H,view_parc_agrup!G:G,Conciliacao!A707)</f>
        <v/>
      </c>
      <c r="E707" s="3">
        <f>SUMIFS(df_eventos!F:F,df_eventos!H:H,Conciliacao!A707)</f>
        <v/>
      </c>
      <c r="F707" s="3">
        <f>SUMIFS(df_mutuos!M:M,df_mutuos!B:B,Conciliacao!A707)</f>
        <v/>
      </c>
      <c r="G707" s="6">
        <f>SUMIFS(df_bloqueios_judiciais!G:G,df_bloqueios_judiciais!D:D,Conciliacao!A707,df_bloqueios_judiciais!G:G,"&gt;0")</f>
        <v/>
      </c>
      <c r="H707" s="7">
        <f>SUMIFS(df_extratos!I:I,df_extratos!F:F,Conciliacao!BE707,df_extratos!G:G,"CREDITO")+SUMIFS(df_extratos!I:I,df_extratos!F:F,Conciliacao!A707,df_extratos!G:G,"CREDITO")+SUMIFS(df_extratos!I:I,df_extratos!F:F,Conciliacao!BF707,df_extratos!G:G,"CREDITO")+SUMIFS(df_extratos!I:I,df_extratos!F:F,Conciliacao!BG707,df_extratos!G:G,"CREDITO")+SUMIFS(df_extratos!I:I,df_extratos!F:F,Conciliacao!BH707,df_extratos!G:G,"CREDITO")</f>
        <v/>
      </c>
      <c r="I707" s="9">
        <f>H707-SUM(B707:G707)</f>
        <v/>
      </c>
      <c r="J707" s="4">
        <f>SUMIFS(df_blueme_sem_parcelamento!E:E,df_blueme_sem_parcelamento!H:H,Conciliacao!A707)*(-1)</f>
        <v/>
      </c>
      <c r="K707" s="4">
        <f>SUMIFS(df_blueme_com_parcelamento!J:J,df_blueme_com_parcelamento!M:M,Conciliacao!A707)*(-1)</f>
        <v/>
      </c>
      <c r="L707" s="4">
        <f>SUMIFS(df_mutuos!N:N,df_mutuos!B:B,Conciliacao!A707)*(-1)</f>
        <v/>
      </c>
      <c r="M707" s="8">
        <f>SUMIFS(df_bloqueios_judiciais!G:G,df_bloqueios_judiciais!D:D,Conciliacao!A707,df_bloqueios_judiciais!G:G,"&lt;0")</f>
        <v/>
      </c>
      <c r="N707" s="10">
        <f>SUMIFS(df_extratos!I:I,df_extratos!F:F,Conciliacao!BE707,df_extratos!G:G,"DEBITO")+SUMIFS(df_extratos!I:I,df_extratos!F:F,Conciliacao!A707,df_extratos!G:G,"DEBITO")+SUMIFS(df_extratos!I:I,df_extratos!F:F,Conciliacao!BF707,df_extratos!G:G,"DEBITO")+SUMIFS(df_extratos!I:I,df_extratos!F:F,Conciliacao!BG707,df_extratos!G:G,"DEBITO")+SUMIFS(df_extratos!I:I,df_extratos!F:F,Conciliacao!BH707,df_extratos!G:G,"DEBITO")</f>
        <v/>
      </c>
      <c r="O707" s="11">
        <f>N707-SUM(J707:M707)</f>
        <v/>
      </c>
      <c r="P707" s="25">
        <f>SUMIFS(df_ajustes_conciliaco!D:D,df_ajustes_conciliaco!C:C,Conciliacao!A707)</f>
        <v/>
      </c>
      <c r="Q707" s="22">
        <f>O707+I707-P707</f>
        <v/>
      </c>
      <c r="BE707" s="20" t="n">
        <v>46363.5</v>
      </c>
      <c r="BF707" s="20" t="n">
        <v>46363.125</v>
      </c>
      <c r="BG707" s="20" t="n">
        <v>46363.5416666088</v>
      </c>
      <c r="BH707" s="20" t="n">
        <v>46363.625</v>
      </c>
    </row>
    <row r="708">
      <c r="A708" s="5">
        <f>A707+1</f>
        <v/>
      </c>
      <c r="B708" s="3">
        <f>-SUMIFS(df_extrato_zig!G:G,df_extrato_zig!E:E,Conciliacao!A708,df_extrato_zig!D:D,"Saque")-SUMIFS(df_extrato_zig!G:G,df_extrato_zig!E:E,Conciliacao!A708,df_extrato_zig!D:D,"Antecipação")</f>
        <v/>
      </c>
      <c r="C708" s="3">
        <f>SUMIFS(df_extrato_zig!E:E,df_extrato_zig!L:L,Conciliacao!A708,df_extrato_zig!F:F,"DINHEIRO")</f>
        <v/>
      </c>
      <c r="D708" s="3">
        <f>SUMIFS(view_parc_agrup!H:H,view_parc_agrup!G:G,Conciliacao!A708)</f>
        <v/>
      </c>
      <c r="E708" s="3">
        <f>SUMIFS(df_eventos!F:F,df_eventos!H:H,Conciliacao!A708)</f>
        <v/>
      </c>
      <c r="F708" s="3">
        <f>SUMIFS(df_mutuos!M:M,df_mutuos!B:B,Conciliacao!A708)</f>
        <v/>
      </c>
      <c r="G708" s="6">
        <f>SUMIFS(df_bloqueios_judiciais!G:G,df_bloqueios_judiciais!D:D,Conciliacao!A708,df_bloqueios_judiciais!G:G,"&gt;0")</f>
        <v/>
      </c>
      <c r="H708" s="7">
        <f>SUMIFS(df_extratos!I:I,df_extratos!F:F,Conciliacao!BE708,df_extratos!G:G,"CREDITO")+SUMIFS(df_extratos!I:I,df_extratos!F:F,Conciliacao!A708,df_extratos!G:G,"CREDITO")+SUMIFS(df_extratos!I:I,df_extratos!F:F,Conciliacao!BF708,df_extratos!G:G,"CREDITO")+SUMIFS(df_extratos!I:I,df_extratos!F:F,Conciliacao!BG708,df_extratos!G:G,"CREDITO")+SUMIFS(df_extratos!I:I,df_extratos!F:F,Conciliacao!BH708,df_extratos!G:G,"CREDITO")</f>
        <v/>
      </c>
      <c r="I708" s="9">
        <f>H708-SUM(B708:G708)</f>
        <v/>
      </c>
      <c r="J708" s="4">
        <f>SUMIFS(df_blueme_sem_parcelamento!E:E,df_blueme_sem_parcelamento!H:H,Conciliacao!A708)*(-1)</f>
        <v/>
      </c>
      <c r="K708" s="4">
        <f>SUMIFS(df_blueme_com_parcelamento!J:J,df_blueme_com_parcelamento!M:M,Conciliacao!A708)*(-1)</f>
        <v/>
      </c>
      <c r="L708" s="4">
        <f>SUMIFS(df_mutuos!N:N,df_mutuos!B:B,Conciliacao!A708)*(-1)</f>
        <v/>
      </c>
      <c r="M708" s="8">
        <f>SUMIFS(df_bloqueios_judiciais!G:G,df_bloqueios_judiciais!D:D,Conciliacao!A708,df_bloqueios_judiciais!G:G,"&lt;0")</f>
        <v/>
      </c>
      <c r="N708" s="10">
        <f>SUMIFS(df_extratos!I:I,df_extratos!F:F,Conciliacao!BE708,df_extratos!G:G,"DEBITO")+SUMIFS(df_extratos!I:I,df_extratos!F:F,Conciliacao!A708,df_extratos!G:G,"DEBITO")+SUMIFS(df_extratos!I:I,df_extratos!F:F,Conciliacao!BF708,df_extratos!G:G,"DEBITO")+SUMIFS(df_extratos!I:I,df_extratos!F:F,Conciliacao!BG708,df_extratos!G:G,"DEBITO")+SUMIFS(df_extratos!I:I,df_extratos!F:F,Conciliacao!BH708,df_extratos!G:G,"DEBITO")</f>
        <v/>
      </c>
      <c r="O708" s="11">
        <f>N708-SUM(J708:M708)</f>
        <v/>
      </c>
      <c r="P708" s="25">
        <f>SUMIFS(df_ajustes_conciliaco!D:D,df_ajustes_conciliaco!C:C,Conciliacao!A708)</f>
        <v/>
      </c>
      <c r="Q708" s="22">
        <f>O708+I708-P708</f>
        <v/>
      </c>
      <c r="BE708" s="20" t="n">
        <v>46364.5</v>
      </c>
      <c r="BF708" s="20" t="n">
        <v>46364.125</v>
      </c>
      <c r="BG708" s="20" t="n">
        <v>46364.5416666088</v>
      </c>
      <c r="BH708" s="20" t="n">
        <v>46364.625</v>
      </c>
    </row>
    <row r="709">
      <c r="A709" s="5">
        <f>A708+1</f>
        <v/>
      </c>
      <c r="B709" s="3">
        <f>-SUMIFS(df_extrato_zig!G:G,df_extrato_zig!E:E,Conciliacao!A709,df_extrato_zig!D:D,"Saque")-SUMIFS(df_extrato_zig!G:G,df_extrato_zig!E:E,Conciliacao!A709,df_extrato_zig!D:D,"Antecipação")</f>
        <v/>
      </c>
      <c r="C709" s="3">
        <f>SUMIFS(df_extrato_zig!E:E,df_extrato_zig!L:L,Conciliacao!A709,df_extrato_zig!F:F,"DINHEIRO")</f>
        <v/>
      </c>
      <c r="D709" s="3">
        <f>SUMIFS(view_parc_agrup!H:H,view_parc_agrup!G:G,Conciliacao!A709)</f>
        <v/>
      </c>
      <c r="E709" s="3">
        <f>SUMIFS(df_eventos!F:F,df_eventos!H:H,Conciliacao!A709)</f>
        <v/>
      </c>
      <c r="F709" s="3">
        <f>SUMIFS(df_mutuos!M:M,df_mutuos!B:B,Conciliacao!A709)</f>
        <v/>
      </c>
      <c r="G709" s="6">
        <f>SUMIFS(df_bloqueios_judiciais!G:G,df_bloqueios_judiciais!D:D,Conciliacao!A709,df_bloqueios_judiciais!G:G,"&gt;0")</f>
        <v/>
      </c>
      <c r="H709" s="7">
        <f>SUMIFS(df_extratos!I:I,df_extratos!F:F,Conciliacao!BE709,df_extratos!G:G,"CREDITO")+SUMIFS(df_extratos!I:I,df_extratos!F:F,Conciliacao!A709,df_extratos!G:G,"CREDITO")+SUMIFS(df_extratos!I:I,df_extratos!F:F,Conciliacao!BF709,df_extratos!G:G,"CREDITO")+SUMIFS(df_extratos!I:I,df_extratos!F:F,Conciliacao!BG709,df_extratos!G:G,"CREDITO")+SUMIFS(df_extratos!I:I,df_extratos!F:F,Conciliacao!BH709,df_extratos!G:G,"CREDITO")</f>
        <v/>
      </c>
      <c r="I709" s="9">
        <f>H709-SUM(B709:G709)</f>
        <v/>
      </c>
      <c r="J709" s="4">
        <f>SUMIFS(df_blueme_sem_parcelamento!E:E,df_blueme_sem_parcelamento!H:H,Conciliacao!A709)*(-1)</f>
        <v/>
      </c>
      <c r="K709" s="4">
        <f>SUMIFS(df_blueme_com_parcelamento!J:J,df_blueme_com_parcelamento!M:M,Conciliacao!A709)*(-1)</f>
        <v/>
      </c>
      <c r="L709" s="4">
        <f>SUMIFS(df_mutuos!N:N,df_mutuos!B:B,Conciliacao!A709)*(-1)</f>
        <v/>
      </c>
      <c r="M709" s="8">
        <f>SUMIFS(df_bloqueios_judiciais!G:G,df_bloqueios_judiciais!D:D,Conciliacao!A709,df_bloqueios_judiciais!G:G,"&lt;0")</f>
        <v/>
      </c>
      <c r="N709" s="10">
        <f>SUMIFS(df_extratos!I:I,df_extratos!F:F,Conciliacao!BE709,df_extratos!G:G,"DEBITO")+SUMIFS(df_extratos!I:I,df_extratos!F:F,Conciliacao!A709,df_extratos!G:G,"DEBITO")+SUMIFS(df_extratos!I:I,df_extratos!F:F,Conciliacao!BF709,df_extratos!G:G,"DEBITO")+SUMIFS(df_extratos!I:I,df_extratos!F:F,Conciliacao!BG709,df_extratos!G:G,"DEBITO")+SUMIFS(df_extratos!I:I,df_extratos!F:F,Conciliacao!BH709,df_extratos!G:G,"DEBITO")</f>
        <v/>
      </c>
      <c r="O709" s="11">
        <f>N709-SUM(J709:M709)</f>
        <v/>
      </c>
      <c r="P709" s="25">
        <f>SUMIFS(df_ajustes_conciliaco!D:D,df_ajustes_conciliaco!C:C,Conciliacao!A709)</f>
        <v/>
      </c>
      <c r="Q709" s="22">
        <f>O709+I709-P709</f>
        <v/>
      </c>
      <c r="BE709" s="20" t="n">
        <v>46365.5</v>
      </c>
      <c r="BF709" s="20" t="n">
        <v>46365.125</v>
      </c>
      <c r="BG709" s="20" t="n">
        <v>46365.5416666088</v>
      </c>
      <c r="BH709" s="20" t="n">
        <v>46365.625</v>
      </c>
    </row>
    <row r="710">
      <c r="A710" s="5">
        <f>A709+1</f>
        <v/>
      </c>
      <c r="B710" s="3">
        <f>-SUMIFS(df_extrato_zig!G:G,df_extrato_zig!E:E,Conciliacao!A710,df_extrato_zig!D:D,"Saque")-SUMIFS(df_extrato_zig!G:G,df_extrato_zig!E:E,Conciliacao!A710,df_extrato_zig!D:D,"Antecipação")</f>
        <v/>
      </c>
      <c r="C710" s="3">
        <f>SUMIFS(df_extrato_zig!E:E,df_extrato_zig!L:L,Conciliacao!A710,df_extrato_zig!F:F,"DINHEIRO")</f>
        <v/>
      </c>
      <c r="D710" s="3">
        <f>SUMIFS(view_parc_agrup!H:H,view_parc_agrup!G:G,Conciliacao!A710)</f>
        <v/>
      </c>
      <c r="E710" s="3">
        <f>SUMIFS(df_eventos!F:F,df_eventos!H:H,Conciliacao!A710)</f>
        <v/>
      </c>
      <c r="F710" s="3">
        <f>SUMIFS(df_mutuos!M:M,df_mutuos!B:B,Conciliacao!A710)</f>
        <v/>
      </c>
      <c r="G710" s="6">
        <f>SUMIFS(df_bloqueios_judiciais!G:G,df_bloqueios_judiciais!D:D,Conciliacao!A710,df_bloqueios_judiciais!G:G,"&gt;0")</f>
        <v/>
      </c>
      <c r="H710" s="7">
        <f>SUMIFS(df_extratos!I:I,df_extratos!F:F,Conciliacao!BE710,df_extratos!G:G,"CREDITO")+SUMIFS(df_extratos!I:I,df_extratos!F:F,Conciliacao!A710,df_extratos!G:G,"CREDITO")+SUMIFS(df_extratos!I:I,df_extratos!F:F,Conciliacao!BF710,df_extratos!G:G,"CREDITO")+SUMIFS(df_extratos!I:I,df_extratos!F:F,Conciliacao!BG710,df_extratos!G:G,"CREDITO")+SUMIFS(df_extratos!I:I,df_extratos!F:F,Conciliacao!BH710,df_extratos!G:G,"CREDITO")</f>
        <v/>
      </c>
      <c r="I710" s="9">
        <f>H710-SUM(B710:G710)</f>
        <v/>
      </c>
      <c r="J710" s="4">
        <f>SUMIFS(df_blueme_sem_parcelamento!E:E,df_blueme_sem_parcelamento!H:H,Conciliacao!A710)*(-1)</f>
        <v/>
      </c>
      <c r="K710" s="4">
        <f>SUMIFS(df_blueme_com_parcelamento!J:J,df_blueme_com_parcelamento!M:M,Conciliacao!A710)*(-1)</f>
        <v/>
      </c>
      <c r="L710" s="4">
        <f>SUMIFS(df_mutuos!N:N,df_mutuos!B:B,Conciliacao!A710)*(-1)</f>
        <v/>
      </c>
      <c r="M710" s="8">
        <f>SUMIFS(df_bloqueios_judiciais!G:G,df_bloqueios_judiciais!D:D,Conciliacao!A710,df_bloqueios_judiciais!G:G,"&lt;0")</f>
        <v/>
      </c>
      <c r="N710" s="10">
        <f>SUMIFS(df_extratos!I:I,df_extratos!F:F,Conciliacao!BE710,df_extratos!G:G,"DEBITO")+SUMIFS(df_extratos!I:I,df_extratos!F:F,Conciliacao!A710,df_extratos!G:G,"DEBITO")+SUMIFS(df_extratos!I:I,df_extratos!F:F,Conciliacao!BF710,df_extratos!G:G,"DEBITO")+SUMIFS(df_extratos!I:I,df_extratos!F:F,Conciliacao!BG710,df_extratos!G:G,"DEBITO")+SUMIFS(df_extratos!I:I,df_extratos!F:F,Conciliacao!BH710,df_extratos!G:G,"DEBITO")</f>
        <v/>
      </c>
      <c r="O710" s="11">
        <f>N710-SUM(J710:M710)</f>
        <v/>
      </c>
      <c r="P710" s="25">
        <f>SUMIFS(df_ajustes_conciliaco!D:D,df_ajustes_conciliaco!C:C,Conciliacao!A710)</f>
        <v/>
      </c>
      <c r="Q710" s="22">
        <f>O710+I710-P710</f>
        <v/>
      </c>
      <c r="BE710" s="20" t="n">
        <v>46366.5</v>
      </c>
      <c r="BF710" s="20" t="n">
        <v>46366.125</v>
      </c>
      <c r="BG710" s="20" t="n">
        <v>46366.5416666088</v>
      </c>
      <c r="BH710" s="20" t="n">
        <v>46366.625</v>
      </c>
    </row>
    <row r="711">
      <c r="A711" s="5">
        <f>A710+1</f>
        <v/>
      </c>
      <c r="B711" s="3">
        <f>-SUMIFS(df_extrato_zig!G:G,df_extrato_zig!E:E,Conciliacao!A711,df_extrato_zig!D:D,"Saque")-SUMIFS(df_extrato_zig!G:G,df_extrato_zig!E:E,Conciliacao!A711,df_extrato_zig!D:D,"Antecipação")</f>
        <v/>
      </c>
      <c r="C711" s="3">
        <f>SUMIFS(df_extrato_zig!E:E,df_extrato_zig!L:L,Conciliacao!A711,df_extrato_zig!F:F,"DINHEIRO")</f>
        <v/>
      </c>
      <c r="D711" s="3">
        <f>SUMIFS(view_parc_agrup!H:H,view_parc_agrup!G:G,Conciliacao!A711)</f>
        <v/>
      </c>
      <c r="E711" s="3">
        <f>SUMIFS(df_eventos!F:F,df_eventos!H:H,Conciliacao!A711)</f>
        <v/>
      </c>
      <c r="F711" s="3">
        <f>SUMIFS(df_mutuos!M:M,df_mutuos!B:B,Conciliacao!A711)</f>
        <v/>
      </c>
      <c r="G711" s="6">
        <f>SUMIFS(df_bloqueios_judiciais!G:G,df_bloqueios_judiciais!D:D,Conciliacao!A711,df_bloqueios_judiciais!G:G,"&gt;0")</f>
        <v/>
      </c>
      <c r="H711" s="7">
        <f>SUMIFS(df_extratos!I:I,df_extratos!F:F,Conciliacao!BE711,df_extratos!G:G,"CREDITO")+SUMIFS(df_extratos!I:I,df_extratos!F:F,Conciliacao!A711,df_extratos!G:G,"CREDITO")+SUMIFS(df_extratos!I:I,df_extratos!F:F,Conciliacao!BF711,df_extratos!G:G,"CREDITO")+SUMIFS(df_extratos!I:I,df_extratos!F:F,Conciliacao!BG711,df_extratos!G:G,"CREDITO")+SUMIFS(df_extratos!I:I,df_extratos!F:F,Conciliacao!BH711,df_extratos!G:G,"CREDITO")</f>
        <v/>
      </c>
      <c r="I711" s="9">
        <f>H711-SUM(B711:G711)</f>
        <v/>
      </c>
      <c r="J711" s="4">
        <f>SUMIFS(df_blueme_sem_parcelamento!E:E,df_blueme_sem_parcelamento!H:H,Conciliacao!A711)*(-1)</f>
        <v/>
      </c>
      <c r="K711" s="4">
        <f>SUMIFS(df_blueme_com_parcelamento!J:J,df_blueme_com_parcelamento!M:M,Conciliacao!A711)*(-1)</f>
        <v/>
      </c>
      <c r="L711" s="4">
        <f>SUMIFS(df_mutuos!N:N,df_mutuos!B:B,Conciliacao!A711)*(-1)</f>
        <v/>
      </c>
      <c r="M711" s="8">
        <f>SUMIFS(df_bloqueios_judiciais!G:G,df_bloqueios_judiciais!D:D,Conciliacao!A711,df_bloqueios_judiciais!G:G,"&lt;0")</f>
        <v/>
      </c>
      <c r="N711" s="10">
        <f>SUMIFS(df_extratos!I:I,df_extratos!F:F,Conciliacao!BE711,df_extratos!G:G,"DEBITO")+SUMIFS(df_extratos!I:I,df_extratos!F:F,Conciliacao!A711,df_extratos!G:G,"DEBITO")+SUMIFS(df_extratos!I:I,df_extratos!F:F,Conciliacao!BF711,df_extratos!G:G,"DEBITO")+SUMIFS(df_extratos!I:I,df_extratos!F:F,Conciliacao!BG711,df_extratos!G:G,"DEBITO")+SUMIFS(df_extratos!I:I,df_extratos!F:F,Conciliacao!BH711,df_extratos!G:G,"DEBITO")</f>
        <v/>
      </c>
      <c r="O711" s="11">
        <f>N711-SUM(J711:M711)</f>
        <v/>
      </c>
      <c r="P711" s="25">
        <f>SUMIFS(df_ajustes_conciliaco!D:D,df_ajustes_conciliaco!C:C,Conciliacao!A711)</f>
        <v/>
      </c>
      <c r="Q711" s="22">
        <f>O711+I711-P711</f>
        <v/>
      </c>
      <c r="BE711" s="20" t="n">
        <v>46367.5</v>
      </c>
      <c r="BF711" s="20" t="n">
        <v>46367.125</v>
      </c>
      <c r="BG711" s="20" t="n">
        <v>46367.5416666088</v>
      </c>
      <c r="BH711" s="20" t="n">
        <v>46367.625</v>
      </c>
    </row>
    <row r="712">
      <c r="A712" s="5">
        <f>A711+1</f>
        <v/>
      </c>
      <c r="B712" s="3">
        <f>-SUMIFS(df_extrato_zig!G:G,df_extrato_zig!E:E,Conciliacao!A712,df_extrato_zig!D:D,"Saque")-SUMIFS(df_extrato_zig!G:G,df_extrato_zig!E:E,Conciliacao!A712,df_extrato_zig!D:D,"Antecipação")</f>
        <v/>
      </c>
      <c r="C712" s="3">
        <f>SUMIFS(df_extrato_zig!E:E,df_extrato_zig!L:L,Conciliacao!A712,df_extrato_zig!F:F,"DINHEIRO")</f>
        <v/>
      </c>
      <c r="D712" s="3">
        <f>SUMIFS(view_parc_agrup!H:H,view_parc_agrup!G:G,Conciliacao!A712)</f>
        <v/>
      </c>
      <c r="E712" s="3">
        <f>SUMIFS(df_eventos!F:F,df_eventos!H:H,Conciliacao!A712)</f>
        <v/>
      </c>
      <c r="F712" s="3">
        <f>SUMIFS(df_mutuos!M:M,df_mutuos!B:B,Conciliacao!A712)</f>
        <v/>
      </c>
      <c r="G712" s="6">
        <f>SUMIFS(df_bloqueios_judiciais!G:G,df_bloqueios_judiciais!D:D,Conciliacao!A712,df_bloqueios_judiciais!G:G,"&gt;0")</f>
        <v/>
      </c>
      <c r="H712" s="7">
        <f>SUMIFS(df_extratos!I:I,df_extratos!F:F,Conciliacao!BE712,df_extratos!G:G,"CREDITO")+SUMIFS(df_extratos!I:I,df_extratos!F:F,Conciliacao!A712,df_extratos!G:G,"CREDITO")+SUMIFS(df_extratos!I:I,df_extratos!F:F,Conciliacao!BF712,df_extratos!G:G,"CREDITO")+SUMIFS(df_extratos!I:I,df_extratos!F:F,Conciliacao!BG712,df_extratos!G:G,"CREDITO")+SUMIFS(df_extratos!I:I,df_extratos!F:F,Conciliacao!BH712,df_extratos!G:G,"CREDITO")</f>
        <v/>
      </c>
      <c r="I712" s="9">
        <f>H712-SUM(B712:G712)</f>
        <v/>
      </c>
      <c r="J712" s="4">
        <f>SUMIFS(df_blueme_sem_parcelamento!E:E,df_blueme_sem_parcelamento!H:H,Conciliacao!A712)*(-1)</f>
        <v/>
      </c>
      <c r="K712" s="4">
        <f>SUMIFS(df_blueme_com_parcelamento!J:J,df_blueme_com_parcelamento!M:M,Conciliacao!A712)*(-1)</f>
        <v/>
      </c>
      <c r="L712" s="4">
        <f>SUMIFS(df_mutuos!N:N,df_mutuos!B:B,Conciliacao!A712)*(-1)</f>
        <v/>
      </c>
      <c r="M712" s="8">
        <f>SUMIFS(df_bloqueios_judiciais!G:G,df_bloqueios_judiciais!D:D,Conciliacao!A712,df_bloqueios_judiciais!G:G,"&lt;0")</f>
        <v/>
      </c>
      <c r="N712" s="10">
        <f>SUMIFS(df_extratos!I:I,df_extratos!F:F,Conciliacao!BE712,df_extratos!G:G,"DEBITO")+SUMIFS(df_extratos!I:I,df_extratos!F:F,Conciliacao!A712,df_extratos!G:G,"DEBITO")+SUMIFS(df_extratos!I:I,df_extratos!F:F,Conciliacao!BF712,df_extratos!G:G,"DEBITO")+SUMIFS(df_extratos!I:I,df_extratos!F:F,Conciliacao!BG712,df_extratos!G:G,"DEBITO")+SUMIFS(df_extratos!I:I,df_extratos!F:F,Conciliacao!BH712,df_extratos!G:G,"DEBITO")</f>
        <v/>
      </c>
      <c r="O712" s="11">
        <f>N712-SUM(J712:M712)</f>
        <v/>
      </c>
      <c r="P712" s="25">
        <f>SUMIFS(df_ajustes_conciliaco!D:D,df_ajustes_conciliaco!C:C,Conciliacao!A712)</f>
        <v/>
      </c>
      <c r="Q712" s="22">
        <f>O712+I712-P712</f>
        <v/>
      </c>
      <c r="BE712" s="20" t="n">
        <v>46368.5</v>
      </c>
      <c r="BF712" s="20" t="n">
        <v>46368.125</v>
      </c>
      <c r="BG712" s="20" t="n">
        <v>46368.5416666088</v>
      </c>
      <c r="BH712" s="20" t="n">
        <v>46368.625</v>
      </c>
    </row>
    <row r="713">
      <c r="A713" s="5">
        <f>A712+1</f>
        <v/>
      </c>
      <c r="B713" s="3">
        <f>-SUMIFS(df_extrato_zig!G:G,df_extrato_zig!E:E,Conciliacao!A713,df_extrato_zig!D:D,"Saque")-SUMIFS(df_extrato_zig!G:G,df_extrato_zig!E:E,Conciliacao!A713,df_extrato_zig!D:D,"Antecipação")</f>
        <v/>
      </c>
      <c r="C713" s="3">
        <f>SUMIFS(df_extrato_zig!E:E,df_extrato_zig!L:L,Conciliacao!A713,df_extrato_zig!F:F,"DINHEIRO")</f>
        <v/>
      </c>
      <c r="D713" s="3">
        <f>SUMIFS(view_parc_agrup!H:H,view_parc_agrup!G:G,Conciliacao!A713)</f>
        <v/>
      </c>
      <c r="E713" s="3">
        <f>SUMIFS(df_eventos!F:F,df_eventos!H:H,Conciliacao!A713)</f>
        <v/>
      </c>
      <c r="F713" s="3">
        <f>SUMIFS(df_mutuos!M:M,df_mutuos!B:B,Conciliacao!A713)</f>
        <v/>
      </c>
      <c r="G713" s="6">
        <f>SUMIFS(df_bloqueios_judiciais!G:G,df_bloqueios_judiciais!D:D,Conciliacao!A713,df_bloqueios_judiciais!G:G,"&gt;0")</f>
        <v/>
      </c>
      <c r="H713" s="7">
        <f>SUMIFS(df_extratos!I:I,df_extratos!F:F,Conciliacao!BE713,df_extratos!G:G,"CREDITO")+SUMIFS(df_extratos!I:I,df_extratos!F:F,Conciliacao!A713,df_extratos!G:G,"CREDITO")+SUMIFS(df_extratos!I:I,df_extratos!F:F,Conciliacao!BF713,df_extratos!G:G,"CREDITO")+SUMIFS(df_extratos!I:I,df_extratos!F:F,Conciliacao!BG713,df_extratos!G:G,"CREDITO")+SUMIFS(df_extratos!I:I,df_extratos!F:F,Conciliacao!BH713,df_extratos!G:G,"CREDITO")</f>
        <v/>
      </c>
      <c r="I713" s="9">
        <f>H713-SUM(B713:G713)</f>
        <v/>
      </c>
      <c r="J713" s="4">
        <f>SUMIFS(df_blueme_sem_parcelamento!E:E,df_blueme_sem_parcelamento!H:H,Conciliacao!A713)*(-1)</f>
        <v/>
      </c>
      <c r="K713" s="4">
        <f>SUMIFS(df_blueme_com_parcelamento!J:J,df_blueme_com_parcelamento!M:M,Conciliacao!A713)*(-1)</f>
        <v/>
      </c>
      <c r="L713" s="4">
        <f>SUMIFS(df_mutuos!N:N,df_mutuos!B:B,Conciliacao!A713)*(-1)</f>
        <v/>
      </c>
      <c r="M713" s="8">
        <f>SUMIFS(df_bloqueios_judiciais!G:G,df_bloqueios_judiciais!D:D,Conciliacao!A713,df_bloqueios_judiciais!G:G,"&lt;0")</f>
        <v/>
      </c>
      <c r="N713" s="10">
        <f>SUMIFS(df_extratos!I:I,df_extratos!F:F,Conciliacao!BE713,df_extratos!G:G,"DEBITO")+SUMIFS(df_extratos!I:I,df_extratos!F:F,Conciliacao!A713,df_extratos!G:G,"DEBITO")+SUMIFS(df_extratos!I:I,df_extratos!F:F,Conciliacao!BF713,df_extratos!G:G,"DEBITO")+SUMIFS(df_extratos!I:I,df_extratos!F:F,Conciliacao!BG713,df_extratos!G:G,"DEBITO")+SUMIFS(df_extratos!I:I,df_extratos!F:F,Conciliacao!BH713,df_extratos!G:G,"DEBITO")</f>
        <v/>
      </c>
      <c r="O713" s="11">
        <f>N713-SUM(J713:M713)</f>
        <v/>
      </c>
      <c r="P713" s="25">
        <f>SUMIFS(df_ajustes_conciliaco!D:D,df_ajustes_conciliaco!C:C,Conciliacao!A713)</f>
        <v/>
      </c>
      <c r="Q713" s="22">
        <f>O713+I713-P713</f>
        <v/>
      </c>
      <c r="BE713" s="20" t="n">
        <v>46369.5</v>
      </c>
      <c r="BF713" s="20" t="n">
        <v>46369.125</v>
      </c>
      <c r="BG713" s="20" t="n">
        <v>46369.5416666088</v>
      </c>
      <c r="BH713" s="20" t="n">
        <v>46369.625</v>
      </c>
    </row>
    <row r="714">
      <c r="A714" s="5">
        <f>A713+1</f>
        <v/>
      </c>
      <c r="B714" s="3">
        <f>-SUMIFS(df_extrato_zig!G:G,df_extrato_zig!E:E,Conciliacao!A714,df_extrato_zig!D:D,"Saque")-SUMIFS(df_extrato_zig!G:G,df_extrato_zig!E:E,Conciliacao!A714,df_extrato_zig!D:D,"Antecipação")</f>
        <v/>
      </c>
      <c r="C714" s="3">
        <f>SUMIFS(df_extrato_zig!E:E,df_extrato_zig!L:L,Conciliacao!A714,df_extrato_zig!F:F,"DINHEIRO")</f>
        <v/>
      </c>
      <c r="D714" s="3">
        <f>SUMIFS(view_parc_agrup!H:H,view_parc_agrup!G:G,Conciliacao!A714)</f>
        <v/>
      </c>
      <c r="E714" s="3">
        <f>SUMIFS(df_eventos!F:F,df_eventos!H:H,Conciliacao!A714)</f>
        <v/>
      </c>
      <c r="F714" s="3">
        <f>SUMIFS(df_mutuos!M:M,df_mutuos!B:B,Conciliacao!A714)</f>
        <v/>
      </c>
      <c r="G714" s="6">
        <f>SUMIFS(df_bloqueios_judiciais!G:G,df_bloqueios_judiciais!D:D,Conciliacao!A714,df_bloqueios_judiciais!G:G,"&gt;0")</f>
        <v/>
      </c>
      <c r="H714" s="7">
        <f>SUMIFS(df_extratos!I:I,df_extratos!F:F,Conciliacao!BE714,df_extratos!G:G,"CREDITO")+SUMIFS(df_extratos!I:I,df_extratos!F:F,Conciliacao!A714,df_extratos!G:G,"CREDITO")+SUMIFS(df_extratos!I:I,df_extratos!F:F,Conciliacao!BF714,df_extratos!G:G,"CREDITO")+SUMIFS(df_extratos!I:I,df_extratos!F:F,Conciliacao!BG714,df_extratos!G:G,"CREDITO")+SUMIFS(df_extratos!I:I,df_extratos!F:F,Conciliacao!BH714,df_extratos!G:G,"CREDITO")</f>
        <v/>
      </c>
      <c r="I714" s="9">
        <f>H714-SUM(B714:G714)</f>
        <v/>
      </c>
      <c r="J714" s="4">
        <f>SUMIFS(df_blueme_sem_parcelamento!E:E,df_blueme_sem_parcelamento!H:H,Conciliacao!A714)*(-1)</f>
        <v/>
      </c>
      <c r="K714" s="4">
        <f>SUMIFS(df_blueme_com_parcelamento!J:J,df_blueme_com_parcelamento!M:M,Conciliacao!A714)*(-1)</f>
        <v/>
      </c>
      <c r="L714" s="4">
        <f>SUMIFS(df_mutuos!N:N,df_mutuos!B:B,Conciliacao!A714)*(-1)</f>
        <v/>
      </c>
      <c r="M714" s="8">
        <f>SUMIFS(df_bloqueios_judiciais!G:G,df_bloqueios_judiciais!D:D,Conciliacao!A714,df_bloqueios_judiciais!G:G,"&lt;0")</f>
        <v/>
      </c>
      <c r="N714" s="10">
        <f>SUMIFS(df_extratos!I:I,df_extratos!F:F,Conciliacao!BE714,df_extratos!G:G,"DEBITO")+SUMIFS(df_extratos!I:I,df_extratos!F:F,Conciliacao!A714,df_extratos!G:G,"DEBITO")+SUMIFS(df_extratos!I:I,df_extratos!F:F,Conciliacao!BF714,df_extratos!G:G,"DEBITO")+SUMIFS(df_extratos!I:I,df_extratos!F:F,Conciliacao!BG714,df_extratos!G:G,"DEBITO")+SUMIFS(df_extratos!I:I,df_extratos!F:F,Conciliacao!BH714,df_extratos!G:G,"DEBITO")</f>
        <v/>
      </c>
      <c r="O714" s="11">
        <f>N714-SUM(J714:M714)</f>
        <v/>
      </c>
      <c r="P714" s="25">
        <f>SUMIFS(df_ajustes_conciliaco!D:D,df_ajustes_conciliaco!C:C,Conciliacao!A714)</f>
        <v/>
      </c>
      <c r="Q714" s="22">
        <f>O714+I714-P714</f>
        <v/>
      </c>
      <c r="BE714" s="20" t="n">
        <v>46370.5</v>
      </c>
      <c r="BF714" s="20" t="n">
        <v>46370.125</v>
      </c>
      <c r="BG714" s="20" t="n">
        <v>46370.5416666088</v>
      </c>
      <c r="BH714" s="20" t="n">
        <v>46370.625</v>
      </c>
    </row>
    <row r="715">
      <c r="A715" s="5">
        <f>A714+1</f>
        <v/>
      </c>
      <c r="B715" s="3">
        <f>-SUMIFS(df_extrato_zig!G:G,df_extrato_zig!E:E,Conciliacao!A715,df_extrato_zig!D:D,"Saque")-SUMIFS(df_extrato_zig!G:G,df_extrato_zig!E:E,Conciliacao!A715,df_extrato_zig!D:D,"Antecipação")</f>
        <v/>
      </c>
      <c r="C715" s="3">
        <f>SUMIFS(df_extrato_zig!E:E,df_extrato_zig!L:L,Conciliacao!A715,df_extrato_zig!F:F,"DINHEIRO")</f>
        <v/>
      </c>
      <c r="D715" s="3">
        <f>SUMIFS(view_parc_agrup!H:H,view_parc_agrup!G:G,Conciliacao!A715)</f>
        <v/>
      </c>
      <c r="E715" s="3">
        <f>SUMIFS(df_eventos!F:F,df_eventos!H:H,Conciliacao!A715)</f>
        <v/>
      </c>
      <c r="F715" s="3">
        <f>SUMIFS(df_mutuos!M:M,df_mutuos!B:B,Conciliacao!A715)</f>
        <v/>
      </c>
      <c r="G715" s="6">
        <f>SUMIFS(df_bloqueios_judiciais!G:G,df_bloqueios_judiciais!D:D,Conciliacao!A715,df_bloqueios_judiciais!G:G,"&gt;0")</f>
        <v/>
      </c>
      <c r="H715" s="7">
        <f>SUMIFS(df_extratos!I:I,df_extratos!F:F,Conciliacao!BE715,df_extratos!G:G,"CREDITO")+SUMIFS(df_extratos!I:I,df_extratos!F:F,Conciliacao!A715,df_extratos!G:G,"CREDITO")+SUMIFS(df_extratos!I:I,df_extratos!F:F,Conciliacao!BF715,df_extratos!G:G,"CREDITO")+SUMIFS(df_extratos!I:I,df_extratos!F:F,Conciliacao!BG715,df_extratos!G:G,"CREDITO")+SUMIFS(df_extratos!I:I,df_extratos!F:F,Conciliacao!BH715,df_extratos!G:G,"CREDITO")</f>
        <v/>
      </c>
      <c r="I715" s="9">
        <f>H715-SUM(B715:G715)</f>
        <v/>
      </c>
      <c r="J715" s="4">
        <f>SUMIFS(df_blueme_sem_parcelamento!E:E,df_blueme_sem_parcelamento!H:H,Conciliacao!A715)*(-1)</f>
        <v/>
      </c>
      <c r="K715" s="4">
        <f>SUMIFS(df_blueme_com_parcelamento!J:J,df_blueme_com_parcelamento!M:M,Conciliacao!A715)*(-1)</f>
        <v/>
      </c>
      <c r="L715" s="4">
        <f>SUMIFS(df_mutuos!N:N,df_mutuos!B:B,Conciliacao!A715)*(-1)</f>
        <v/>
      </c>
      <c r="M715" s="8">
        <f>SUMIFS(df_bloqueios_judiciais!G:G,df_bloqueios_judiciais!D:D,Conciliacao!A715,df_bloqueios_judiciais!G:G,"&lt;0")</f>
        <v/>
      </c>
      <c r="N715" s="10">
        <f>SUMIFS(df_extratos!I:I,df_extratos!F:F,Conciliacao!BE715,df_extratos!G:G,"DEBITO")+SUMIFS(df_extratos!I:I,df_extratos!F:F,Conciliacao!A715,df_extratos!G:G,"DEBITO")+SUMIFS(df_extratos!I:I,df_extratos!F:F,Conciliacao!BF715,df_extratos!G:G,"DEBITO")+SUMIFS(df_extratos!I:I,df_extratos!F:F,Conciliacao!BG715,df_extratos!G:G,"DEBITO")+SUMIFS(df_extratos!I:I,df_extratos!F:F,Conciliacao!BH715,df_extratos!G:G,"DEBITO")</f>
        <v/>
      </c>
      <c r="O715" s="11">
        <f>N715-SUM(J715:M715)</f>
        <v/>
      </c>
      <c r="P715" s="25">
        <f>SUMIFS(df_ajustes_conciliaco!D:D,df_ajustes_conciliaco!C:C,Conciliacao!A715)</f>
        <v/>
      </c>
      <c r="Q715" s="22">
        <f>O715+I715-P715</f>
        <v/>
      </c>
      <c r="BE715" s="20" t="n">
        <v>46371.5</v>
      </c>
      <c r="BF715" s="20" t="n">
        <v>46371.125</v>
      </c>
      <c r="BG715" s="20" t="n">
        <v>46371.5416666088</v>
      </c>
      <c r="BH715" s="20" t="n">
        <v>46371.625</v>
      </c>
    </row>
    <row r="716">
      <c r="A716" s="5">
        <f>A715+1</f>
        <v/>
      </c>
      <c r="B716" s="3">
        <f>-SUMIFS(df_extrato_zig!G:G,df_extrato_zig!E:E,Conciliacao!A716,df_extrato_zig!D:D,"Saque")-SUMIFS(df_extrato_zig!G:G,df_extrato_zig!E:E,Conciliacao!A716,df_extrato_zig!D:D,"Antecipação")</f>
        <v/>
      </c>
      <c r="C716" s="3">
        <f>SUMIFS(df_extrato_zig!E:E,df_extrato_zig!L:L,Conciliacao!A716,df_extrato_zig!F:F,"DINHEIRO")</f>
        <v/>
      </c>
      <c r="D716" s="3">
        <f>SUMIFS(view_parc_agrup!H:H,view_parc_agrup!G:G,Conciliacao!A716)</f>
        <v/>
      </c>
      <c r="E716" s="3">
        <f>SUMIFS(df_eventos!F:F,df_eventos!H:H,Conciliacao!A716)</f>
        <v/>
      </c>
      <c r="F716" s="3">
        <f>SUMIFS(df_mutuos!M:M,df_mutuos!B:B,Conciliacao!A716)</f>
        <v/>
      </c>
      <c r="G716" s="6">
        <f>SUMIFS(df_bloqueios_judiciais!G:G,df_bloqueios_judiciais!D:D,Conciliacao!A716,df_bloqueios_judiciais!G:G,"&gt;0")</f>
        <v/>
      </c>
      <c r="H716" s="7">
        <f>SUMIFS(df_extratos!I:I,df_extratos!F:F,Conciliacao!BE716,df_extratos!G:G,"CREDITO")+SUMIFS(df_extratos!I:I,df_extratos!F:F,Conciliacao!A716,df_extratos!G:G,"CREDITO")+SUMIFS(df_extratos!I:I,df_extratos!F:F,Conciliacao!BF716,df_extratos!G:G,"CREDITO")+SUMIFS(df_extratos!I:I,df_extratos!F:F,Conciliacao!BG716,df_extratos!G:G,"CREDITO")+SUMIFS(df_extratos!I:I,df_extratos!F:F,Conciliacao!BH716,df_extratos!G:G,"CREDITO")</f>
        <v/>
      </c>
      <c r="I716" s="9">
        <f>H716-SUM(B716:G716)</f>
        <v/>
      </c>
      <c r="J716" s="4">
        <f>SUMIFS(df_blueme_sem_parcelamento!E:E,df_blueme_sem_parcelamento!H:H,Conciliacao!A716)*(-1)</f>
        <v/>
      </c>
      <c r="K716" s="4">
        <f>SUMIFS(df_blueme_com_parcelamento!J:J,df_blueme_com_parcelamento!M:M,Conciliacao!A716)*(-1)</f>
        <v/>
      </c>
      <c r="L716" s="4">
        <f>SUMIFS(df_mutuos!N:N,df_mutuos!B:B,Conciliacao!A716)*(-1)</f>
        <v/>
      </c>
      <c r="M716" s="8">
        <f>SUMIFS(df_bloqueios_judiciais!G:G,df_bloqueios_judiciais!D:D,Conciliacao!A716,df_bloqueios_judiciais!G:G,"&lt;0")</f>
        <v/>
      </c>
      <c r="N716" s="10">
        <f>SUMIFS(df_extratos!I:I,df_extratos!F:F,Conciliacao!BE716,df_extratos!G:G,"DEBITO")+SUMIFS(df_extratos!I:I,df_extratos!F:F,Conciliacao!A716,df_extratos!G:G,"DEBITO")+SUMIFS(df_extratos!I:I,df_extratos!F:F,Conciliacao!BF716,df_extratos!G:G,"DEBITO")+SUMIFS(df_extratos!I:I,df_extratos!F:F,Conciliacao!BG716,df_extratos!G:G,"DEBITO")+SUMIFS(df_extratos!I:I,df_extratos!F:F,Conciliacao!BH716,df_extratos!G:G,"DEBITO")</f>
        <v/>
      </c>
      <c r="O716" s="11">
        <f>N716-SUM(J716:M716)</f>
        <v/>
      </c>
      <c r="P716" s="25">
        <f>SUMIFS(df_ajustes_conciliaco!D:D,df_ajustes_conciliaco!C:C,Conciliacao!A716)</f>
        <v/>
      </c>
      <c r="Q716" s="22">
        <f>O716+I716-P716</f>
        <v/>
      </c>
      <c r="BE716" s="20" t="n">
        <v>46372.5</v>
      </c>
      <c r="BF716" s="20" t="n">
        <v>46372.125</v>
      </c>
      <c r="BG716" s="20" t="n">
        <v>46372.5416666088</v>
      </c>
      <c r="BH716" s="20" t="n">
        <v>46372.625</v>
      </c>
    </row>
    <row r="717">
      <c r="A717" s="5">
        <f>A716+1</f>
        <v/>
      </c>
      <c r="B717" s="3">
        <f>-SUMIFS(df_extrato_zig!G:G,df_extrato_zig!E:E,Conciliacao!A717,df_extrato_zig!D:D,"Saque")-SUMIFS(df_extrato_zig!G:G,df_extrato_zig!E:E,Conciliacao!A717,df_extrato_zig!D:D,"Antecipação")</f>
        <v/>
      </c>
      <c r="C717" s="3">
        <f>SUMIFS(df_extrato_zig!E:E,df_extrato_zig!L:L,Conciliacao!A717,df_extrato_zig!F:F,"DINHEIRO")</f>
        <v/>
      </c>
      <c r="D717" s="3">
        <f>SUMIFS(view_parc_agrup!H:H,view_parc_agrup!G:G,Conciliacao!A717)</f>
        <v/>
      </c>
      <c r="E717" s="3">
        <f>SUMIFS(df_eventos!F:F,df_eventos!H:H,Conciliacao!A717)</f>
        <v/>
      </c>
      <c r="F717" s="3">
        <f>SUMIFS(df_mutuos!M:M,df_mutuos!B:B,Conciliacao!A717)</f>
        <v/>
      </c>
      <c r="G717" s="6">
        <f>SUMIFS(df_bloqueios_judiciais!G:G,df_bloqueios_judiciais!D:D,Conciliacao!A717,df_bloqueios_judiciais!G:G,"&gt;0")</f>
        <v/>
      </c>
      <c r="H717" s="7">
        <f>SUMIFS(df_extratos!I:I,df_extratos!F:F,Conciliacao!BE717,df_extratos!G:G,"CREDITO")+SUMIFS(df_extratos!I:I,df_extratos!F:F,Conciliacao!A717,df_extratos!G:G,"CREDITO")+SUMIFS(df_extratos!I:I,df_extratos!F:F,Conciliacao!BF717,df_extratos!G:G,"CREDITO")+SUMIFS(df_extratos!I:I,df_extratos!F:F,Conciliacao!BG717,df_extratos!G:G,"CREDITO")+SUMIFS(df_extratos!I:I,df_extratos!F:F,Conciliacao!BH717,df_extratos!G:G,"CREDITO")</f>
        <v/>
      </c>
      <c r="I717" s="9">
        <f>H717-SUM(B717:G717)</f>
        <v/>
      </c>
      <c r="J717" s="4">
        <f>SUMIFS(df_blueme_sem_parcelamento!E:E,df_blueme_sem_parcelamento!H:H,Conciliacao!A717)*(-1)</f>
        <v/>
      </c>
      <c r="K717" s="4">
        <f>SUMIFS(df_blueme_com_parcelamento!J:J,df_blueme_com_parcelamento!M:M,Conciliacao!A717)*(-1)</f>
        <v/>
      </c>
      <c r="L717" s="4">
        <f>SUMIFS(df_mutuos!N:N,df_mutuos!B:B,Conciliacao!A717)*(-1)</f>
        <v/>
      </c>
      <c r="M717" s="8">
        <f>SUMIFS(df_bloqueios_judiciais!G:G,df_bloqueios_judiciais!D:D,Conciliacao!A717,df_bloqueios_judiciais!G:G,"&lt;0")</f>
        <v/>
      </c>
      <c r="N717" s="10">
        <f>SUMIFS(df_extratos!I:I,df_extratos!F:F,Conciliacao!BE717,df_extratos!G:G,"DEBITO")+SUMIFS(df_extratos!I:I,df_extratos!F:F,Conciliacao!A717,df_extratos!G:G,"DEBITO")+SUMIFS(df_extratos!I:I,df_extratos!F:F,Conciliacao!BF717,df_extratos!G:G,"DEBITO")+SUMIFS(df_extratos!I:I,df_extratos!F:F,Conciliacao!BG717,df_extratos!G:G,"DEBITO")+SUMIFS(df_extratos!I:I,df_extratos!F:F,Conciliacao!BH717,df_extratos!G:G,"DEBITO")</f>
        <v/>
      </c>
      <c r="O717" s="11">
        <f>N717-SUM(J717:M717)</f>
        <v/>
      </c>
      <c r="P717" s="25">
        <f>SUMIFS(df_ajustes_conciliaco!D:D,df_ajustes_conciliaco!C:C,Conciliacao!A717)</f>
        <v/>
      </c>
      <c r="Q717" s="22">
        <f>O717+I717-P717</f>
        <v/>
      </c>
      <c r="BE717" s="20" t="n">
        <v>46373.5</v>
      </c>
      <c r="BF717" s="20" t="n">
        <v>46373.125</v>
      </c>
      <c r="BG717" s="20" t="n">
        <v>46373.5416666088</v>
      </c>
      <c r="BH717" s="20" t="n">
        <v>46373.625</v>
      </c>
    </row>
    <row r="718">
      <c r="A718" s="5">
        <f>A717+1</f>
        <v/>
      </c>
      <c r="B718" s="3">
        <f>-SUMIFS(df_extrato_zig!G:G,df_extrato_zig!E:E,Conciliacao!A718,df_extrato_zig!D:D,"Saque")-SUMIFS(df_extrato_zig!G:G,df_extrato_zig!E:E,Conciliacao!A718,df_extrato_zig!D:D,"Antecipação")</f>
        <v/>
      </c>
      <c r="C718" s="3">
        <f>SUMIFS(df_extrato_zig!E:E,df_extrato_zig!L:L,Conciliacao!A718,df_extrato_zig!F:F,"DINHEIRO")</f>
        <v/>
      </c>
      <c r="D718" s="3">
        <f>SUMIFS(view_parc_agrup!H:H,view_parc_agrup!G:G,Conciliacao!A718)</f>
        <v/>
      </c>
      <c r="E718" s="3">
        <f>SUMIFS(df_eventos!F:F,df_eventos!H:H,Conciliacao!A718)</f>
        <v/>
      </c>
      <c r="F718" s="3">
        <f>SUMIFS(df_mutuos!M:M,df_mutuos!B:B,Conciliacao!A718)</f>
        <v/>
      </c>
      <c r="G718" s="6">
        <f>SUMIFS(df_bloqueios_judiciais!G:G,df_bloqueios_judiciais!D:D,Conciliacao!A718,df_bloqueios_judiciais!G:G,"&gt;0")</f>
        <v/>
      </c>
      <c r="H718" s="7">
        <f>SUMIFS(df_extratos!I:I,df_extratos!F:F,Conciliacao!BE718,df_extratos!G:G,"CREDITO")+SUMIFS(df_extratos!I:I,df_extratos!F:F,Conciliacao!A718,df_extratos!G:G,"CREDITO")+SUMIFS(df_extratos!I:I,df_extratos!F:F,Conciliacao!BF718,df_extratos!G:G,"CREDITO")+SUMIFS(df_extratos!I:I,df_extratos!F:F,Conciliacao!BG718,df_extratos!G:G,"CREDITO")+SUMIFS(df_extratos!I:I,df_extratos!F:F,Conciliacao!BH718,df_extratos!G:G,"CREDITO")</f>
        <v/>
      </c>
      <c r="I718" s="9">
        <f>H718-SUM(B718:G718)</f>
        <v/>
      </c>
      <c r="J718" s="4">
        <f>SUMIFS(df_blueme_sem_parcelamento!E:E,df_blueme_sem_parcelamento!H:H,Conciliacao!A718)*(-1)</f>
        <v/>
      </c>
      <c r="K718" s="4">
        <f>SUMIFS(df_blueme_com_parcelamento!J:J,df_blueme_com_parcelamento!M:M,Conciliacao!A718)*(-1)</f>
        <v/>
      </c>
      <c r="L718" s="4">
        <f>SUMIFS(df_mutuos!N:N,df_mutuos!B:B,Conciliacao!A718)*(-1)</f>
        <v/>
      </c>
      <c r="M718" s="8">
        <f>SUMIFS(df_bloqueios_judiciais!G:G,df_bloqueios_judiciais!D:D,Conciliacao!A718,df_bloqueios_judiciais!G:G,"&lt;0")</f>
        <v/>
      </c>
      <c r="N718" s="10">
        <f>SUMIFS(df_extratos!I:I,df_extratos!F:F,Conciliacao!BE718,df_extratos!G:G,"DEBITO")+SUMIFS(df_extratos!I:I,df_extratos!F:F,Conciliacao!A718,df_extratos!G:G,"DEBITO")+SUMIFS(df_extratos!I:I,df_extratos!F:F,Conciliacao!BF718,df_extratos!G:G,"DEBITO")+SUMIFS(df_extratos!I:I,df_extratos!F:F,Conciliacao!BG718,df_extratos!G:G,"DEBITO")+SUMIFS(df_extratos!I:I,df_extratos!F:F,Conciliacao!BH718,df_extratos!G:G,"DEBITO")</f>
        <v/>
      </c>
      <c r="O718" s="11">
        <f>N718-SUM(J718:M718)</f>
        <v/>
      </c>
      <c r="P718" s="25">
        <f>SUMIFS(df_ajustes_conciliaco!D:D,df_ajustes_conciliaco!C:C,Conciliacao!A718)</f>
        <v/>
      </c>
      <c r="Q718" s="22">
        <f>O718+I718-P718</f>
        <v/>
      </c>
      <c r="BE718" s="20" t="n">
        <v>46374.5</v>
      </c>
      <c r="BF718" s="20" t="n">
        <v>46374.125</v>
      </c>
      <c r="BG718" s="20" t="n">
        <v>46374.5416666088</v>
      </c>
      <c r="BH718" s="20" t="n">
        <v>46374.625</v>
      </c>
    </row>
    <row r="719">
      <c r="A719" s="5">
        <f>A718+1</f>
        <v/>
      </c>
      <c r="B719" s="3">
        <f>-SUMIFS(df_extrato_zig!G:G,df_extrato_zig!E:E,Conciliacao!A719,df_extrato_zig!D:D,"Saque")-SUMIFS(df_extrato_zig!G:G,df_extrato_zig!E:E,Conciliacao!A719,df_extrato_zig!D:D,"Antecipação")</f>
        <v/>
      </c>
      <c r="C719" s="3">
        <f>SUMIFS(df_extrato_zig!E:E,df_extrato_zig!L:L,Conciliacao!A719,df_extrato_zig!F:F,"DINHEIRO")</f>
        <v/>
      </c>
      <c r="D719" s="3">
        <f>SUMIFS(view_parc_agrup!H:H,view_parc_agrup!G:G,Conciliacao!A719)</f>
        <v/>
      </c>
      <c r="E719" s="3">
        <f>SUMIFS(df_eventos!F:F,df_eventos!H:H,Conciliacao!A719)</f>
        <v/>
      </c>
      <c r="F719" s="3">
        <f>SUMIFS(df_mutuos!M:M,df_mutuos!B:B,Conciliacao!A719)</f>
        <v/>
      </c>
      <c r="G719" s="6">
        <f>SUMIFS(df_bloqueios_judiciais!G:G,df_bloqueios_judiciais!D:D,Conciliacao!A719,df_bloqueios_judiciais!G:G,"&gt;0")</f>
        <v/>
      </c>
      <c r="H719" s="7">
        <f>SUMIFS(df_extratos!I:I,df_extratos!F:F,Conciliacao!BE719,df_extratos!G:G,"CREDITO")+SUMIFS(df_extratos!I:I,df_extratos!F:F,Conciliacao!A719,df_extratos!G:G,"CREDITO")+SUMIFS(df_extratos!I:I,df_extratos!F:F,Conciliacao!BF719,df_extratos!G:G,"CREDITO")+SUMIFS(df_extratos!I:I,df_extratos!F:F,Conciliacao!BG719,df_extratos!G:G,"CREDITO")+SUMIFS(df_extratos!I:I,df_extratos!F:F,Conciliacao!BH719,df_extratos!G:G,"CREDITO")</f>
        <v/>
      </c>
      <c r="I719" s="9">
        <f>H719-SUM(B719:G719)</f>
        <v/>
      </c>
      <c r="J719" s="4">
        <f>SUMIFS(df_blueme_sem_parcelamento!E:E,df_blueme_sem_parcelamento!H:H,Conciliacao!A719)*(-1)</f>
        <v/>
      </c>
      <c r="K719" s="4">
        <f>SUMIFS(df_blueme_com_parcelamento!J:J,df_blueme_com_parcelamento!M:M,Conciliacao!A719)*(-1)</f>
        <v/>
      </c>
      <c r="L719" s="4">
        <f>SUMIFS(df_mutuos!N:N,df_mutuos!B:B,Conciliacao!A719)*(-1)</f>
        <v/>
      </c>
      <c r="M719" s="8">
        <f>SUMIFS(df_bloqueios_judiciais!G:G,df_bloqueios_judiciais!D:D,Conciliacao!A719,df_bloqueios_judiciais!G:G,"&lt;0")</f>
        <v/>
      </c>
      <c r="N719" s="10">
        <f>SUMIFS(df_extratos!I:I,df_extratos!F:F,Conciliacao!BE719,df_extratos!G:G,"DEBITO")+SUMIFS(df_extratos!I:I,df_extratos!F:F,Conciliacao!A719,df_extratos!G:G,"DEBITO")+SUMIFS(df_extratos!I:I,df_extratos!F:F,Conciliacao!BF719,df_extratos!G:G,"DEBITO")+SUMIFS(df_extratos!I:I,df_extratos!F:F,Conciliacao!BG719,df_extratos!G:G,"DEBITO")+SUMIFS(df_extratos!I:I,df_extratos!F:F,Conciliacao!BH719,df_extratos!G:G,"DEBITO")</f>
        <v/>
      </c>
      <c r="O719" s="11">
        <f>N719-SUM(J719:M719)</f>
        <v/>
      </c>
      <c r="P719" s="25">
        <f>SUMIFS(df_ajustes_conciliaco!D:D,df_ajustes_conciliaco!C:C,Conciliacao!A719)</f>
        <v/>
      </c>
      <c r="Q719" s="22">
        <f>O719+I719-P719</f>
        <v/>
      </c>
      <c r="BE719" s="20" t="n">
        <v>46375.5</v>
      </c>
      <c r="BF719" s="20" t="n">
        <v>46375.125</v>
      </c>
      <c r="BG719" s="20" t="n">
        <v>46375.5416666088</v>
      </c>
      <c r="BH719" s="20" t="n">
        <v>46375.625</v>
      </c>
    </row>
    <row r="720">
      <c r="A720" s="5">
        <f>A719+1</f>
        <v/>
      </c>
      <c r="B720" s="3">
        <f>-SUMIFS(df_extrato_zig!G:G,df_extrato_zig!E:E,Conciliacao!A720,df_extrato_zig!D:D,"Saque")-SUMIFS(df_extrato_zig!G:G,df_extrato_zig!E:E,Conciliacao!A720,df_extrato_zig!D:D,"Antecipação")</f>
        <v/>
      </c>
      <c r="C720" s="3">
        <f>SUMIFS(df_extrato_zig!E:E,df_extrato_zig!L:L,Conciliacao!A720,df_extrato_zig!F:F,"DINHEIRO")</f>
        <v/>
      </c>
      <c r="D720" s="3">
        <f>SUMIFS(view_parc_agrup!H:H,view_parc_agrup!G:G,Conciliacao!A720)</f>
        <v/>
      </c>
      <c r="E720" s="3">
        <f>SUMIFS(df_eventos!F:F,df_eventos!H:H,Conciliacao!A720)</f>
        <v/>
      </c>
      <c r="F720" s="3">
        <f>SUMIFS(df_mutuos!M:M,df_mutuos!B:B,Conciliacao!A720)</f>
        <v/>
      </c>
      <c r="G720" s="6">
        <f>SUMIFS(df_bloqueios_judiciais!G:G,df_bloqueios_judiciais!D:D,Conciliacao!A720,df_bloqueios_judiciais!G:G,"&gt;0")</f>
        <v/>
      </c>
      <c r="H720" s="7">
        <f>SUMIFS(df_extratos!I:I,df_extratos!F:F,Conciliacao!BE720,df_extratos!G:G,"CREDITO")+SUMIFS(df_extratos!I:I,df_extratos!F:F,Conciliacao!A720,df_extratos!G:G,"CREDITO")+SUMIFS(df_extratos!I:I,df_extratos!F:F,Conciliacao!BF720,df_extratos!G:G,"CREDITO")+SUMIFS(df_extratos!I:I,df_extratos!F:F,Conciliacao!BG720,df_extratos!G:G,"CREDITO")+SUMIFS(df_extratos!I:I,df_extratos!F:F,Conciliacao!BH720,df_extratos!G:G,"CREDITO")</f>
        <v/>
      </c>
      <c r="I720" s="9">
        <f>H720-SUM(B720:G720)</f>
        <v/>
      </c>
      <c r="J720" s="4">
        <f>SUMIFS(df_blueme_sem_parcelamento!E:E,df_blueme_sem_parcelamento!H:H,Conciliacao!A720)*(-1)</f>
        <v/>
      </c>
      <c r="K720" s="4">
        <f>SUMIFS(df_blueme_com_parcelamento!J:J,df_blueme_com_parcelamento!M:M,Conciliacao!A720)*(-1)</f>
        <v/>
      </c>
      <c r="L720" s="4">
        <f>SUMIFS(df_mutuos!N:N,df_mutuos!B:B,Conciliacao!A720)*(-1)</f>
        <v/>
      </c>
      <c r="M720" s="8">
        <f>SUMIFS(df_bloqueios_judiciais!G:G,df_bloqueios_judiciais!D:D,Conciliacao!A720,df_bloqueios_judiciais!G:G,"&lt;0")</f>
        <v/>
      </c>
      <c r="N720" s="10">
        <f>SUMIFS(df_extratos!I:I,df_extratos!F:F,Conciliacao!BE720,df_extratos!G:G,"DEBITO")+SUMIFS(df_extratos!I:I,df_extratos!F:F,Conciliacao!A720,df_extratos!G:G,"DEBITO")+SUMIFS(df_extratos!I:I,df_extratos!F:F,Conciliacao!BF720,df_extratos!G:G,"DEBITO")+SUMIFS(df_extratos!I:I,df_extratos!F:F,Conciliacao!BG720,df_extratos!G:G,"DEBITO")+SUMIFS(df_extratos!I:I,df_extratos!F:F,Conciliacao!BH720,df_extratos!G:G,"DEBITO")</f>
        <v/>
      </c>
      <c r="O720" s="11">
        <f>N720-SUM(J720:M720)</f>
        <v/>
      </c>
      <c r="P720" s="25">
        <f>SUMIFS(df_ajustes_conciliaco!D:D,df_ajustes_conciliaco!C:C,Conciliacao!A720)</f>
        <v/>
      </c>
      <c r="Q720" s="22">
        <f>O720+I720-P720</f>
        <v/>
      </c>
      <c r="BE720" s="20" t="n">
        <v>46376.5</v>
      </c>
      <c r="BF720" s="20" t="n">
        <v>46376.125</v>
      </c>
      <c r="BG720" s="20" t="n">
        <v>46376.5416666088</v>
      </c>
      <c r="BH720" s="20" t="n">
        <v>46376.625</v>
      </c>
    </row>
    <row r="721">
      <c r="A721" s="5">
        <f>A720+1</f>
        <v/>
      </c>
      <c r="B721" s="3">
        <f>-SUMIFS(df_extrato_zig!G:G,df_extrato_zig!E:E,Conciliacao!A721,df_extrato_zig!D:D,"Saque")-SUMIFS(df_extrato_zig!G:G,df_extrato_zig!E:E,Conciliacao!A721,df_extrato_zig!D:D,"Antecipação")</f>
        <v/>
      </c>
      <c r="C721" s="3">
        <f>SUMIFS(df_extrato_zig!E:E,df_extrato_zig!L:L,Conciliacao!A721,df_extrato_zig!F:F,"DINHEIRO")</f>
        <v/>
      </c>
      <c r="D721" s="3">
        <f>SUMIFS(view_parc_agrup!H:H,view_parc_agrup!G:G,Conciliacao!A721)</f>
        <v/>
      </c>
      <c r="E721" s="3">
        <f>SUMIFS(df_eventos!F:F,df_eventos!H:H,Conciliacao!A721)</f>
        <v/>
      </c>
      <c r="F721" s="3">
        <f>SUMIFS(df_mutuos!M:M,df_mutuos!B:B,Conciliacao!A721)</f>
        <v/>
      </c>
      <c r="G721" s="6">
        <f>SUMIFS(df_bloqueios_judiciais!G:G,df_bloqueios_judiciais!D:D,Conciliacao!A721,df_bloqueios_judiciais!G:G,"&gt;0")</f>
        <v/>
      </c>
      <c r="H721" s="7">
        <f>SUMIFS(df_extratos!I:I,df_extratos!F:F,Conciliacao!BE721,df_extratos!G:G,"CREDITO")+SUMIFS(df_extratos!I:I,df_extratos!F:F,Conciliacao!A721,df_extratos!G:G,"CREDITO")+SUMIFS(df_extratos!I:I,df_extratos!F:F,Conciliacao!BF721,df_extratos!G:G,"CREDITO")+SUMIFS(df_extratos!I:I,df_extratos!F:F,Conciliacao!BG721,df_extratos!G:G,"CREDITO")+SUMIFS(df_extratos!I:I,df_extratos!F:F,Conciliacao!BH721,df_extratos!G:G,"CREDITO")</f>
        <v/>
      </c>
      <c r="I721" s="9">
        <f>H721-SUM(B721:G721)</f>
        <v/>
      </c>
      <c r="J721" s="4">
        <f>SUMIFS(df_blueme_sem_parcelamento!E:E,df_blueme_sem_parcelamento!H:H,Conciliacao!A721)*(-1)</f>
        <v/>
      </c>
      <c r="K721" s="4">
        <f>SUMIFS(df_blueme_com_parcelamento!J:J,df_blueme_com_parcelamento!M:M,Conciliacao!A721)*(-1)</f>
        <v/>
      </c>
      <c r="L721" s="4">
        <f>SUMIFS(df_mutuos!N:N,df_mutuos!B:B,Conciliacao!A721)*(-1)</f>
        <v/>
      </c>
      <c r="M721" s="8">
        <f>SUMIFS(df_bloqueios_judiciais!G:G,df_bloqueios_judiciais!D:D,Conciliacao!A721,df_bloqueios_judiciais!G:G,"&lt;0")</f>
        <v/>
      </c>
      <c r="N721" s="10">
        <f>SUMIFS(df_extratos!I:I,df_extratos!F:F,Conciliacao!BE721,df_extratos!G:G,"DEBITO")+SUMIFS(df_extratos!I:I,df_extratos!F:F,Conciliacao!A721,df_extratos!G:G,"DEBITO")+SUMIFS(df_extratos!I:I,df_extratos!F:F,Conciliacao!BF721,df_extratos!G:G,"DEBITO")+SUMIFS(df_extratos!I:I,df_extratos!F:F,Conciliacao!BG721,df_extratos!G:G,"DEBITO")+SUMIFS(df_extratos!I:I,df_extratos!F:F,Conciliacao!BH721,df_extratos!G:G,"DEBITO")</f>
        <v/>
      </c>
      <c r="O721" s="11">
        <f>N721-SUM(J721:M721)</f>
        <v/>
      </c>
      <c r="P721" s="25">
        <f>SUMIFS(df_ajustes_conciliaco!D:D,df_ajustes_conciliaco!C:C,Conciliacao!A721)</f>
        <v/>
      </c>
      <c r="Q721" s="22">
        <f>O721+I721-P721</f>
        <v/>
      </c>
      <c r="BE721" s="20" t="n">
        <v>46377.5</v>
      </c>
      <c r="BF721" s="20" t="n">
        <v>46377.125</v>
      </c>
      <c r="BG721" s="20" t="n">
        <v>46377.5416666088</v>
      </c>
      <c r="BH721" s="20" t="n">
        <v>46377.625</v>
      </c>
    </row>
    <row r="722">
      <c r="A722" s="5">
        <f>A721+1</f>
        <v/>
      </c>
      <c r="B722" s="3">
        <f>-SUMIFS(df_extrato_zig!G:G,df_extrato_zig!E:E,Conciliacao!A722,df_extrato_zig!D:D,"Saque")-SUMIFS(df_extrato_zig!G:G,df_extrato_zig!E:E,Conciliacao!A722,df_extrato_zig!D:D,"Antecipação")</f>
        <v/>
      </c>
      <c r="C722" s="3">
        <f>SUMIFS(df_extrato_zig!E:E,df_extrato_zig!L:L,Conciliacao!A722,df_extrato_zig!F:F,"DINHEIRO")</f>
        <v/>
      </c>
      <c r="D722" s="3">
        <f>SUMIFS(view_parc_agrup!H:H,view_parc_agrup!G:G,Conciliacao!A722)</f>
        <v/>
      </c>
      <c r="E722" s="3">
        <f>SUMIFS(df_eventos!F:F,df_eventos!H:H,Conciliacao!A722)</f>
        <v/>
      </c>
      <c r="F722" s="3">
        <f>SUMIFS(df_mutuos!M:M,df_mutuos!B:B,Conciliacao!A722)</f>
        <v/>
      </c>
      <c r="G722" s="6">
        <f>SUMIFS(df_bloqueios_judiciais!G:G,df_bloqueios_judiciais!D:D,Conciliacao!A722,df_bloqueios_judiciais!G:G,"&gt;0")</f>
        <v/>
      </c>
      <c r="H722" s="7">
        <f>SUMIFS(df_extratos!I:I,df_extratos!F:F,Conciliacao!BE722,df_extratos!G:G,"CREDITO")+SUMIFS(df_extratos!I:I,df_extratos!F:F,Conciliacao!A722,df_extratos!G:G,"CREDITO")+SUMIFS(df_extratos!I:I,df_extratos!F:F,Conciliacao!BF722,df_extratos!G:G,"CREDITO")+SUMIFS(df_extratos!I:I,df_extratos!F:F,Conciliacao!BG722,df_extratos!G:G,"CREDITO")+SUMIFS(df_extratos!I:I,df_extratos!F:F,Conciliacao!BH722,df_extratos!G:G,"CREDITO")</f>
        <v/>
      </c>
      <c r="I722" s="9">
        <f>H722-SUM(B722:G722)</f>
        <v/>
      </c>
      <c r="J722" s="4">
        <f>SUMIFS(df_blueme_sem_parcelamento!E:E,df_blueme_sem_parcelamento!H:H,Conciliacao!A722)*(-1)</f>
        <v/>
      </c>
      <c r="K722" s="4">
        <f>SUMIFS(df_blueme_com_parcelamento!J:J,df_blueme_com_parcelamento!M:M,Conciliacao!A722)*(-1)</f>
        <v/>
      </c>
      <c r="L722" s="4">
        <f>SUMIFS(df_mutuos!N:N,df_mutuos!B:B,Conciliacao!A722)*(-1)</f>
        <v/>
      </c>
      <c r="M722" s="8">
        <f>SUMIFS(df_bloqueios_judiciais!G:G,df_bloqueios_judiciais!D:D,Conciliacao!A722,df_bloqueios_judiciais!G:G,"&lt;0")</f>
        <v/>
      </c>
      <c r="N722" s="10">
        <f>SUMIFS(df_extratos!I:I,df_extratos!F:F,Conciliacao!BE722,df_extratos!G:G,"DEBITO")+SUMIFS(df_extratos!I:I,df_extratos!F:F,Conciliacao!A722,df_extratos!G:G,"DEBITO")+SUMIFS(df_extratos!I:I,df_extratos!F:F,Conciliacao!BF722,df_extratos!G:G,"DEBITO")+SUMIFS(df_extratos!I:I,df_extratos!F:F,Conciliacao!BG722,df_extratos!G:G,"DEBITO")+SUMIFS(df_extratos!I:I,df_extratos!F:F,Conciliacao!BH722,df_extratos!G:G,"DEBITO")</f>
        <v/>
      </c>
      <c r="O722" s="11">
        <f>N722-SUM(J722:M722)</f>
        <v/>
      </c>
      <c r="P722" s="25">
        <f>SUMIFS(df_ajustes_conciliaco!D:D,df_ajustes_conciliaco!C:C,Conciliacao!A722)</f>
        <v/>
      </c>
      <c r="Q722" s="22">
        <f>O722+I722-P722</f>
        <v/>
      </c>
      <c r="BE722" s="20" t="n">
        <v>46378.5</v>
      </c>
      <c r="BF722" s="20" t="n">
        <v>46378.125</v>
      </c>
      <c r="BG722" s="20" t="n">
        <v>46378.5416666088</v>
      </c>
      <c r="BH722" s="20" t="n">
        <v>46378.625</v>
      </c>
    </row>
    <row r="723">
      <c r="A723" s="5">
        <f>A722+1</f>
        <v/>
      </c>
      <c r="B723" s="3">
        <f>-SUMIFS(df_extrato_zig!G:G,df_extrato_zig!E:E,Conciliacao!A723,df_extrato_zig!D:D,"Saque")-SUMIFS(df_extrato_zig!G:G,df_extrato_zig!E:E,Conciliacao!A723,df_extrato_zig!D:D,"Antecipação")</f>
        <v/>
      </c>
      <c r="C723" s="3">
        <f>SUMIFS(df_extrato_zig!E:E,df_extrato_zig!L:L,Conciliacao!A723,df_extrato_zig!F:F,"DINHEIRO")</f>
        <v/>
      </c>
      <c r="D723" s="3">
        <f>SUMIFS(view_parc_agrup!H:H,view_parc_agrup!G:G,Conciliacao!A723)</f>
        <v/>
      </c>
      <c r="E723" s="3">
        <f>SUMIFS(df_eventos!F:F,df_eventos!H:H,Conciliacao!A723)</f>
        <v/>
      </c>
      <c r="F723" s="3">
        <f>SUMIFS(df_mutuos!M:M,df_mutuos!B:B,Conciliacao!A723)</f>
        <v/>
      </c>
      <c r="G723" s="6">
        <f>SUMIFS(df_bloqueios_judiciais!G:G,df_bloqueios_judiciais!D:D,Conciliacao!A723,df_bloqueios_judiciais!G:G,"&gt;0")</f>
        <v/>
      </c>
      <c r="H723" s="7">
        <f>SUMIFS(df_extratos!I:I,df_extratos!F:F,Conciliacao!BE723,df_extratos!G:G,"CREDITO")+SUMIFS(df_extratos!I:I,df_extratos!F:F,Conciliacao!A723,df_extratos!G:G,"CREDITO")+SUMIFS(df_extratos!I:I,df_extratos!F:F,Conciliacao!BF723,df_extratos!G:G,"CREDITO")+SUMIFS(df_extratos!I:I,df_extratos!F:F,Conciliacao!BG723,df_extratos!G:G,"CREDITO")+SUMIFS(df_extratos!I:I,df_extratos!F:F,Conciliacao!BH723,df_extratos!G:G,"CREDITO")</f>
        <v/>
      </c>
      <c r="I723" s="9">
        <f>H723-SUM(B723:G723)</f>
        <v/>
      </c>
      <c r="J723" s="4">
        <f>SUMIFS(df_blueme_sem_parcelamento!E:E,df_blueme_sem_parcelamento!H:H,Conciliacao!A723)*(-1)</f>
        <v/>
      </c>
      <c r="K723" s="4">
        <f>SUMIFS(df_blueme_com_parcelamento!J:J,df_blueme_com_parcelamento!M:M,Conciliacao!A723)*(-1)</f>
        <v/>
      </c>
      <c r="L723" s="4">
        <f>SUMIFS(df_mutuos!N:N,df_mutuos!B:B,Conciliacao!A723)*(-1)</f>
        <v/>
      </c>
      <c r="M723" s="8">
        <f>SUMIFS(df_bloqueios_judiciais!G:G,df_bloqueios_judiciais!D:D,Conciliacao!A723,df_bloqueios_judiciais!G:G,"&lt;0")</f>
        <v/>
      </c>
      <c r="N723" s="10">
        <f>SUMIFS(df_extratos!I:I,df_extratos!F:F,Conciliacao!BE723,df_extratos!G:G,"DEBITO")+SUMIFS(df_extratos!I:I,df_extratos!F:F,Conciliacao!A723,df_extratos!G:G,"DEBITO")+SUMIFS(df_extratos!I:I,df_extratos!F:F,Conciliacao!BF723,df_extratos!G:G,"DEBITO")+SUMIFS(df_extratos!I:I,df_extratos!F:F,Conciliacao!BG723,df_extratos!G:G,"DEBITO")+SUMIFS(df_extratos!I:I,df_extratos!F:F,Conciliacao!BH723,df_extratos!G:G,"DEBITO")</f>
        <v/>
      </c>
      <c r="O723" s="11">
        <f>N723-SUM(J723:M723)</f>
        <v/>
      </c>
      <c r="P723" s="25">
        <f>SUMIFS(df_ajustes_conciliaco!D:D,df_ajustes_conciliaco!C:C,Conciliacao!A723)</f>
        <v/>
      </c>
      <c r="Q723" s="22">
        <f>O723+I723-P723</f>
        <v/>
      </c>
      <c r="BE723" s="20" t="n">
        <v>46379.5</v>
      </c>
      <c r="BF723" s="20" t="n">
        <v>46379.125</v>
      </c>
      <c r="BG723" s="20" t="n">
        <v>46379.5416666088</v>
      </c>
      <c r="BH723" s="20" t="n">
        <v>46379.625</v>
      </c>
    </row>
    <row r="724">
      <c r="A724" s="5">
        <f>A723+1</f>
        <v/>
      </c>
      <c r="B724" s="3">
        <f>-SUMIFS(df_extrato_zig!G:G,df_extrato_zig!E:E,Conciliacao!A724,df_extrato_zig!D:D,"Saque")-SUMIFS(df_extrato_zig!G:G,df_extrato_zig!E:E,Conciliacao!A724,df_extrato_zig!D:D,"Antecipação")</f>
        <v/>
      </c>
      <c r="C724" s="3">
        <f>SUMIFS(df_extrato_zig!E:E,df_extrato_zig!L:L,Conciliacao!A724,df_extrato_zig!F:F,"DINHEIRO")</f>
        <v/>
      </c>
      <c r="D724" s="3">
        <f>SUMIFS(view_parc_agrup!H:H,view_parc_agrup!G:G,Conciliacao!A724)</f>
        <v/>
      </c>
      <c r="E724" s="3">
        <f>SUMIFS(df_eventos!F:F,df_eventos!H:H,Conciliacao!A724)</f>
        <v/>
      </c>
      <c r="F724" s="3">
        <f>SUMIFS(df_mutuos!M:M,df_mutuos!B:B,Conciliacao!A724)</f>
        <v/>
      </c>
      <c r="G724" s="6">
        <f>SUMIFS(df_bloqueios_judiciais!G:G,df_bloqueios_judiciais!D:D,Conciliacao!A724,df_bloqueios_judiciais!G:G,"&gt;0")</f>
        <v/>
      </c>
      <c r="H724" s="7">
        <f>SUMIFS(df_extratos!I:I,df_extratos!F:F,Conciliacao!BE724,df_extratos!G:G,"CREDITO")+SUMIFS(df_extratos!I:I,df_extratos!F:F,Conciliacao!A724,df_extratos!G:G,"CREDITO")+SUMIFS(df_extratos!I:I,df_extratos!F:F,Conciliacao!BF724,df_extratos!G:G,"CREDITO")+SUMIFS(df_extratos!I:I,df_extratos!F:F,Conciliacao!BG724,df_extratos!G:G,"CREDITO")+SUMIFS(df_extratos!I:I,df_extratos!F:F,Conciliacao!BH724,df_extratos!G:G,"CREDITO")</f>
        <v/>
      </c>
      <c r="I724" s="9">
        <f>H724-SUM(B724:G724)</f>
        <v/>
      </c>
      <c r="J724" s="4">
        <f>SUMIFS(df_blueme_sem_parcelamento!E:E,df_blueme_sem_parcelamento!H:H,Conciliacao!A724)*(-1)</f>
        <v/>
      </c>
      <c r="K724" s="4">
        <f>SUMIFS(df_blueme_com_parcelamento!J:J,df_blueme_com_parcelamento!M:M,Conciliacao!A724)*(-1)</f>
        <v/>
      </c>
      <c r="L724" s="4">
        <f>SUMIFS(df_mutuos!N:N,df_mutuos!B:B,Conciliacao!A724)*(-1)</f>
        <v/>
      </c>
      <c r="M724" s="8">
        <f>SUMIFS(df_bloqueios_judiciais!G:G,df_bloqueios_judiciais!D:D,Conciliacao!A724,df_bloqueios_judiciais!G:G,"&lt;0")</f>
        <v/>
      </c>
      <c r="N724" s="10">
        <f>SUMIFS(df_extratos!I:I,df_extratos!F:F,Conciliacao!BE724,df_extratos!G:G,"DEBITO")+SUMIFS(df_extratos!I:I,df_extratos!F:F,Conciliacao!A724,df_extratos!G:G,"DEBITO")+SUMIFS(df_extratos!I:I,df_extratos!F:F,Conciliacao!BF724,df_extratos!G:G,"DEBITO")+SUMIFS(df_extratos!I:I,df_extratos!F:F,Conciliacao!BG724,df_extratos!G:G,"DEBITO")+SUMIFS(df_extratos!I:I,df_extratos!F:F,Conciliacao!BH724,df_extratos!G:G,"DEBITO")</f>
        <v/>
      </c>
      <c r="O724" s="11">
        <f>N724-SUM(J724:M724)</f>
        <v/>
      </c>
      <c r="P724" s="25">
        <f>SUMIFS(df_ajustes_conciliaco!D:D,df_ajustes_conciliaco!C:C,Conciliacao!A724)</f>
        <v/>
      </c>
      <c r="Q724" s="22">
        <f>O724+I724-P724</f>
        <v/>
      </c>
      <c r="BE724" s="20" t="n">
        <v>46380.5</v>
      </c>
      <c r="BF724" s="20" t="n">
        <v>46380.125</v>
      </c>
      <c r="BG724" s="20" t="n">
        <v>46380.5416666088</v>
      </c>
      <c r="BH724" s="20" t="n">
        <v>46022.625</v>
      </c>
    </row>
    <row r="725">
      <c r="A725" s="5">
        <f>A724+1</f>
        <v/>
      </c>
      <c r="B725" s="3">
        <f>-SUMIFS(df_extrato_zig!G:G,df_extrato_zig!E:E,Conciliacao!A725,df_extrato_zig!D:D,"Saque")-SUMIFS(df_extrato_zig!G:G,df_extrato_zig!E:E,Conciliacao!A725,df_extrato_zig!D:D,"Antecipação")</f>
        <v/>
      </c>
      <c r="C725" s="3">
        <f>SUMIFS(df_extrato_zig!E:E,df_extrato_zig!L:L,Conciliacao!A725,df_extrato_zig!F:F,"DINHEIRO")</f>
        <v/>
      </c>
      <c r="D725" s="3">
        <f>SUMIFS(view_parc_agrup!H:H,view_parc_agrup!G:G,Conciliacao!A725)</f>
        <v/>
      </c>
      <c r="E725" s="3">
        <f>SUMIFS(df_eventos!F:F,df_eventos!H:H,Conciliacao!A725)</f>
        <v/>
      </c>
      <c r="F725" s="3">
        <f>SUMIFS(df_mutuos!M:M,df_mutuos!B:B,Conciliacao!A725)</f>
        <v/>
      </c>
      <c r="G725" s="6">
        <f>SUMIFS(df_bloqueios_judiciais!G:G,df_bloqueios_judiciais!D:D,Conciliacao!A725,df_bloqueios_judiciais!G:G,"&gt;0")</f>
        <v/>
      </c>
      <c r="H725" s="7">
        <f>SUMIFS(df_extratos!I:I,df_extratos!F:F,Conciliacao!BE725,df_extratos!G:G,"CREDITO")+SUMIFS(df_extratos!I:I,df_extratos!F:F,Conciliacao!A725,df_extratos!G:G,"CREDITO")+SUMIFS(df_extratos!I:I,df_extratos!F:F,Conciliacao!BF725,df_extratos!G:G,"CREDITO")+SUMIFS(df_extratos!I:I,df_extratos!F:F,Conciliacao!BG725,df_extratos!G:G,"CREDITO")+SUMIFS(df_extratos!I:I,df_extratos!F:F,Conciliacao!BH725,df_extratos!G:G,"CREDITO")</f>
        <v/>
      </c>
      <c r="I725" s="9">
        <f>H725-SUM(B725:G725)</f>
        <v/>
      </c>
      <c r="J725" s="4">
        <f>SUMIFS(df_blueme_sem_parcelamento!E:E,df_blueme_sem_parcelamento!H:H,Conciliacao!A725)*(-1)</f>
        <v/>
      </c>
      <c r="K725" s="4">
        <f>SUMIFS(df_blueme_com_parcelamento!J:J,df_blueme_com_parcelamento!M:M,Conciliacao!A725)*(-1)</f>
        <v/>
      </c>
      <c r="L725" s="4">
        <f>SUMIFS(df_mutuos!N:N,df_mutuos!B:B,Conciliacao!A725)*(-1)</f>
        <v/>
      </c>
      <c r="M725" s="8">
        <f>SUMIFS(df_bloqueios_judiciais!G:G,df_bloqueios_judiciais!D:D,Conciliacao!A725,df_bloqueios_judiciais!G:G,"&lt;0")</f>
        <v/>
      </c>
      <c r="N725" s="10">
        <f>SUMIFS(df_extratos!I:I,df_extratos!F:F,Conciliacao!BE725,df_extratos!G:G,"DEBITO")+SUMIFS(df_extratos!I:I,df_extratos!F:F,Conciliacao!A725,df_extratos!G:G,"DEBITO")+SUMIFS(df_extratos!I:I,df_extratos!F:F,Conciliacao!BF725,df_extratos!G:G,"DEBITO")+SUMIFS(df_extratos!I:I,df_extratos!F:F,Conciliacao!BG725,df_extratos!G:G,"DEBITO")+SUMIFS(df_extratos!I:I,df_extratos!F:F,Conciliacao!BH725,df_extratos!G:G,"DEBITO")</f>
        <v/>
      </c>
      <c r="O725" s="11">
        <f>N725-SUM(J725:M725)</f>
        <v/>
      </c>
      <c r="P725" s="25">
        <f>SUMIFS(df_ajustes_conciliaco!D:D,df_ajustes_conciliaco!C:C,Conciliacao!A725)</f>
        <v/>
      </c>
      <c r="Q725" s="22">
        <f>O725+I725-P725</f>
        <v/>
      </c>
      <c r="BE725" s="20" t="n">
        <v>46381.5</v>
      </c>
      <c r="BF725" s="20" t="n">
        <v>46381.125</v>
      </c>
      <c r="BG725" s="20" t="n">
        <v>46381.5416666088</v>
      </c>
      <c r="BH725" s="20" t="n">
        <v>46023.625</v>
      </c>
    </row>
    <row r="726">
      <c r="A726" s="5">
        <f>A725+1</f>
        <v/>
      </c>
      <c r="B726" s="3">
        <f>-SUMIFS(df_extrato_zig!G:G,df_extrato_zig!E:E,Conciliacao!A726,df_extrato_zig!D:D,"Saque")-SUMIFS(df_extrato_zig!G:G,df_extrato_zig!E:E,Conciliacao!A726,df_extrato_zig!D:D,"Antecipação")</f>
        <v/>
      </c>
      <c r="C726" s="3">
        <f>SUMIFS(df_extrato_zig!E:E,df_extrato_zig!L:L,Conciliacao!A726,df_extrato_zig!F:F,"DINHEIRO")</f>
        <v/>
      </c>
      <c r="D726" s="3">
        <f>SUMIFS(view_parc_agrup!H:H,view_parc_agrup!G:G,Conciliacao!A726)</f>
        <v/>
      </c>
      <c r="E726" s="3">
        <f>SUMIFS(df_eventos!F:F,df_eventos!H:H,Conciliacao!A726)</f>
        <v/>
      </c>
      <c r="F726" s="3">
        <f>SUMIFS(df_mutuos!M:M,df_mutuos!B:B,Conciliacao!A726)</f>
        <v/>
      </c>
      <c r="G726" s="6">
        <f>SUMIFS(df_bloqueios_judiciais!G:G,df_bloqueios_judiciais!D:D,Conciliacao!A726,df_bloqueios_judiciais!G:G,"&gt;0")</f>
        <v/>
      </c>
      <c r="H726" s="7">
        <f>SUMIFS(df_extratos!I:I,df_extratos!F:F,Conciliacao!BE726,df_extratos!G:G,"CREDITO")+SUMIFS(df_extratos!I:I,df_extratos!F:F,Conciliacao!A726,df_extratos!G:G,"CREDITO")+SUMIFS(df_extratos!I:I,df_extratos!F:F,Conciliacao!BF726,df_extratos!G:G,"CREDITO")+SUMIFS(df_extratos!I:I,df_extratos!F:F,Conciliacao!BG726,df_extratos!G:G,"CREDITO")+SUMIFS(df_extratos!I:I,df_extratos!F:F,Conciliacao!BH726,df_extratos!G:G,"CREDITO")</f>
        <v/>
      </c>
      <c r="I726" s="9">
        <f>H726-SUM(B726:G726)</f>
        <v/>
      </c>
      <c r="J726" s="4">
        <f>SUMIFS(df_blueme_sem_parcelamento!E:E,df_blueme_sem_parcelamento!H:H,Conciliacao!A726)*(-1)</f>
        <v/>
      </c>
      <c r="K726" s="4">
        <f>SUMIFS(df_blueme_com_parcelamento!J:J,df_blueme_com_parcelamento!M:M,Conciliacao!A726)*(-1)</f>
        <v/>
      </c>
      <c r="L726" s="4">
        <f>SUMIFS(df_mutuos!N:N,df_mutuos!B:B,Conciliacao!A726)*(-1)</f>
        <v/>
      </c>
      <c r="M726" s="8">
        <f>SUMIFS(df_bloqueios_judiciais!G:G,df_bloqueios_judiciais!D:D,Conciliacao!A726,df_bloqueios_judiciais!G:G,"&lt;0")</f>
        <v/>
      </c>
      <c r="N726" s="10">
        <f>SUMIFS(df_extratos!I:I,df_extratos!F:F,Conciliacao!BE726,df_extratos!G:G,"DEBITO")+SUMIFS(df_extratos!I:I,df_extratos!F:F,Conciliacao!A726,df_extratos!G:G,"DEBITO")+SUMIFS(df_extratos!I:I,df_extratos!F:F,Conciliacao!BF726,df_extratos!G:G,"DEBITO")+SUMIFS(df_extratos!I:I,df_extratos!F:F,Conciliacao!BG726,df_extratos!G:G,"DEBITO")+SUMIFS(df_extratos!I:I,df_extratos!F:F,Conciliacao!BH726,df_extratos!G:G,"DEBITO")</f>
        <v/>
      </c>
      <c r="O726" s="11">
        <f>N726-SUM(J726:M726)</f>
        <v/>
      </c>
      <c r="P726" s="25">
        <f>SUMIFS(df_ajustes_conciliaco!D:D,df_ajustes_conciliaco!C:C,Conciliacao!A726)</f>
        <v/>
      </c>
      <c r="Q726" s="22">
        <f>O726+I726-P726</f>
        <v/>
      </c>
      <c r="BE726" s="20" t="n">
        <v>46382.5</v>
      </c>
      <c r="BF726" s="20" t="n">
        <v>46382.125</v>
      </c>
      <c r="BG726" s="20" t="n">
        <v>46382.5416666088</v>
      </c>
      <c r="BH726" s="20" t="n">
        <v>46024.625</v>
      </c>
    </row>
    <row r="727">
      <c r="A727" s="5">
        <f>A726+1</f>
        <v/>
      </c>
      <c r="B727" s="3">
        <f>-SUMIFS(df_extrato_zig!G:G,df_extrato_zig!E:E,Conciliacao!A727,df_extrato_zig!D:D,"Saque")-SUMIFS(df_extrato_zig!G:G,df_extrato_zig!E:E,Conciliacao!A727,df_extrato_zig!D:D,"Antecipação")</f>
        <v/>
      </c>
      <c r="C727" s="3">
        <f>SUMIFS(df_extrato_zig!E:E,df_extrato_zig!L:L,Conciliacao!A727,df_extrato_zig!F:F,"DINHEIRO")</f>
        <v/>
      </c>
      <c r="D727" s="3">
        <f>SUMIFS(view_parc_agrup!H:H,view_parc_agrup!G:G,Conciliacao!A727)</f>
        <v/>
      </c>
      <c r="E727" s="3">
        <f>SUMIFS(df_eventos!F:F,df_eventos!H:H,Conciliacao!A727)</f>
        <v/>
      </c>
      <c r="F727" s="3">
        <f>SUMIFS(df_mutuos!M:M,df_mutuos!B:B,Conciliacao!A727)</f>
        <v/>
      </c>
      <c r="G727" s="6">
        <f>SUMIFS(df_bloqueios_judiciais!G:G,df_bloqueios_judiciais!D:D,Conciliacao!A727,df_bloqueios_judiciais!G:G,"&gt;0")</f>
        <v/>
      </c>
      <c r="H727" s="7">
        <f>SUMIFS(df_extratos!I:I,df_extratos!F:F,Conciliacao!BE727,df_extratos!G:G,"CREDITO")+SUMIFS(df_extratos!I:I,df_extratos!F:F,Conciliacao!A727,df_extratos!G:G,"CREDITO")+SUMIFS(df_extratos!I:I,df_extratos!F:F,Conciliacao!BF727,df_extratos!G:G,"CREDITO")+SUMIFS(df_extratos!I:I,df_extratos!F:F,Conciliacao!BG727,df_extratos!G:G,"CREDITO")+SUMIFS(df_extratos!I:I,df_extratos!F:F,Conciliacao!BH727,df_extratos!G:G,"CREDITO")</f>
        <v/>
      </c>
      <c r="I727" s="9">
        <f>H727-SUM(B727:G727)</f>
        <v/>
      </c>
      <c r="J727" s="4">
        <f>SUMIFS(df_blueme_sem_parcelamento!E:E,df_blueme_sem_parcelamento!H:H,Conciliacao!A727)*(-1)</f>
        <v/>
      </c>
      <c r="K727" s="4">
        <f>SUMIFS(df_blueme_com_parcelamento!J:J,df_blueme_com_parcelamento!M:M,Conciliacao!A727)*(-1)</f>
        <v/>
      </c>
      <c r="L727" s="4">
        <f>SUMIFS(df_mutuos!N:N,df_mutuos!B:B,Conciliacao!A727)*(-1)</f>
        <v/>
      </c>
      <c r="M727" s="8">
        <f>SUMIFS(df_bloqueios_judiciais!G:G,df_bloqueios_judiciais!D:D,Conciliacao!A727,df_bloqueios_judiciais!G:G,"&lt;0")</f>
        <v/>
      </c>
      <c r="N727" s="10">
        <f>SUMIFS(df_extratos!I:I,df_extratos!F:F,Conciliacao!BE727,df_extratos!G:G,"DEBITO")+SUMIFS(df_extratos!I:I,df_extratos!F:F,Conciliacao!A727,df_extratos!G:G,"DEBITO")+SUMIFS(df_extratos!I:I,df_extratos!F:F,Conciliacao!BF727,df_extratos!G:G,"DEBITO")+SUMIFS(df_extratos!I:I,df_extratos!F:F,Conciliacao!BG727,df_extratos!G:G,"DEBITO")+SUMIFS(df_extratos!I:I,df_extratos!F:F,Conciliacao!BH727,df_extratos!G:G,"DEBITO")</f>
        <v/>
      </c>
      <c r="O727" s="11">
        <f>N727-SUM(J727:M727)</f>
        <v/>
      </c>
      <c r="P727" s="25">
        <f>SUMIFS(df_ajustes_conciliaco!D:D,df_ajustes_conciliaco!C:C,Conciliacao!A727)</f>
        <v/>
      </c>
      <c r="Q727" s="22">
        <f>O727+I727-P727</f>
        <v/>
      </c>
      <c r="BE727" s="20" t="n">
        <v>46383.5</v>
      </c>
      <c r="BF727" s="20" t="n">
        <v>46383.125</v>
      </c>
      <c r="BG727" s="20" t="n">
        <v>46383.5416666088</v>
      </c>
      <c r="BH727" s="20" t="n">
        <v>46025.625</v>
      </c>
    </row>
    <row r="728">
      <c r="A728" s="5">
        <f>A727+1</f>
        <v/>
      </c>
      <c r="B728" s="3">
        <f>-SUMIFS(df_extrato_zig!G:G,df_extrato_zig!E:E,Conciliacao!A728,df_extrato_zig!D:D,"Saque")-SUMIFS(df_extrato_zig!G:G,df_extrato_zig!E:E,Conciliacao!A728,df_extrato_zig!D:D,"Antecipação")</f>
        <v/>
      </c>
      <c r="C728" s="3">
        <f>SUMIFS(df_extrato_zig!E:E,df_extrato_zig!L:L,Conciliacao!A728,df_extrato_zig!F:F,"DINHEIRO")</f>
        <v/>
      </c>
      <c r="D728" s="3">
        <f>SUMIFS(view_parc_agrup!H:H,view_parc_agrup!G:G,Conciliacao!A728)</f>
        <v/>
      </c>
      <c r="E728" s="3">
        <f>SUMIFS(df_eventos!F:F,df_eventos!H:H,Conciliacao!A728)</f>
        <v/>
      </c>
      <c r="F728" s="3">
        <f>SUMIFS(df_mutuos!M:M,df_mutuos!B:B,Conciliacao!A728)</f>
        <v/>
      </c>
      <c r="G728" s="6">
        <f>SUMIFS(df_bloqueios_judiciais!G:G,df_bloqueios_judiciais!D:D,Conciliacao!A728,df_bloqueios_judiciais!G:G,"&gt;0")</f>
        <v/>
      </c>
      <c r="H728" s="7">
        <f>SUMIFS(df_extratos!I:I,df_extratos!F:F,Conciliacao!BE728,df_extratos!G:G,"CREDITO")+SUMIFS(df_extratos!I:I,df_extratos!F:F,Conciliacao!A728,df_extratos!G:G,"CREDITO")+SUMIFS(df_extratos!I:I,df_extratos!F:F,Conciliacao!BF728,df_extratos!G:G,"CREDITO")+SUMIFS(df_extratos!I:I,df_extratos!F:F,Conciliacao!BG728,df_extratos!G:G,"CREDITO")+SUMIFS(df_extratos!I:I,df_extratos!F:F,Conciliacao!BH728,df_extratos!G:G,"CREDITO")</f>
        <v/>
      </c>
      <c r="I728" s="9">
        <f>H728-SUM(B728:G728)</f>
        <v/>
      </c>
      <c r="J728" s="4">
        <f>SUMIFS(df_blueme_sem_parcelamento!E:E,df_blueme_sem_parcelamento!H:H,Conciliacao!A728)*(-1)</f>
        <v/>
      </c>
      <c r="K728" s="4">
        <f>SUMIFS(df_blueme_com_parcelamento!J:J,df_blueme_com_parcelamento!M:M,Conciliacao!A728)*(-1)</f>
        <v/>
      </c>
      <c r="L728" s="4">
        <f>SUMIFS(df_mutuos!N:N,df_mutuos!B:B,Conciliacao!A728)*(-1)</f>
        <v/>
      </c>
      <c r="M728" s="8">
        <f>SUMIFS(df_bloqueios_judiciais!G:G,df_bloqueios_judiciais!D:D,Conciliacao!A728,df_bloqueios_judiciais!G:G,"&lt;0")</f>
        <v/>
      </c>
      <c r="N728" s="10">
        <f>SUMIFS(df_extratos!I:I,df_extratos!F:F,Conciliacao!BE728,df_extratos!G:G,"DEBITO")+SUMIFS(df_extratos!I:I,df_extratos!F:F,Conciliacao!A728,df_extratos!G:G,"DEBITO")+SUMIFS(df_extratos!I:I,df_extratos!F:F,Conciliacao!BF728,df_extratos!G:G,"DEBITO")+SUMIFS(df_extratos!I:I,df_extratos!F:F,Conciliacao!BG728,df_extratos!G:G,"DEBITO")+SUMIFS(df_extratos!I:I,df_extratos!F:F,Conciliacao!BH728,df_extratos!G:G,"DEBITO")</f>
        <v/>
      </c>
      <c r="O728" s="11">
        <f>N728-SUM(J728:M728)</f>
        <v/>
      </c>
      <c r="P728" s="25">
        <f>SUMIFS(df_ajustes_conciliaco!D:D,df_ajustes_conciliaco!C:C,Conciliacao!A728)</f>
        <v/>
      </c>
      <c r="Q728" s="22">
        <f>O728+I728-P728</f>
        <v/>
      </c>
      <c r="BE728" s="20" t="n">
        <v>46384.5</v>
      </c>
      <c r="BF728" s="20" t="n">
        <v>46384.125</v>
      </c>
      <c r="BG728" s="20" t="n">
        <v>46384.5416666088</v>
      </c>
      <c r="BH728" s="20" t="n">
        <v>46026.625</v>
      </c>
    </row>
    <row r="729">
      <c r="A729" s="5">
        <f>A728+1</f>
        <v/>
      </c>
      <c r="B729" s="3">
        <f>-SUMIFS(df_extrato_zig!G:G,df_extrato_zig!E:E,Conciliacao!A729,df_extrato_zig!D:D,"Saque")-SUMIFS(df_extrato_zig!G:G,df_extrato_zig!E:E,Conciliacao!A729,df_extrato_zig!D:D,"Antecipação")</f>
        <v/>
      </c>
      <c r="C729" s="3">
        <f>SUMIFS(df_extrato_zig!E:E,df_extrato_zig!L:L,Conciliacao!A729,df_extrato_zig!F:F,"DINHEIRO")</f>
        <v/>
      </c>
      <c r="D729" s="3">
        <f>SUMIFS(view_parc_agrup!H:H,view_parc_agrup!G:G,Conciliacao!A729)</f>
        <v/>
      </c>
      <c r="E729" s="3">
        <f>SUMIFS(df_eventos!F:F,df_eventos!H:H,Conciliacao!A729)</f>
        <v/>
      </c>
      <c r="F729" s="3">
        <f>SUMIFS(df_mutuos!M:M,df_mutuos!B:B,Conciliacao!A729)</f>
        <v/>
      </c>
      <c r="G729" s="6">
        <f>SUMIFS(df_bloqueios_judiciais!G:G,df_bloqueios_judiciais!D:D,Conciliacao!A729,df_bloqueios_judiciais!G:G,"&gt;0")</f>
        <v/>
      </c>
      <c r="H729" s="7">
        <f>SUMIFS(df_extratos!I:I,df_extratos!F:F,Conciliacao!BE729,df_extratos!G:G,"CREDITO")+SUMIFS(df_extratos!I:I,df_extratos!F:F,Conciliacao!A729,df_extratos!G:G,"CREDITO")+SUMIFS(df_extratos!I:I,df_extratos!F:F,Conciliacao!BF729,df_extratos!G:G,"CREDITO")+SUMIFS(df_extratos!I:I,df_extratos!F:F,Conciliacao!BG729,df_extratos!G:G,"CREDITO")+SUMIFS(df_extratos!I:I,df_extratos!F:F,Conciliacao!BH729,df_extratos!G:G,"CREDITO")</f>
        <v/>
      </c>
      <c r="I729" s="9">
        <f>H729-SUM(B729:G729)</f>
        <v/>
      </c>
      <c r="J729" s="4">
        <f>SUMIFS(df_blueme_sem_parcelamento!E:E,df_blueme_sem_parcelamento!H:H,Conciliacao!A729)*(-1)</f>
        <v/>
      </c>
      <c r="K729" s="4">
        <f>SUMIFS(df_blueme_com_parcelamento!J:J,df_blueme_com_parcelamento!M:M,Conciliacao!A729)*(-1)</f>
        <v/>
      </c>
      <c r="L729" s="4">
        <f>SUMIFS(df_mutuos!N:N,df_mutuos!B:B,Conciliacao!A729)*(-1)</f>
        <v/>
      </c>
      <c r="M729" s="8">
        <f>SUMIFS(df_bloqueios_judiciais!G:G,df_bloqueios_judiciais!D:D,Conciliacao!A729,df_bloqueios_judiciais!G:G,"&lt;0")</f>
        <v/>
      </c>
      <c r="N729" s="10">
        <f>SUMIFS(df_extratos!I:I,df_extratos!F:F,Conciliacao!BE729,df_extratos!G:G,"DEBITO")+SUMIFS(df_extratos!I:I,df_extratos!F:F,Conciliacao!A729,df_extratos!G:G,"DEBITO")+SUMIFS(df_extratos!I:I,df_extratos!F:F,Conciliacao!BF729,df_extratos!G:G,"DEBITO")+SUMIFS(df_extratos!I:I,df_extratos!F:F,Conciliacao!BG729,df_extratos!G:G,"DEBITO")+SUMIFS(df_extratos!I:I,df_extratos!F:F,Conciliacao!BH729,df_extratos!G:G,"DEBITO")</f>
        <v/>
      </c>
      <c r="O729" s="11">
        <f>N729-SUM(J729:M729)</f>
        <v/>
      </c>
      <c r="P729" s="25">
        <f>SUMIFS(df_ajustes_conciliaco!D:D,df_ajustes_conciliaco!C:C,Conciliacao!A729)</f>
        <v/>
      </c>
      <c r="Q729" s="22">
        <f>O729+I729-P729</f>
        <v/>
      </c>
      <c r="BE729" s="20" t="n">
        <v>46385.5</v>
      </c>
      <c r="BF729" s="20" t="n">
        <v>46385.125</v>
      </c>
      <c r="BG729" s="20" t="n">
        <v>46385.5416666088</v>
      </c>
      <c r="BH729" s="20" t="n">
        <v>46027.625</v>
      </c>
    </row>
    <row r="730">
      <c r="A730" s="5">
        <f>A729+1</f>
        <v/>
      </c>
      <c r="B730" s="3">
        <f>-SUMIFS(df_extrato_zig!G:G,df_extrato_zig!E:E,Conciliacao!A730,df_extrato_zig!D:D,"Saque")-SUMIFS(df_extrato_zig!G:G,df_extrato_zig!E:E,Conciliacao!A730,df_extrato_zig!D:D,"Antecipação")</f>
        <v/>
      </c>
      <c r="C730" s="3">
        <f>SUMIFS(df_extrato_zig!E:E,df_extrato_zig!L:L,Conciliacao!A730,df_extrato_zig!F:F,"DINHEIRO")</f>
        <v/>
      </c>
      <c r="D730" s="3">
        <f>SUMIFS(view_parc_agrup!H:H,view_parc_agrup!G:G,Conciliacao!A730)</f>
        <v/>
      </c>
      <c r="E730" s="3">
        <f>SUMIFS(df_eventos!F:F,df_eventos!H:H,Conciliacao!A730)</f>
        <v/>
      </c>
      <c r="F730" s="3">
        <f>SUMIFS(df_mutuos!M:M,df_mutuos!B:B,Conciliacao!A730)</f>
        <v/>
      </c>
      <c r="G730" s="6">
        <f>SUMIFS(df_bloqueios_judiciais!G:G,df_bloqueios_judiciais!D:D,Conciliacao!A730,df_bloqueios_judiciais!G:G,"&gt;0")</f>
        <v/>
      </c>
      <c r="H730" s="7">
        <f>SUMIFS(df_extratos!I:I,df_extratos!F:F,Conciliacao!BE730,df_extratos!G:G,"CREDITO")+SUMIFS(df_extratos!I:I,df_extratos!F:F,Conciliacao!A730,df_extratos!G:G,"CREDITO")+SUMIFS(df_extratos!I:I,df_extratos!F:F,Conciliacao!BF730,df_extratos!G:G,"CREDITO")+SUMIFS(df_extratos!I:I,df_extratos!F:F,Conciliacao!BG730,df_extratos!G:G,"CREDITO")+SUMIFS(df_extratos!I:I,df_extratos!F:F,Conciliacao!BH730,df_extratos!G:G,"CREDITO")</f>
        <v/>
      </c>
      <c r="I730" s="9">
        <f>H730-SUM(B730:G730)</f>
        <v/>
      </c>
      <c r="J730" s="4">
        <f>SUMIFS(df_blueme_sem_parcelamento!E:E,df_blueme_sem_parcelamento!H:H,Conciliacao!A730)*(-1)</f>
        <v/>
      </c>
      <c r="K730" s="4">
        <f>SUMIFS(df_blueme_com_parcelamento!J:J,df_blueme_com_parcelamento!M:M,Conciliacao!A730)*(-1)</f>
        <v/>
      </c>
      <c r="L730" s="4">
        <f>SUMIFS(df_mutuos!N:N,df_mutuos!B:B,Conciliacao!A730)*(-1)</f>
        <v/>
      </c>
      <c r="M730" s="8">
        <f>SUMIFS(df_bloqueios_judiciais!G:G,df_bloqueios_judiciais!D:D,Conciliacao!A730,df_bloqueios_judiciais!G:G,"&lt;0")</f>
        <v/>
      </c>
      <c r="N730" s="10">
        <f>SUMIFS(df_extratos!I:I,df_extratos!F:F,Conciliacao!BE730,df_extratos!G:G,"DEBITO")+SUMIFS(df_extratos!I:I,df_extratos!F:F,Conciliacao!A730,df_extratos!G:G,"DEBITO")+SUMIFS(df_extratos!I:I,df_extratos!F:F,Conciliacao!BF730,df_extratos!G:G,"DEBITO")+SUMIFS(df_extratos!I:I,df_extratos!F:F,Conciliacao!BG730,df_extratos!G:G,"DEBITO")+SUMIFS(df_extratos!I:I,df_extratos!F:F,Conciliacao!BH730,df_extratos!G:G,"DEBITO")</f>
        <v/>
      </c>
      <c r="O730" s="11">
        <f>N730-SUM(J730:M730)</f>
        <v/>
      </c>
      <c r="P730" s="25">
        <f>SUMIFS(df_ajustes_conciliaco!D:D,df_ajustes_conciliaco!C:C,Conciliacao!A730)</f>
        <v/>
      </c>
      <c r="Q730" s="22">
        <f>O730+I730-P730</f>
        <v/>
      </c>
      <c r="BE730" s="20" t="n">
        <v>46386.5</v>
      </c>
      <c r="BF730" s="20" t="n">
        <v>46386.125</v>
      </c>
      <c r="BG730" s="20" t="n">
        <v>46386.5416666088</v>
      </c>
      <c r="BH730" s="20" t="n">
        <v>46028.625</v>
      </c>
    </row>
    <row r="731">
      <c r="A731" s="5">
        <f>A730+1</f>
        <v/>
      </c>
      <c r="B731" s="3">
        <f>-SUMIFS(df_extrato_zig!G:G,df_extrato_zig!E:E,Conciliacao!A731,df_extrato_zig!D:D,"Saque")-SUMIFS(df_extrato_zig!G:G,df_extrato_zig!E:E,Conciliacao!A731,df_extrato_zig!D:D,"Antecipação")</f>
        <v/>
      </c>
      <c r="C731" s="3">
        <f>SUMIFS(df_extrato_zig!E:E,df_extrato_zig!L:L,Conciliacao!A731,df_extrato_zig!F:F,"DINHEIRO")</f>
        <v/>
      </c>
      <c r="D731" s="3">
        <f>SUMIFS(view_parc_agrup!H:H,view_parc_agrup!G:G,Conciliacao!A731)</f>
        <v/>
      </c>
      <c r="E731" s="3">
        <f>SUMIFS(df_eventos!F:F,df_eventos!H:H,Conciliacao!A731)</f>
        <v/>
      </c>
      <c r="F731" s="3">
        <f>SUMIFS(df_mutuos!M:M,df_mutuos!B:B,Conciliacao!A731)</f>
        <v/>
      </c>
      <c r="G731" s="6">
        <f>SUMIFS(df_bloqueios_judiciais!G:G,df_bloqueios_judiciais!D:D,Conciliacao!A731,df_bloqueios_judiciais!G:G,"&gt;0")</f>
        <v/>
      </c>
      <c r="H731" s="7">
        <f>SUMIFS(df_extratos!I:I,df_extratos!F:F,Conciliacao!BE731,df_extratos!G:G,"CREDITO")+SUMIFS(df_extratos!I:I,df_extratos!F:F,Conciliacao!A731,df_extratos!G:G,"CREDITO")+SUMIFS(df_extratos!I:I,df_extratos!F:F,Conciliacao!BF731,df_extratos!G:G,"CREDITO")+SUMIFS(df_extratos!I:I,df_extratos!F:F,Conciliacao!BG731,df_extratos!G:G,"CREDITO")+SUMIFS(df_extratos!I:I,df_extratos!F:F,Conciliacao!BH731,df_extratos!G:G,"CREDITO")</f>
        <v/>
      </c>
      <c r="I731" s="9">
        <f>H731-SUM(B731:G731)</f>
        <v/>
      </c>
      <c r="J731" s="4">
        <f>SUMIFS(df_blueme_sem_parcelamento!E:E,df_blueme_sem_parcelamento!H:H,Conciliacao!A731)*(-1)</f>
        <v/>
      </c>
      <c r="K731" s="4">
        <f>SUMIFS(df_blueme_com_parcelamento!J:J,df_blueme_com_parcelamento!M:M,Conciliacao!A731)*(-1)</f>
        <v/>
      </c>
      <c r="L731" s="4">
        <f>SUMIFS(df_mutuos!N:N,df_mutuos!B:B,Conciliacao!A731)*(-1)</f>
        <v/>
      </c>
      <c r="M731" s="8">
        <f>SUMIFS(df_bloqueios_judiciais!G:G,df_bloqueios_judiciais!D:D,Conciliacao!A731,df_bloqueios_judiciais!G:G,"&lt;0")</f>
        <v/>
      </c>
      <c r="N731" s="10">
        <f>SUMIFS(df_extratos!I:I,df_extratos!F:F,Conciliacao!BE731,df_extratos!G:G,"DEBITO")+SUMIFS(df_extratos!I:I,df_extratos!F:F,Conciliacao!A731,df_extratos!G:G,"DEBITO")+SUMIFS(df_extratos!I:I,df_extratos!F:F,Conciliacao!BF731,df_extratos!G:G,"DEBITO")+SUMIFS(df_extratos!I:I,df_extratos!F:F,Conciliacao!BG731,df_extratos!G:G,"DEBITO")+SUMIFS(df_extratos!I:I,df_extratos!F:F,Conciliacao!BH731,df_extratos!G:G,"DEBITO")</f>
        <v/>
      </c>
      <c r="O731" s="11">
        <f>N731-SUM(J731:M731)</f>
        <v/>
      </c>
      <c r="P731" s="25">
        <f>SUMIFS(df_ajustes_conciliaco!D:D,df_ajustes_conciliaco!C:C,Conciliacao!A731)</f>
        <v/>
      </c>
      <c r="Q731" s="22">
        <f>O731+I731-P731</f>
        <v/>
      </c>
      <c r="BE731" s="20" t="n">
        <v>46387.5</v>
      </c>
      <c r="BF731" s="20" t="n">
        <v>46387.125</v>
      </c>
      <c r="BG731" s="20" t="n">
        <v>46387.5416666088</v>
      </c>
      <c r="BH731" s="20" t="n">
        <v>46029.625</v>
      </c>
    </row>
  </sheetData>
  <autoFilter ref="A1:Q731"/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ID_Extrato</t>
        </is>
      </c>
      <c r="B1" t="inlineStr">
        <is>
          <t>ID_Casa</t>
        </is>
      </c>
      <c r="C1" t="inlineStr">
        <is>
          <t>Casa</t>
        </is>
      </c>
      <c r="D1" t="inlineStr">
        <is>
          <t>Descricao</t>
        </is>
      </c>
      <c r="E1" t="inlineStr">
        <is>
          <t>Data_Liquidacao</t>
        </is>
      </c>
      <c r="F1" t="inlineStr">
        <is>
          <t>Data_Transacao</t>
        </is>
      </c>
      <c r="G1" t="inlineStr">
        <is>
          <t>Valor</t>
        </is>
      </c>
    </row>
    <row r="2">
      <c r="A2" t="n">
        <v>51087</v>
      </c>
      <c r="B2" t="n">
        <v>176</v>
      </c>
      <c r="C2" t="inlineStr">
        <is>
          <t>The Cavern</t>
        </is>
      </c>
      <c r="D2" t="inlineStr">
        <is>
          <t>Saldo Inicial</t>
        </is>
      </c>
      <c r="E2" s="27" t="n">
        <v>46099</v>
      </c>
      <c r="F2" s="27" t="n">
        <v>46099</v>
      </c>
      <c r="G2" t="n">
        <v>-819046.2</v>
      </c>
    </row>
    <row r="3">
      <c r="A3" t="n">
        <v>51088</v>
      </c>
      <c r="B3" t="n">
        <v>176</v>
      </c>
      <c r="C3" t="inlineStr">
        <is>
          <t>The Cavern</t>
        </is>
      </c>
      <c r="D3" t="inlineStr">
        <is>
          <t>Saque</t>
        </is>
      </c>
      <c r="E3" s="27" t="n">
        <v>46099</v>
      </c>
      <c r="F3" s="27" t="n">
        <v>46099</v>
      </c>
      <c r="G3" t="n">
        <v>-716</v>
      </c>
    </row>
    <row r="4">
      <c r="A4" t="n">
        <v>51089</v>
      </c>
      <c r="B4" t="n">
        <v>176</v>
      </c>
      <c r="C4" t="inlineStr">
        <is>
          <t>The Cavern</t>
        </is>
      </c>
      <c r="D4" t="inlineStr">
        <is>
          <t>Saldo Inicial</t>
        </is>
      </c>
      <c r="E4" s="27" t="n">
        <v>46099</v>
      </c>
      <c r="F4" s="27" t="n">
        <v>46099</v>
      </c>
      <c r="G4" t="n">
        <v>-213926</v>
      </c>
    </row>
    <row r="5">
      <c r="A5" t="n">
        <v>51090</v>
      </c>
      <c r="B5" t="n">
        <v>176</v>
      </c>
      <c r="C5" t="inlineStr">
        <is>
          <t>The Cavern</t>
        </is>
      </c>
      <c r="D5" t="inlineStr">
        <is>
          <t>Saque</t>
        </is>
      </c>
      <c r="E5" s="27" t="n">
        <v>46099</v>
      </c>
      <c r="F5" s="27" t="n">
        <v>46099</v>
      </c>
      <c r="G5" t="n">
        <v>-5175</v>
      </c>
    </row>
    <row r="6">
      <c r="A6" t="n">
        <v>51057</v>
      </c>
      <c r="B6" t="n">
        <v>176</v>
      </c>
      <c r="C6" t="inlineStr">
        <is>
          <t>The Cavern</t>
        </is>
      </c>
      <c r="D6" t="inlineStr">
        <is>
          <t>Saque</t>
        </is>
      </c>
      <c r="E6" s="27" t="n">
        <v>46098</v>
      </c>
      <c r="F6" s="27" t="n">
        <v>46098</v>
      </c>
      <c r="G6" t="n">
        <v>-935</v>
      </c>
    </row>
    <row r="7">
      <c r="A7" t="n">
        <v>51056</v>
      </c>
      <c r="B7" t="n">
        <v>176</v>
      </c>
      <c r="C7" t="inlineStr">
        <is>
          <t>The Cavern</t>
        </is>
      </c>
      <c r="D7" t="inlineStr">
        <is>
          <t>Saldo Inicial</t>
        </is>
      </c>
      <c r="E7" s="27" t="n">
        <v>46098</v>
      </c>
      <c r="F7" s="27" t="n">
        <v>46098</v>
      </c>
      <c r="G7" t="n">
        <v>-212991</v>
      </c>
    </row>
    <row r="8">
      <c r="A8" t="n">
        <v>51055</v>
      </c>
      <c r="B8" t="n">
        <v>176</v>
      </c>
      <c r="C8" t="inlineStr">
        <is>
          <t>The Cavern</t>
        </is>
      </c>
      <c r="D8" t="inlineStr">
        <is>
          <t>Saque</t>
        </is>
      </c>
      <c r="E8" s="27" t="n">
        <v>46098</v>
      </c>
      <c r="F8" s="27" t="n">
        <v>46098</v>
      </c>
      <c r="G8" t="n">
        <v>-491</v>
      </c>
    </row>
    <row r="9">
      <c r="A9" t="n">
        <v>51054</v>
      </c>
      <c r="B9" t="n">
        <v>176</v>
      </c>
      <c r="C9" t="inlineStr">
        <is>
          <t>The Cavern</t>
        </is>
      </c>
      <c r="D9" t="inlineStr">
        <is>
          <t>Saldo Inicial</t>
        </is>
      </c>
      <c r="E9" s="27" t="n">
        <v>46098</v>
      </c>
      <c r="F9" s="27" t="n">
        <v>46098</v>
      </c>
      <c r="G9" t="n">
        <v>-818555.2</v>
      </c>
    </row>
    <row r="10">
      <c r="A10" t="n">
        <v>51022</v>
      </c>
      <c r="B10" t="n">
        <v>176</v>
      </c>
      <c r="C10" t="inlineStr">
        <is>
          <t>The Cavern</t>
        </is>
      </c>
      <c r="D10" t="inlineStr">
        <is>
          <t>Saldo Inicial</t>
        </is>
      </c>
      <c r="E10" s="27" t="n">
        <v>46097</v>
      </c>
      <c r="F10" s="27" t="n">
        <v>46097</v>
      </c>
      <c r="G10" t="n">
        <v>-207672</v>
      </c>
    </row>
    <row r="11">
      <c r="A11" t="n">
        <v>51020</v>
      </c>
      <c r="B11" t="n">
        <v>176</v>
      </c>
      <c r="C11" t="inlineStr">
        <is>
          <t>The Cavern</t>
        </is>
      </c>
      <c r="D11" t="inlineStr">
        <is>
          <t>Saldo Inicial</t>
        </is>
      </c>
      <c r="E11" s="27" t="n">
        <v>46097</v>
      </c>
      <c r="F11" s="27" t="n">
        <v>46097</v>
      </c>
      <c r="G11" t="n">
        <v>-761878.2</v>
      </c>
    </row>
    <row r="12">
      <c r="A12" t="n">
        <v>51021</v>
      </c>
      <c r="B12" t="n">
        <v>176</v>
      </c>
      <c r="C12" t="inlineStr">
        <is>
          <t>The Cavern</t>
        </is>
      </c>
      <c r="D12" t="inlineStr">
        <is>
          <t>Saque</t>
        </is>
      </c>
      <c r="E12" s="27" t="n">
        <v>46097</v>
      </c>
      <c r="F12" s="27" t="n">
        <v>46097</v>
      </c>
      <c r="G12" t="n">
        <v>-56677</v>
      </c>
    </row>
    <row r="13">
      <c r="A13" t="n">
        <v>51023</v>
      </c>
      <c r="B13" t="n">
        <v>176</v>
      </c>
      <c r="C13" t="inlineStr">
        <is>
          <t>The Cavern</t>
        </is>
      </c>
      <c r="D13" t="inlineStr">
        <is>
          <t>Saque</t>
        </is>
      </c>
      <c r="E13" s="27" t="n">
        <v>46097</v>
      </c>
      <c r="F13" s="27" t="n">
        <v>46097</v>
      </c>
      <c r="G13" t="n">
        <v>-5319</v>
      </c>
    </row>
    <row r="14">
      <c r="A14" t="n">
        <v>50988</v>
      </c>
      <c r="B14" t="n">
        <v>176</v>
      </c>
      <c r="C14" t="inlineStr">
        <is>
          <t>The Cavern</t>
        </is>
      </c>
      <c r="D14" t="inlineStr">
        <is>
          <t>Saldo Inicial</t>
        </is>
      </c>
      <c r="E14" s="27" t="n">
        <v>46096</v>
      </c>
      <c r="F14" s="27" t="n">
        <v>46096</v>
      </c>
      <c r="G14" t="n">
        <v>-207672</v>
      </c>
    </row>
    <row r="15">
      <c r="A15" t="n">
        <v>50987</v>
      </c>
      <c r="B15" t="n">
        <v>176</v>
      </c>
      <c r="C15" t="inlineStr">
        <is>
          <t>The Cavern</t>
        </is>
      </c>
      <c r="D15" t="inlineStr">
        <is>
          <t>Saldo Inicial</t>
        </is>
      </c>
      <c r="E15" s="27" t="n">
        <v>46096</v>
      </c>
      <c r="F15" s="27" t="n">
        <v>46096</v>
      </c>
      <c r="G15" t="n">
        <v>-761878.2</v>
      </c>
    </row>
    <row r="16">
      <c r="A16" t="n">
        <v>50966</v>
      </c>
      <c r="B16" t="n">
        <v>176</v>
      </c>
      <c r="C16" t="inlineStr">
        <is>
          <t>The Cavern</t>
        </is>
      </c>
      <c r="D16" t="inlineStr">
        <is>
          <t>Saldo Inicial</t>
        </is>
      </c>
      <c r="E16" s="27" t="n">
        <v>46095</v>
      </c>
      <c r="F16" s="27" t="n">
        <v>46095</v>
      </c>
      <c r="G16" t="n">
        <v>-207672</v>
      </c>
    </row>
    <row r="17">
      <c r="A17" t="n">
        <v>50965</v>
      </c>
      <c r="B17" t="n">
        <v>176</v>
      </c>
      <c r="C17" t="inlineStr">
        <is>
          <t>The Cavern</t>
        </is>
      </c>
      <c r="D17" t="inlineStr">
        <is>
          <t>Saldo Inicial</t>
        </is>
      </c>
      <c r="E17" s="27" t="n">
        <v>46095</v>
      </c>
      <c r="F17" s="27" t="n">
        <v>46095</v>
      </c>
      <c r="G17" t="n">
        <v>-761878.2</v>
      </c>
    </row>
    <row r="18">
      <c r="A18" t="n">
        <v>50944</v>
      </c>
      <c r="B18" t="n">
        <v>176</v>
      </c>
      <c r="C18" t="inlineStr">
        <is>
          <t>The Cavern</t>
        </is>
      </c>
      <c r="D18" t="inlineStr">
        <is>
          <t>Saque</t>
        </is>
      </c>
      <c r="E18" s="27" t="n">
        <v>46094</v>
      </c>
      <c r="F18" s="27" t="n">
        <v>46094</v>
      </c>
      <c r="G18" t="n">
        <v>-6853</v>
      </c>
    </row>
    <row r="19">
      <c r="A19" t="n">
        <v>50943</v>
      </c>
      <c r="B19" t="n">
        <v>176</v>
      </c>
      <c r="C19" t="inlineStr">
        <is>
          <t>The Cavern</t>
        </is>
      </c>
      <c r="D19" t="inlineStr">
        <is>
          <t>Saldo Inicial</t>
        </is>
      </c>
      <c r="E19" s="27" t="n">
        <v>46094</v>
      </c>
      <c r="F19" s="27" t="n">
        <v>46094</v>
      </c>
      <c r="G19" t="n">
        <v>-200819</v>
      </c>
    </row>
    <row r="20">
      <c r="A20" t="n">
        <v>50942</v>
      </c>
      <c r="B20" t="n">
        <v>176</v>
      </c>
      <c r="C20" t="inlineStr">
        <is>
          <t>The Cavern</t>
        </is>
      </c>
      <c r="D20" t="inlineStr">
        <is>
          <t>Saque</t>
        </is>
      </c>
      <c r="E20" s="27" t="n">
        <v>46094</v>
      </c>
      <c r="F20" s="27" t="n">
        <v>46094</v>
      </c>
      <c r="G20" t="n">
        <v>-2589</v>
      </c>
    </row>
    <row r="21">
      <c r="A21" t="n">
        <v>50941</v>
      </c>
      <c r="B21" t="n">
        <v>176</v>
      </c>
      <c r="C21" t="inlineStr">
        <is>
          <t>The Cavern</t>
        </is>
      </c>
      <c r="D21" t="inlineStr">
        <is>
          <t>Saldo Inicial</t>
        </is>
      </c>
      <c r="E21" s="27" t="n">
        <v>46094</v>
      </c>
      <c r="F21" s="27" t="n">
        <v>46094</v>
      </c>
      <c r="G21" t="n">
        <v>-759289.2</v>
      </c>
    </row>
    <row r="22">
      <c r="A22" t="n">
        <v>50908</v>
      </c>
      <c r="B22" t="n">
        <v>176</v>
      </c>
      <c r="C22" t="inlineStr">
        <is>
          <t>The Cavern</t>
        </is>
      </c>
      <c r="D22" t="inlineStr">
        <is>
          <t>Saldo Inicial</t>
        </is>
      </c>
      <c r="E22" s="27" t="n">
        <v>46093</v>
      </c>
      <c r="F22" s="27" t="n">
        <v>46093</v>
      </c>
      <c r="G22" t="n">
        <v>-194472</v>
      </c>
    </row>
    <row r="23">
      <c r="A23" t="n">
        <v>50909</v>
      </c>
      <c r="B23" t="n">
        <v>176</v>
      </c>
      <c r="C23" t="inlineStr">
        <is>
          <t>The Cavern</t>
        </is>
      </c>
      <c r="D23" t="inlineStr">
        <is>
          <t>Saque</t>
        </is>
      </c>
      <c r="E23" s="27" t="n">
        <v>46093</v>
      </c>
      <c r="F23" s="27" t="n">
        <v>46093</v>
      </c>
      <c r="G23" t="n">
        <v>-6347</v>
      </c>
    </row>
    <row r="24">
      <c r="A24" t="n">
        <v>50907</v>
      </c>
      <c r="B24" t="n">
        <v>176</v>
      </c>
      <c r="C24" t="inlineStr">
        <is>
          <t>The Cavern</t>
        </is>
      </c>
      <c r="D24" t="inlineStr">
        <is>
          <t>Saque</t>
        </is>
      </c>
      <c r="E24" s="27" t="n">
        <v>46093</v>
      </c>
      <c r="F24" s="27" t="n">
        <v>46093</v>
      </c>
      <c r="G24" t="n">
        <v>-2115</v>
      </c>
    </row>
    <row r="25">
      <c r="A25" t="n">
        <v>50906</v>
      </c>
      <c r="B25" t="n">
        <v>176</v>
      </c>
      <c r="C25" t="inlineStr">
        <is>
          <t>The Cavern</t>
        </is>
      </c>
      <c r="D25" t="inlineStr">
        <is>
          <t>Saldo Inicial</t>
        </is>
      </c>
      <c r="E25" s="27" t="n">
        <v>46093</v>
      </c>
      <c r="F25" s="27" t="n">
        <v>46093</v>
      </c>
      <c r="G25" t="n">
        <v>-757174.2</v>
      </c>
    </row>
    <row r="26">
      <c r="A26" t="n">
        <v>50875</v>
      </c>
      <c r="B26" t="n">
        <v>176</v>
      </c>
      <c r="C26" t="inlineStr">
        <is>
          <t>The Cavern</t>
        </is>
      </c>
      <c r="D26" t="inlineStr">
        <is>
          <t>Saque</t>
        </is>
      </c>
      <c r="E26" s="27" t="n">
        <v>46092</v>
      </c>
      <c r="F26" s="27" t="n">
        <v>46092</v>
      </c>
      <c r="G26" t="n">
        <v>-4236</v>
      </c>
    </row>
    <row r="27">
      <c r="A27" t="n">
        <v>50874</v>
      </c>
      <c r="B27" t="n">
        <v>176</v>
      </c>
      <c r="C27" t="inlineStr">
        <is>
          <t>The Cavern</t>
        </is>
      </c>
      <c r="D27" t="inlineStr">
        <is>
          <t>Saldo Inicial</t>
        </is>
      </c>
      <c r="E27" s="27" t="n">
        <v>46092</v>
      </c>
      <c r="F27" s="27" t="n">
        <v>46092</v>
      </c>
      <c r="G27" t="n">
        <v>-190236</v>
      </c>
    </row>
    <row r="28">
      <c r="A28" t="n">
        <v>50873</v>
      </c>
      <c r="B28" t="n">
        <v>176</v>
      </c>
      <c r="C28" t="inlineStr">
        <is>
          <t>The Cavern</t>
        </is>
      </c>
      <c r="D28" t="inlineStr">
        <is>
          <t>Saque</t>
        </is>
      </c>
      <c r="E28" s="27" t="n">
        <v>46092</v>
      </c>
      <c r="F28" s="27" t="n">
        <v>46092</v>
      </c>
      <c r="G28" t="n">
        <v>-559</v>
      </c>
    </row>
    <row r="29">
      <c r="A29" t="n">
        <v>50872</v>
      </c>
      <c r="B29" t="n">
        <v>176</v>
      </c>
      <c r="C29" t="inlineStr">
        <is>
          <t>The Cavern</t>
        </is>
      </c>
      <c r="D29" t="inlineStr">
        <is>
          <t>Saldo Inicial</t>
        </is>
      </c>
      <c r="E29" s="27" t="n">
        <v>46092</v>
      </c>
      <c r="F29" s="27" t="n">
        <v>46092</v>
      </c>
      <c r="G29" t="n">
        <v>-756615.2</v>
      </c>
    </row>
    <row r="30">
      <c r="A30" t="n">
        <v>50839</v>
      </c>
      <c r="B30" t="n">
        <v>176</v>
      </c>
      <c r="C30" t="inlineStr">
        <is>
          <t>The Cavern</t>
        </is>
      </c>
      <c r="D30" t="inlineStr">
        <is>
          <t>Saque</t>
        </is>
      </c>
      <c r="E30" s="27" t="n">
        <v>46091</v>
      </c>
      <c r="F30" s="27" t="n">
        <v>46091</v>
      </c>
      <c r="G30" t="n">
        <v>-5178</v>
      </c>
    </row>
    <row r="31">
      <c r="A31" t="n">
        <v>50838</v>
      </c>
      <c r="B31" t="n">
        <v>176</v>
      </c>
      <c r="C31" t="inlineStr">
        <is>
          <t>The Cavern</t>
        </is>
      </c>
      <c r="D31" t="inlineStr">
        <is>
          <t>Saldo Inicial</t>
        </is>
      </c>
      <c r="E31" s="27" t="n">
        <v>46091</v>
      </c>
      <c r="F31" s="27" t="n">
        <v>46091</v>
      </c>
      <c r="G31" t="n">
        <v>-185058</v>
      </c>
    </row>
    <row r="32">
      <c r="A32" t="n">
        <v>50837</v>
      </c>
      <c r="B32" t="n">
        <v>176</v>
      </c>
      <c r="C32" t="inlineStr">
        <is>
          <t>The Cavern</t>
        </is>
      </c>
      <c r="D32" t="inlineStr">
        <is>
          <t>Saque</t>
        </is>
      </c>
      <c r="E32" s="27" t="n">
        <v>46091</v>
      </c>
      <c r="F32" s="27" t="n">
        <v>46091</v>
      </c>
      <c r="G32" t="n">
        <v>-401</v>
      </c>
    </row>
    <row r="33">
      <c r="A33" t="n">
        <v>50836</v>
      </c>
      <c r="B33" t="n">
        <v>176</v>
      </c>
      <c r="C33" t="inlineStr">
        <is>
          <t>The Cavern</t>
        </is>
      </c>
      <c r="D33" t="inlineStr">
        <is>
          <t>Saldo Inicial</t>
        </is>
      </c>
      <c r="E33" s="27" t="n">
        <v>46091</v>
      </c>
      <c r="F33" s="27" t="n">
        <v>46091</v>
      </c>
      <c r="G33" t="n">
        <v>-756214.2</v>
      </c>
    </row>
    <row r="34">
      <c r="A34" t="n">
        <v>50804</v>
      </c>
      <c r="B34" t="n">
        <v>176</v>
      </c>
      <c r="C34" t="inlineStr">
        <is>
          <t>The Cavern</t>
        </is>
      </c>
      <c r="D34" t="inlineStr">
        <is>
          <t>Saque</t>
        </is>
      </c>
      <c r="E34" s="27" t="n">
        <v>46090</v>
      </c>
      <c r="F34" s="27" t="n">
        <v>46090</v>
      </c>
      <c r="G34" t="n">
        <v>-8944</v>
      </c>
    </row>
    <row r="35">
      <c r="A35" t="n">
        <v>50801</v>
      </c>
      <c r="B35" t="n">
        <v>176</v>
      </c>
      <c r="C35" t="inlineStr">
        <is>
          <t>The Cavern</t>
        </is>
      </c>
      <c r="D35" t="inlineStr">
        <is>
          <t>Saldo Inicial</t>
        </is>
      </c>
      <c r="E35" s="27" t="n">
        <v>46090</v>
      </c>
      <c r="F35" s="27" t="n">
        <v>46090</v>
      </c>
      <c r="G35" t="n">
        <v>-683838.2</v>
      </c>
    </row>
    <row r="36">
      <c r="A36" t="n">
        <v>50802</v>
      </c>
      <c r="B36" t="n">
        <v>176</v>
      </c>
      <c r="C36" t="inlineStr">
        <is>
          <t>The Cavern</t>
        </is>
      </c>
      <c r="D36" t="inlineStr">
        <is>
          <t>Saque</t>
        </is>
      </c>
      <c r="E36" s="27" t="n">
        <v>46090</v>
      </c>
      <c r="F36" s="27" t="n">
        <v>46090</v>
      </c>
      <c r="G36" t="n">
        <v>-72376</v>
      </c>
    </row>
    <row r="37">
      <c r="A37" t="n">
        <v>50803</v>
      </c>
      <c r="B37" t="n">
        <v>176</v>
      </c>
      <c r="C37" t="inlineStr">
        <is>
          <t>The Cavern</t>
        </is>
      </c>
      <c r="D37" t="inlineStr">
        <is>
          <t>Saldo Inicial</t>
        </is>
      </c>
      <c r="E37" s="27" t="n">
        <v>46090</v>
      </c>
      <c r="F37" s="27" t="n">
        <v>46090</v>
      </c>
      <c r="G37" t="n">
        <v>-176114</v>
      </c>
    </row>
    <row r="38">
      <c r="A38" t="n">
        <v>50766</v>
      </c>
      <c r="B38" t="n">
        <v>176</v>
      </c>
      <c r="C38" t="inlineStr">
        <is>
          <t>The Cavern</t>
        </is>
      </c>
      <c r="D38" t="inlineStr">
        <is>
          <t>Saldo Inicial</t>
        </is>
      </c>
      <c r="E38" s="27" t="n">
        <v>46089</v>
      </c>
      <c r="F38" s="27" t="n">
        <v>46089</v>
      </c>
      <c r="G38" t="n">
        <v>-176114</v>
      </c>
    </row>
    <row r="39">
      <c r="A39" t="n">
        <v>50765</v>
      </c>
      <c r="B39" t="n">
        <v>176</v>
      </c>
      <c r="C39" t="inlineStr">
        <is>
          <t>The Cavern</t>
        </is>
      </c>
      <c r="D39" t="inlineStr">
        <is>
          <t>Saldo Inicial</t>
        </is>
      </c>
      <c r="E39" s="27" t="n">
        <v>46089</v>
      </c>
      <c r="F39" s="27" t="n">
        <v>46089</v>
      </c>
      <c r="G39" t="n">
        <v>-683838.2</v>
      </c>
    </row>
    <row r="40">
      <c r="A40" t="n">
        <v>50744</v>
      </c>
      <c r="B40" t="n">
        <v>176</v>
      </c>
      <c r="C40" t="inlineStr">
        <is>
          <t>The Cavern</t>
        </is>
      </c>
      <c r="D40" t="inlineStr">
        <is>
          <t>Saldo Inicial</t>
        </is>
      </c>
      <c r="E40" s="27" t="n">
        <v>46088</v>
      </c>
      <c r="F40" s="27" t="n">
        <v>46088</v>
      </c>
      <c r="G40" t="n">
        <v>-176114</v>
      </c>
    </row>
    <row r="41">
      <c r="A41" t="n">
        <v>50743</v>
      </c>
      <c r="B41" t="n">
        <v>176</v>
      </c>
      <c r="C41" t="inlineStr">
        <is>
          <t>The Cavern</t>
        </is>
      </c>
      <c r="D41" t="inlineStr">
        <is>
          <t>Saldo Inicial</t>
        </is>
      </c>
      <c r="E41" s="27" t="n">
        <v>46088</v>
      </c>
      <c r="F41" s="27" t="n">
        <v>46088</v>
      </c>
      <c r="G41" t="n">
        <v>-683838.2</v>
      </c>
    </row>
    <row r="42">
      <c r="A42" t="n">
        <v>50724</v>
      </c>
      <c r="B42" t="n">
        <v>176</v>
      </c>
      <c r="C42" t="inlineStr">
        <is>
          <t>The Cavern</t>
        </is>
      </c>
      <c r="D42" t="inlineStr">
        <is>
          <t>Saldo Inicial</t>
        </is>
      </c>
      <c r="E42" s="27" t="n">
        <v>46087</v>
      </c>
      <c r="F42" s="27" t="n">
        <v>46087</v>
      </c>
      <c r="G42" t="n">
        <v>-651082.2</v>
      </c>
    </row>
    <row r="43">
      <c r="A43" t="n">
        <v>50725</v>
      </c>
      <c r="B43" t="n">
        <v>176</v>
      </c>
      <c r="C43" t="inlineStr">
        <is>
          <t>The Cavern</t>
        </is>
      </c>
      <c r="D43" t="inlineStr">
        <is>
          <t>Saque</t>
        </is>
      </c>
      <c r="E43" s="27" t="n">
        <v>46087</v>
      </c>
      <c r="F43" s="27" t="n">
        <v>46087</v>
      </c>
      <c r="G43" t="n">
        <v>-32756</v>
      </c>
    </row>
    <row r="44">
      <c r="A44" t="n">
        <v>50727</v>
      </c>
      <c r="B44" t="n">
        <v>176</v>
      </c>
      <c r="C44" t="inlineStr">
        <is>
          <t>The Cavern</t>
        </is>
      </c>
      <c r="D44" t="inlineStr">
        <is>
          <t>Saque</t>
        </is>
      </c>
      <c r="E44" s="27" t="n">
        <v>46087</v>
      </c>
      <c r="F44" s="27" t="n">
        <v>46087</v>
      </c>
      <c r="G44" t="n">
        <v>-5809</v>
      </c>
    </row>
    <row r="45">
      <c r="A45" t="n">
        <v>50726</v>
      </c>
      <c r="B45" t="n">
        <v>176</v>
      </c>
      <c r="C45" t="inlineStr">
        <is>
          <t>The Cavern</t>
        </is>
      </c>
      <c r="D45" t="inlineStr">
        <is>
          <t>Saldo Inicial</t>
        </is>
      </c>
      <c r="E45" s="27" t="n">
        <v>46087</v>
      </c>
      <c r="F45" s="27" t="n">
        <v>46087</v>
      </c>
      <c r="G45" t="n">
        <v>-170305</v>
      </c>
    </row>
    <row r="46">
      <c r="A46" t="n">
        <v>50694</v>
      </c>
      <c r="B46" t="n">
        <v>176</v>
      </c>
      <c r="C46" t="inlineStr">
        <is>
          <t>The Cavern</t>
        </is>
      </c>
      <c r="D46" t="inlineStr">
        <is>
          <t>Saque</t>
        </is>
      </c>
      <c r="E46" s="27" t="n">
        <v>46086</v>
      </c>
      <c r="F46" s="27" t="n">
        <v>46086</v>
      </c>
      <c r="G46" t="n">
        <v>-6427</v>
      </c>
    </row>
    <row r="47">
      <c r="A47" t="n">
        <v>50661</v>
      </c>
      <c r="B47" t="n">
        <v>176</v>
      </c>
      <c r="C47" t="inlineStr">
        <is>
          <t>The Cavern</t>
        </is>
      </c>
      <c r="D47" t="inlineStr">
        <is>
          <t>Saque</t>
        </is>
      </c>
      <c r="E47" s="27" t="n">
        <v>46086</v>
      </c>
      <c r="F47" s="27" t="n">
        <v>46086</v>
      </c>
      <c r="G47" t="n">
        <v>-6427</v>
      </c>
    </row>
    <row r="48">
      <c r="A48" t="n">
        <v>50693</v>
      </c>
      <c r="B48" t="n">
        <v>176</v>
      </c>
      <c r="C48" t="inlineStr">
        <is>
          <t>The Cavern</t>
        </is>
      </c>
      <c r="D48" t="inlineStr">
        <is>
          <t>Saldo Inicial</t>
        </is>
      </c>
      <c r="E48" s="27" t="n">
        <v>46086</v>
      </c>
      <c r="F48" s="27" t="n">
        <v>46086</v>
      </c>
      <c r="G48" t="n">
        <v>-163878</v>
      </c>
    </row>
    <row r="49">
      <c r="A49" t="n">
        <v>50692</v>
      </c>
      <c r="B49" t="n">
        <v>176</v>
      </c>
      <c r="C49" t="inlineStr">
        <is>
          <t>The Cavern</t>
        </is>
      </c>
      <c r="D49" t="inlineStr">
        <is>
          <t>Saque</t>
        </is>
      </c>
      <c r="E49" s="27" t="n">
        <v>46086</v>
      </c>
      <c r="F49" s="27" t="n">
        <v>46086</v>
      </c>
      <c r="G49" t="n">
        <v>-668</v>
      </c>
    </row>
    <row r="50">
      <c r="A50" t="n">
        <v>50691</v>
      </c>
      <c r="B50" t="n">
        <v>176</v>
      </c>
      <c r="C50" t="inlineStr">
        <is>
          <t>The Cavern</t>
        </is>
      </c>
      <c r="D50" t="inlineStr">
        <is>
          <t>Saldo Inicial</t>
        </is>
      </c>
      <c r="E50" s="27" t="n">
        <v>46086</v>
      </c>
      <c r="F50" s="27" t="n">
        <v>46086</v>
      </c>
      <c r="G50" t="n">
        <v>-650414.2</v>
      </c>
    </row>
    <row r="51">
      <c r="A51" t="n">
        <v>50658</v>
      </c>
      <c r="B51" t="n">
        <v>176</v>
      </c>
      <c r="C51" t="inlineStr">
        <is>
          <t>The Cavern</t>
        </is>
      </c>
      <c r="D51" t="inlineStr">
        <is>
          <t>Saldo Inicial</t>
        </is>
      </c>
      <c r="E51" s="27" t="n">
        <v>46086</v>
      </c>
      <c r="F51" s="27" t="n">
        <v>46086</v>
      </c>
      <c r="G51" t="n">
        <v>-650414.2</v>
      </c>
    </row>
    <row r="52">
      <c r="A52" t="n">
        <v>50659</v>
      </c>
      <c r="B52" t="n">
        <v>176</v>
      </c>
      <c r="C52" t="inlineStr">
        <is>
          <t>The Cavern</t>
        </is>
      </c>
      <c r="D52" t="inlineStr">
        <is>
          <t>Saque</t>
        </is>
      </c>
      <c r="E52" s="27" t="n">
        <v>46086</v>
      </c>
      <c r="F52" s="27" t="n">
        <v>46086</v>
      </c>
      <c r="G52" t="n">
        <v>-668</v>
      </c>
    </row>
    <row r="53">
      <c r="A53" t="n">
        <v>50660</v>
      </c>
      <c r="B53" t="n">
        <v>176</v>
      </c>
      <c r="C53" t="inlineStr">
        <is>
          <t>The Cavern</t>
        </is>
      </c>
      <c r="D53" t="inlineStr">
        <is>
          <t>Saldo Inicial</t>
        </is>
      </c>
      <c r="E53" s="27" t="n">
        <v>46086</v>
      </c>
      <c r="F53" s="27" t="n">
        <v>46086</v>
      </c>
      <c r="G53" t="n">
        <v>-163878</v>
      </c>
    </row>
    <row r="54">
      <c r="A54" t="n">
        <v>50628</v>
      </c>
      <c r="B54" t="n">
        <v>176</v>
      </c>
      <c r="C54" t="inlineStr">
        <is>
          <t>The Cavern</t>
        </is>
      </c>
      <c r="D54" t="inlineStr">
        <is>
          <t>Saque</t>
        </is>
      </c>
      <c r="E54" s="27" t="n">
        <v>46085</v>
      </c>
      <c r="F54" s="27" t="n">
        <v>46085</v>
      </c>
      <c r="G54" t="n">
        <v>-5180</v>
      </c>
    </row>
    <row r="55">
      <c r="A55" t="n">
        <v>50627</v>
      </c>
      <c r="B55" t="n">
        <v>176</v>
      </c>
      <c r="C55" t="inlineStr">
        <is>
          <t>The Cavern</t>
        </is>
      </c>
      <c r="D55" t="inlineStr">
        <is>
          <t>Saldo Inicial</t>
        </is>
      </c>
      <c r="E55" s="27" t="n">
        <v>46085</v>
      </c>
      <c r="F55" s="27" t="n">
        <v>46085</v>
      </c>
      <c r="G55" t="n">
        <v>-158698</v>
      </c>
    </row>
    <row r="56">
      <c r="A56" t="n">
        <v>50626</v>
      </c>
      <c r="B56" t="n">
        <v>176</v>
      </c>
      <c r="C56" t="inlineStr">
        <is>
          <t>The Cavern</t>
        </is>
      </c>
      <c r="D56" t="inlineStr">
        <is>
          <t>Saque</t>
        </is>
      </c>
      <c r="E56" s="27" t="n">
        <v>46085</v>
      </c>
      <c r="F56" s="27" t="n">
        <v>46085</v>
      </c>
      <c r="G56" t="n">
        <v>-1726.46</v>
      </c>
    </row>
    <row r="57">
      <c r="A57" t="n">
        <v>50625</v>
      </c>
      <c r="B57" t="n">
        <v>176</v>
      </c>
      <c r="C57" t="inlineStr">
        <is>
          <t>The Cavern</t>
        </is>
      </c>
      <c r="D57" t="inlineStr">
        <is>
          <t>Saldo Inicial</t>
        </is>
      </c>
      <c r="E57" s="27" t="n">
        <v>46085</v>
      </c>
      <c r="F57" s="27" t="n">
        <v>46085</v>
      </c>
      <c r="G57" t="n">
        <v>-648687.74</v>
      </c>
    </row>
    <row r="58">
      <c r="A58" t="n">
        <v>50595</v>
      </c>
      <c r="B58" t="n">
        <v>176</v>
      </c>
      <c r="C58" t="inlineStr">
        <is>
          <t>The Cavern</t>
        </is>
      </c>
      <c r="D58" t="inlineStr">
        <is>
          <t>Saque</t>
        </is>
      </c>
      <c r="E58" s="27" t="n">
        <v>46084</v>
      </c>
      <c r="F58" s="27" t="n">
        <v>46084</v>
      </c>
      <c r="G58" t="n">
        <v>-4186</v>
      </c>
    </row>
    <row r="59">
      <c r="A59" t="n">
        <v>50592</v>
      </c>
      <c r="B59" t="n">
        <v>176</v>
      </c>
      <c r="C59" t="inlineStr">
        <is>
          <t>The Cavern</t>
        </is>
      </c>
      <c r="D59" t="inlineStr">
        <is>
          <t>Saldo Inicial</t>
        </is>
      </c>
      <c r="E59" s="27" t="n">
        <v>46084</v>
      </c>
      <c r="F59" s="27" t="n">
        <v>46084</v>
      </c>
      <c r="G59" t="n">
        <v>-648133.74</v>
      </c>
    </row>
    <row r="60">
      <c r="A60" t="n">
        <v>50593</v>
      </c>
      <c r="B60" t="n">
        <v>176</v>
      </c>
      <c r="C60" t="inlineStr">
        <is>
          <t>The Cavern</t>
        </is>
      </c>
      <c r="D60" t="inlineStr">
        <is>
          <t>Saque</t>
        </is>
      </c>
      <c r="E60" s="27" t="n">
        <v>46084</v>
      </c>
      <c r="F60" s="27" t="n">
        <v>46084</v>
      </c>
      <c r="G60" t="n">
        <v>-554</v>
      </c>
    </row>
    <row r="61">
      <c r="A61" t="n">
        <v>50594</v>
      </c>
      <c r="B61" t="n">
        <v>176</v>
      </c>
      <c r="C61" t="inlineStr">
        <is>
          <t>The Cavern</t>
        </is>
      </c>
      <c r="D61" t="inlineStr">
        <is>
          <t>Saldo Inicial</t>
        </is>
      </c>
      <c r="E61" s="27" t="n">
        <v>46084</v>
      </c>
      <c r="F61" s="27" t="n">
        <v>46084</v>
      </c>
      <c r="G61" t="n">
        <v>-154512</v>
      </c>
    </row>
    <row r="62">
      <c r="A62" t="n">
        <v>50561</v>
      </c>
      <c r="B62" t="n">
        <v>176</v>
      </c>
      <c r="C62" t="inlineStr">
        <is>
          <t>The Cavern</t>
        </is>
      </c>
      <c r="D62" t="inlineStr">
        <is>
          <t>Saldo Inicial</t>
        </is>
      </c>
      <c r="E62" s="27" t="n">
        <v>46083</v>
      </c>
      <c r="F62" s="27" t="n">
        <v>46083</v>
      </c>
      <c r="G62" t="n">
        <v>-647223.73</v>
      </c>
    </row>
    <row r="63">
      <c r="A63" t="n">
        <v>50562</v>
      </c>
      <c r="B63" t="n">
        <v>176</v>
      </c>
      <c r="C63" t="inlineStr">
        <is>
          <t>The Cavern</t>
        </is>
      </c>
      <c r="D63" t="inlineStr">
        <is>
          <t>Saque</t>
        </is>
      </c>
      <c r="E63" s="27" t="n">
        <v>46083</v>
      </c>
      <c r="F63" s="27" t="n">
        <v>46083</v>
      </c>
      <c r="G63" t="n">
        <v>-910.01</v>
      </c>
    </row>
    <row r="64">
      <c r="A64" t="n">
        <v>50563</v>
      </c>
      <c r="B64" t="n">
        <v>176</v>
      </c>
      <c r="C64" t="inlineStr">
        <is>
          <t>The Cavern</t>
        </is>
      </c>
      <c r="D64" t="inlineStr">
        <is>
          <t>Saldo Inicial</t>
        </is>
      </c>
      <c r="E64" s="27" t="n">
        <v>46083</v>
      </c>
      <c r="F64" s="27" t="n">
        <v>46083</v>
      </c>
      <c r="G64" t="n">
        <v>-145381</v>
      </c>
    </row>
    <row r="65">
      <c r="A65" t="n">
        <v>50564</v>
      </c>
      <c r="B65" t="n">
        <v>176</v>
      </c>
      <c r="C65" t="inlineStr">
        <is>
          <t>The Cavern</t>
        </is>
      </c>
      <c r="D65" t="inlineStr">
        <is>
          <t>Saque</t>
        </is>
      </c>
      <c r="E65" s="27" t="n">
        <v>46083</v>
      </c>
      <c r="F65" s="27" t="n">
        <v>46083</v>
      </c>
      <c r="G65" t="n">
        <v>-9131</v>
      </c>
    </row>
    <row r="66">
      <c r="A66" t="n">
        <v>50528</v>
      </c>
      <c r="B66" t="n">
        <v>176</v>
      </c>
      <c r="C66" t="inlineStr">
        <is>
          <t>The Cavern</t>
        </is>
      </c>
      <c r="D66" t="inlineStr">
        <is>
          <t>Saldo Inicial</t>
        </is>
      </c>
      <c r="E66" s="27" t="n">
        <v>46082</v>
      </c>
      <c r="F66" s="27" t="n">
        <v>46082</v>
      </c>
      <c r="G66" t="n">
        <v>-145381</v>
      </c>
    </row>
    <row r="67">
      <c r="A67" t="n">
        <v>50526</v>
      </c>
      <c r="B67" t="n">
        <v>176</v>
      </c>
      <c r="C67" t="inlineStr">
        <is>
          <t>The Cavern</t>
        </is>
      </c>
      <c r="D67" t="inlineStr">
        <is>
          <t>Saldo Inicial</t>
        </is>
      </c>
      <c r="E67" s="27" t="n">
        <v>46082</v>
      </c>
      <c r="F67" s="27" t="n">
        <v>46082</v>
      </c>
      <c r="G67" t="n">
        <v>-624515.11</v>
      </c>
    </row>
    <row r="68">
      <c r="A68" t="n">
        <v>50527</v>
      </c>
      <c r="B68" t="n">
        <v>176</v>
      </c>
      <c r="C68" t="inlineStr">
        <is>
          <t>The Cavern</t>
        </is>
      </c>
      <c r="D68" t="inlineStr">
        <is>
          <t>Saque</t>
        </is>
      </c>
      <c r="E68" s="27" t="n">
        <v>46082</v>
      </c>
      <c r="F68" s="27" t="n">
        <v>46082</v>
      </c>
      <c r="G68" t="n">
        <v>-22708.62</v>
      </c>
    </row>
    <row r="69">
      <c r="A69" t="n">
        <v>50504</v>
      </c>
      <c r="B69" t="n">
        <v>176</v>
      </c>
      <c r="C69" t="inlineStr">
        <is>
          <t>The Cavern</t>
        </is>
      </c>
      <c r="D69" t="inlineStr">
        <is>
          <t>Saque</t>
        </is>
      </c>
      <c r="E69" s="27" t="n">
        <v>46081</v>
      </c>
      <c r="F69" s="27" t="n">
        <v>46081</v>
      </c>
      <c r="G69" t="n">
        <v>-3769.3</v>
      </c>
    </row>
    <row r="70">
      <c r="A70" t="n">
        <v>50505</v>
      </c>
      <c r="B70" t="n">
        <v>176</v>
      </c>
      <c r="C70" t="inlineStr">
        <is>
          <t>The Cavern</t>
        </is>
      </c>
      <c r="D70" t="inlineStr">
        <is>
          <t>Saldo Inicial</t>
        </is>
      </c>
      <c r="E70" s="27" t="n">
        <v>46081</v>
      </c>
      <c r="F70" s="27" t="n">
        <v>46081</v>
      </c>
      <c r="G70" t="n">
        <v>-145381</v>
      </c>
    </row>
    <row r="71">
      <c r="A71" t="n">
        <v>50503</v>
      </c>
      <c r="B71" t="n">
        <v>176</v>
      </c>
      <c r="C71" t="inlineStr">
        <is>
          <t>The Cavern</t>
        </is>
      </c>
      <c r="D71" t="inlineStr">
        <is>
          <t>Saldo Inicial</t>
        </is>
      </c>
      <c r="E71" s="27" t="n">
        <v>46081</v>
      </c>
      <c r="F71" s="27" t="n">
        <v>46081</v>
      </c>
      <c r="G71" t="n">
        <v>-620745.8100000001</v>
      </c>
    </row>
    <row r="72">
      <c r="A72" t="n">
        <v>50482</v>
      </c>
      <c r="B72" t="n">
        <v>176</v>
      </c>
      <c r="C72" t="inlineStr">
        <is>
          <t>The Cavern</t>
        </is>
      </c>
      <c r="D72" t="inlineStr">
        <is>
          <t>Saque</t>
        </is>
      </c>
      <c r="E72" s="27" t="n">
        <v>46080</v>
      </c>
      <c r="F72" s="27" t="n">
        <v>46080</v>
      </c>
      <c r="G72" t="n">
        <v>-5144</v>
      </c>
    </row>
    <row r="73">
      <c r="A73" t="n">
        <v>50479</v>
      </c>
      <c r="B73" t="n">
        <v>176</v>
      </c>
      <c r="C73" t="inlineStr">
        <is>
          <t>The Cavern</t>
        </is>
      </c>
      <c r="D73" t="inlineStr">
        <is>
          <t>Saldo Inicial</t>
        </is>
      </c>
      <c r="E73" s="27" t="n">
        <v>46080</v>
      </c>
      <c r="F73" s="27" t="n">
        <v>46080</v>
      </c>
      <c r="G73" t="n">
        <v>-617839.8100000001</v>
      </c>
    </row>
    <row r="74">
      <c r="A74" t="n">
        <v>50481</v>
      </c>
      <c r="B74" t="n">
        <v>176</v>
      </c>
      <c r="C74" t="inlineStr">
        <is>
          <t>The Cavern</t>
        </is>
      </c>
      <c r="D74" t="inlineStr">
        <is>
          <t>Saldo Inicial</t>
        </is>
      </c>
      <c r="E74" s="27" t="n">
        <v>46080</v>
      </c>
      <c r="F74" s="27" t="n">
        <v>46080</v>
      </c>
      <c r="G74" t="n">
        <v>-140237</v>
      </c>
    </row>
    <row r="75">
      <c r="A75" t="n">
        <v>50480</v>
      </c>
      <c r="B75" t="n">
        <v>176</v>
      </c>
      <c r="C75" t="inlineStr">
        <is>
          <t>The Cavern</t>
        </is>
      </c>
      <c r="D75" t="inlineStr">
        <is>
          <t>Saque</t>
        </is>
      </c>
      <c r="E75" s="27" t="n">
        <v>46080</v>
      </c>
      <c r="F75" s="27" t="n">
        <v>46080</v>
      </c>
      <c r="G75" t="n">
        <v>-2906</v>
      </c>
    </row>
    <row r="76">
      <c r="A76" t="n">
        <v>50447</v>
      </c>
      <c r="B76" t="n">
        <v>176</v>
      </c>
      <c r="C76" t="inlineStr">
        <is>
          <t>The Cavern</t>
        </is>
      </c>
      <c r="D76" t="inlineStr">
        <is>
          <t>Saque</t>
        </is>
      </c>
      <c r="E76" s="27" t="n">
        <v>46079</v>
      </c>
      <c r="F76" s="27" t="n">
        <v>46079</v>
      </c>
      <c r="G76" t="n">
        <v>-2335.41</v>
      </c>
    </row>
    <row r="77">
      <c r="A77" t="n">
        <v>50446</v>
      </c>
      <c r="B77" t="n">
        <v>176</v>
      </c>
      <c r="C77" t="inlineStr">
        <is>
          <t>The Cavern</t>
        </is>
      </c>
      <c r="D77" t="inlineStr">
        <is>
          <t>Saldo Inicial</t>
        </is>
      </c>
      <c r="E77" s="27" t="n">
        <v>46079</v>
      </c>
      <c r="F77" s="27" t="n">
        <v>46079</v>
      </c>
      <c r="G77" t="n">
        <v>-615504.4</v>
      </c>
    </row>
    <row r="78">
      <c r="A78" t="n">
        <v>50449</v>
      </c>
      <c r="B78" t="n">
        <v>176</v>
      </c>
      <c r="C78" t="inlineStr">
        <is>
          <t>The Cavern</t>
        </is>
      </c>
      <c r="D78" t="inlineStr">
        <is>
          <t>Saque</t>
        </is>
      </c>
      <c r="E78" s="27" t="n">
        <v>46079</v>
      </c>
      <c r="F78" s="27" t="n">
        <v>46079</v>
      </c>
      <c r="G78" t="n">
        <v>-2862</v>
      </c>
    </row>
    <row r="79">
      <c r="A79" t="n">
        <v>50448</v>
      </c>
      <c r="B79" t="n">
        <v>176</v>
      </c>
      <c r="C79" t="inlineStr">
        <is>
          <t>The Cavern</t>
        </is>
      </c>
      <c r="D79" t="inlineStr">
        <is>
          <t>Saldo Inicial</t>
        </is>
      </c>
      <c r="E79" s="27" t="n">
        <v>46079</v>
      </c>
      <c r="F79" s="27" t="n">
        <v>46079</v>
      </c>
      <c r="G79" t="n">
        <v>-137375</v>
      </c>
    </row>
    <row r="80">
      <c r="A80" t="n">
        <v>50414</v>
      </c>
      <c r="B80" t="n">
        <v>176</v>
      </c>
      <c r="C80" t="inlineStr">
        <is>
          <t>The Cavern</t>
        </is>
      </c>
      <c r="D80" t="inlineStr">
        <is>
          <t>Saque</t>
        </is>
      </c>
      <c r="E80" s="27" t="n">
        <v>46078</v>
      </c>
      <c r="F80" s="27" t="n">
        <v>46078</v>
      </c>
      <c r="G80" t="n">
        <v>-764</v>
      </c>
    </row>
    <row r="81">
      <c r="A81" t="n">
        <v>50413</v>
      </c>
      <c r="B81" t="n">
        <v>176</v>
      </c>
      <c r="C81" t="inlineStr">
        <is>
          <t>The Cavern</t>
        </is>
      </c>
      <c r="D81" t="inlineStr">
        <is>
          <t>Saldo Inicial</t>
        </is>
      </c>
      <c r="E81" s="27" t="n">
        <v>46078</v>
      </c>
      <c r="F81" s="27" t="n">
        <v>46078</v>
      </c>
      <c r="G81" t="n">
        <v>-614740.4</v>
      </c>
    </row>
    <row r="82">
      <c r="A82" t="n">
        <v>50415</v>
      </c>
      <c r="B82" t="n">
        <v>176</v>
      </c>
      <c r="C82" t="inlineStr">
        <is>
          <t>The Cavern</t>
        </is>
      </c>
      <c r="D82" t="inlineStr">
        <is>
          <t>Saldo Inicial</t>
        </is>
      </c>
      <c r="E82" s="27" t="n">
        <v>46078</v>
      </c>
      <c r="F82" s="27" t="n">
        <v>46078</v>
      </c>
      <c r="G82" t="n">
        <v>-132017</v>
      </c>
    </row>
    <row r="83">
      <c r="A83" t="n">
        <v>50416</v>
      </c>
      <c r="B83" t="n">
        <v>176</v>
      </c>
      <c r="C83" t="inlineStr">
        <is>
          <t>The Cavern</t>
        </is>
      </c>
      <c r="D83" t="inlineStr">
        <is>
          <t>Saque</t>
        </is>
      </c>
      <c r="E83" s="27" t="n">
        <v>46078</v>
      </c>
      <c r="F83" s="27" t="n">
        <v>46078</v>
      </c>
      <c r="G83" t="n">
        <v>-5358</v>
      </c>
    </row>
    <row r="84">
      <c r="A84" t="n">
        <v>50383</v>
      </c>
      <c r="B84" t="n">
        <v>176</v>
      </c>
      <c r="C84" t="inlineStr">
        <is>
          <t>The Cavern</t>
        </is>
      </c>
      <c r="D84" t="inlineStr">
        <is>
          <t>Saque</t>
        </is>
      </c>
      <c r="E84" s="27" t="n">
        <v>46077</v>
      </c>
      <c r="F84" s="27" t="n">
        <v>46077</v>
      </c>
      <c r="G84" t="n">
        <v>-3840</v>
      </c>
    </row>
    <row r="85">
      <c r="A85" t="n">
        <v>50382</v>
      </c>
      <c r="B85" t="n">
        <v>176</v>
      </c>
      <c r="C85" t="inlineStr">
        <is>
          <t>The Cavern</t>
        </is>
      </c>
      <c r="D85" t="inlineStr">
        <is>
          <t>Saldo Inicial</t>
        </is>
      </c>
      <c r="E85" s="27" t="n">
        <v>46077</v>
      </c>
      <c r="F85" s="27" t="n">
        <v>46077</v>
      </c>
      <c r="G85" t="n">
        <v>-128177</v>
      </c>
    </row>
    <row r="86">
      <c r="A86" t="n">
        <v>50381</v>
      </c>
      <c r="B86" t="n">
        <v>176</v>
      </c>
      <c r="C86" t="inlineStr">
        <is>
          <t>The Cavern</t>
        </is>
      </c>
      <c r="D86" t="inlineStr">
        <is>
          <t>Saque</t>
        </is>
      </c>
      <c r="E86" s="27" t="n">
        <v>46077</v>
      </c>
      <c r="F86" s="27" t="n">
        <v>46077</v>
      </c>
      <c r="G86" t="n">
        <v>-2873</v>
      </c>
    </row>
    <row r="87">
      <c r="A87" t="n">
        <v>50380</v>
      </c>
      <c r="B87" t="n">
        <v>176</v>
      </c>
      <c r="C87" t="inlineStr">
        <is>
          <t>The Cavern</t>
        </is>
      </c>
      <c r="D87" t="inlineStr">
        <is>
          <t>Saldo Inicial</t>
        </is>
      </c>
      <c r="E87" s="27" t="n">
        <v>46077</v>
      </c>
      <c r="F87" s="27" t="n">
        <v>46077</v>
      </c>
      <c r="G87" t="n">
        <v>-611867.4</v>
      </c>
    </row>
    <row r="88">
      <c r="A88" t="n">
        <v>50348</v>
      </c>
      <c r="B88" t="n">
        <v>176</v>
      </c>
      <c r="C88" t="inlineStr">
        <is>
          <t>The Cavern</t>
        </is>
      </c>
      <c r="D88" t="inlineStr">
        <is>
          <t>Saldo Inicial</t>
        </is>
      </c>
      <c r="E88" s="27" t="n">
        <v>46076</v>
      </c>
      <c r="F88" s="27" t="n">
        <v>46076</v>
      </c>
      <c r="G88" t="n">
        <v>-123029</v>
      </c>
    </row>
    <row r="89">
      <c r="A89" t="n">
        <v>50349</v>
      </c>
      <c r="B89" t="n">
        <v>176</v>
      </c>
      <c r="C89" t="inlineStr">
        <is>
          <t>The Cavern</t>
        </is>
      </c>
      <c r="D89" t="inlineStr">
        <is>
          <t>Saque</t>
        </is>
      </c>
      <c r="E89" s="27" t="n">
        <v>46076</v>
      </c>
      <c r="F89" s="27" t="n">
        <v>46076</v>
      </c>
      <c r="G89" t="n">
        <v>-5148</v>
      </c>
    </row>
    <row r="90">
      <c r="A90" t="n">
        <v>50347</v>
      </c>
      <c r="B90" t="n">
        <v>176</v>
      </c>
      <c r="C90" t="inlineStr">
        <is>
          <t>The Cavern</t>
        </is>
      </c>
      <c r="D90" t="inlineStr">
        <is>
          <t>Saque</t>
        </is>
      </c>
      <c r="E90" s="27" t="n">
        <v>46076</v>
      </c>
      <c r="F90" s="27" t="n">
        <v>46076</v>
      </c>
      <c r="G90" t="n">
        <v>-292.61</v>
      </c>
    </row>
    <row r="91">
      <c r="A91" t="n">
        <v>50346</v>
      </c>
      <c r="B91" t="n">
        <v>176</v>
      </c>
      <c r="C91" t="inlineStr">
        <is>
          <t>The Cavern</t>
        </is>
      </c>
      <c r="D91" t="inlineStr">
        <is>
          <t>Saldo Inicial</t>
        </is>
      </c>
      <c r="E91" s="27" t="n">
        <v>46076</v>
      </c>
      <c r="F91" s="27" t="n">
        <v>46076</v>
      </c>
      <c r="G91" t="n">
        <v>-611574.79</v>
      </c>
    </row>
    <row r="92">
      <c r="A92" t="n">
        <v>50311</v>
      </c>
      <c r="B92" t="n">
        <v>176</v>
      </c>
      <c r="C92" t="inlineStr">
        <is>
          <t>The Cavern</t>
        </is>
      </c>
      <c r="D92" t="inlineStr">
        <is>
          <t>Saldo Inicial</t>
        </is>
      </c>
      <c r="E92" s="27" t="n">
        <v>46075</v>
      </c>
      <c r="F92" s="27" t="n">
        <v>46075</v>
      </c>
      <c r="G92" t="n">
        <v>-608464.1899999999</v>
      </c>
    </row>
    <row r="93">
      <c r="A93" t="n">
        <v>50313</v>
      </c>
      <c r="B93" t="n">
        <v>176</v>
      </c>
      <c r="C93" t="inlineStr">
        <is>
          <t>The Cavern</t>
        </is>
      </c>
      <c r="D93" t="inlineStr">
        <is>
          <t>Saldo Inicial</t>
        </is>
      </c>
      <c r="E93" s="27" t="n">
        <v>46075</v>
      </c>
      <c r="F93" s="27" t="n">
        <v>46075</v>
      </c>
      <c r="G93" t="n">
        <v>-123029</v>
      </c>
    </row>
    <row r="94">
      <c r="A94" t="n">
        <v>50312</v>
      </c>
      <c r="B94" t="n">
        <v>176</v>
      </c>
      <c r="C94" t="inlineStr">
        <is>
          <t>The Cavern</t>
        </is>
      </c>
      <c r="D94" t="inlineStr">
        <is>
          <t>Saque</t>
        </is>
      </c>
      <c r="E94" s="27" t="n">
        <v>46075</v>
      </c>
      <c r="F94" s="27" t="n">
        <v>46075</v>
      </c>
      <c r="G94" t="n">
        <v>-3110.6</v>
      </c>
    </row>
    <row r="95">
      <c r="A95" t="n">
        <v>50288</v>
      </c>
      <c r="B95" t="n">
        <v>176</v>
      </c>
      <c r="C95" t="inlineStr">
        <is>
          <t>The Cavern</t>
        </is>
      </c>
      <c r="D95" t="inlineStr">
        <is>
          <t>Saldo Inicial</t>
        </is>
      </c>
      <c r="E95" s="27" t="n">
        <v>46074</v>
      </c>
      <c r="F95" s="27" t="n">
        <v>46074</v>
      </c>
      <c r="G95" t="n">
        <v>-604810.26</v>
      </c>
    </row>
    <row r="96">
      <c r="A96" t="n">
        <v>50290</v>
      </c>
      <c r="B96" t="n">
        <v>176</v>
      </c>
      <c r="C96" t="inlineStr">
        <is>
          <t>The Cavern</t>
        </is>
      </c>
      <c r="D96" t="inlineStr">
        <is>
          <t>Saldo Inicial</t>
        </is>
      </c>
      <c r="E96" s="27" t="n">
        <v>46074</v>
      </c>
      <c r="F96" s="27" t="n">
        <v>46074</v>
      </c>
      <c r="G96" t="n">
        <v>-123029</v>
      </c>
    </row>
    <row r="97">
      <c r="A97" t="n">
        <v>50289</v>
      </c>
      <c r="B97" t="n">
        <v>176</v>
      </c>
      <c r="C97" t="inlineStr">
        <is>
          <t>The Cavern</t>
        </is>
      </c>
      <c r="D97" t="inlineStr">
        <is>
          <t>Saque</t>
        </is>
      </c>
      <c r="E97" s="27" t="n">
        <v>46074</v>
      </c>
      <c r="F97" s="27" t="n">
        <v>46074</v>
      </c>
      <c r="G97" t="n">
        <v>-3653.93</v>
      </c>
    </row>
    <row r="98">
      <c r="A98" t="n">
        <v>50264</v>
      </c>
      <c r="B98" t="n">
        <v>176</v>
      </c>
      <c r="C98" t="inlineStr">
        <is>
          <t>The Cavern</t>
        </is>
      </c>
      <c r="D98" t="inlineStr">
        <is>
          <t>Saldo Inicial</t>
        </is>
      </c>
      <c r="E98" s="27" t="n">
        <v>46073</v>
      </c>
      <c r="F98" s="27" t="n">
        <v>46073</v>
      </c>
      <c r="G98" t="n">
        <v>-604701.6899999999</v>
      </c>
    </row>
    <row r="99">
      <c r="A99" t="n">
        <v>50265</v>
      </c>
      <c r="B99" t="n">
        <v>176</v>
      </c>
      <c r="C99" t="inlineStr">
        <is>
          <t>The Cavern</t>
        </is>
      </c>
      <c r="D99" t="inlineStr">
        <is>
          <t>Saque</t>
        </is>
      </c>
      <c r="E99" s="27" t="n">
        <v>46073</v>
      </c>
      <c r="F99" s="27" t="n">
        <v>46073</v>
      </c>
      <c r="G99" t="n">
        <v>-108.57</v>
      </c>
    </row>
    <row r="100">
      <c r="A100" t="n">
        <v>50266</v>
      </c>
      <c r="B100" t="n">
        <v>176</v>
      </c>
      <c r="C100" t="inlineStr">
        <is>
          <t>The Cavern</t>
        </is>
      </c>
      <c r="D100" t="inlineStr">
        <is>
          <t>Saldo Inicial</t>
        </is>
      </c>
      <c r="E100" s="27" t="n">
        <v>46073</v>
      </c>
      <c r="F100" s="27" t="n">
        <v>46073</v>
      </c>
      <c r="G100" t="n">
        <v>-121066</v>
      </c>
    </row>
    <row r="101">
      <c r="A101" t="n">
        <v>50267</v>
      </c>
      <c r="B101" t="n">
        <v>176</v>
      </c>
      <c r="C101" t="inlineStr">
        <is>
          <t>The Cavern</t>
        </is>
      </c>
      <c r="D101" t="inlineStr">
        <is>
          <t>Saque</t>
        </is>
      </c>
      <c r="E101" s="27" t="n">
        <v>46073</v>
      </c>
      <c r="F101" s="27" t="n">
        <v>46073</v>
      </c>
      <c r="G101" t="n">
        <v>-1963</v>
      </c>
    </row>
    <row r="102">
      <c r="A102" t="n">
        <v>50231</v>
      </c>
      <c r="B102" t="n">
        <v>176</v>
      </c>
      <c r="C102" t="inlineStr">
        <is>
          <t>The Cavern</t>
        </is>
      </c>
      <c r="D102" t="inlineStr">
        <is>
          <t>Saldo Inicial</t>
        </is>
      </c>
      <c r="E102" s="27" t="n">
        <v>46072</v>
      </c>
      <c r="F102" s="27" t="n">
        <v>46072</v>
      </c>
      <c r="G102" t="n">
        <v>-604548.8199999999</v>
      </c>
    </row>
    <row r="103">
      <c r="A103" t="n">
        <v>50232</v>
      </c>
      <c r="B103" t="n">
        <v>176</v>
      </c>
      <c r="C103" t="inlineStr">
        <is>
          <t>The Cavern</t>
        </is>
      </c>
      <c r="D103" t="inlineStr">
        <is>
          <t>Saque</t>
        </is>
      </c>
      <c r="E103" s="27" t="n">
        <v>46072</v>
      </c>
      <c r="F103" s="27" t="n">
        <v>46072</v>
      </c>
      <c r="G103" t="n">
        <v>-152.87</v>
      </c>
    </row>
    <row r="104">
      <c r="A104" t="n">
        <v>50233</v>
      </c>
      <c r="B104" t="n">
        <v>176</v>
      </c>
      <c r="C104" t="inlineStr">
        <is>
          <t>The Cavern</t>
        </is>
      </c>
      <c r="D104" t="inlineStr">
        <is>
          <t>Saldo Inicial</t>
        </is>
      </c>
      <c r="E104" s="27" t="n">
        <v>46072</v>
      </c>
      <c r="F104" s="27" t="n">
        <v>46072</v>
      </c>
      <c r="G104" t="n">
        <v>-120546</v>
      </c>
    </row>
    <row r="105">
      <c r="A105" t="n">
        <v>50234</v>
      </c>
      <c r="B105" t="n">
        <v>176</v>
      </c>
      <c r="C105" t="inlineStr">
        <is>
          <t>The Cavern</t>
        </is>
      </c>
      <c r="D105" t="inlineStr">
        <is>
          <t>Saque</t>
        </is>
      </c>
      <c r="E105" s="27" t="n">
        <v>46072</v>
      </c>
      <c r="F105" s="27" t="n">
        <v>46072</v>
      </c>
      <c r="G105" t="n">
        <v>-520</v>
      </c>
    </row>
    <row r="106">
      <c r="A106" t="n">
        <v>50198</v>
      </c>
      <c r="B106" t="n">
        <v>176</v>
      </c>
      <c r="C106" t="inlineStr">
        <is>
          <t>The Cavern</t>
        </is>
      </c>
      <c r="D106" t="inlineStr">
        <is>
          <t>Saldo Inicial</t>
        </is>
      </c>
      <c r="E106" s="27" t="n">
        <v>46071</v>
      </c>
      <c r="F106" s="27" t="n">
        <v>46071</v>
      </c>
      <c r="G106" t="n">
        <v>-603731.6</v>
      </c>
    </row>
    <row r="107">
      <c r="A107" t="n">
        <v>50201</v>
      </c>
      <c r="B107" t="n">
        <v>176</v>
      </c>
      <c r="C107" t="inlineStr">
        <is>
          <t>The Cavern</t>
        </is>
      </c>
      <c r="D107" t="inlineStr">
        <is>
          <t>Saque</t>
        </is>
      </c>
      <c r="E107" s="27" t="n">
        <v>46071</v>
      </c>
      <c r="F107" s="27" t="n">
        <v>46071</v>
      </c>
      <c r="G107" t="n">
        <v>-5296</v>
      </c>
    </row>
    <row r="108">
      <c r="A108" t="n">
        <v>50200</v>
      </c>
      <c r="B108" t="n">
        <v>176</v>
      </c>
      <c r="C108" t="inlineStr">
        <is>
          <t>The Cavern</t>
        </is>
      </c>
      <c r="D108" t="inlineStr">
        <is>
          <t>Saldo Inicial</t>
        </is>
      </c>
      <c r="E108" s="27" t="n">
        <v>46071</v>
      </c>
      <c r="F108" s="27" t="n">
        <v>46071</v>
      </c>
      <c r="G108" t="n">
        <v>-115250</v>
      </c>
    </row>
    <row r="109">
      <c r="A109" t="n">
        <v>50199</v>
      </c>
      <c r="B109" t="n">
        <v>176</v>
      </c>
      <c r="C109" t="inlineStr">
        <is>
          <t>The Cavern</t>
        </is>
      </c>
      <c r="D109" t="inlineStr">
        <is>
          <t>Saque</t>
        </is>
      </c>
      <c r="E109" s="27" t="n">
        <v>46071</v>
      </c>
      <c r="F109" s="27" t="n">
        <v>46071</v>
      </c>
      <c r="G109" t="n">
        <v>-817.22</v>
      </c>
    </row>
    <row r="110">
      <c r="A110" t="n">
        <v>50165</v>
      </c>
      <c r="B110" t="n">
        <v>176</v>
      </c>
      <c r="C110" t="inlineStr">
        <is>
          <t>The Cavern</t>
        </is>
      </c>
      <c r="D110" t="inlineStr">
        <is>
          <t>Saldo Inicial</t>
        </is>
      </c>
      <c r="E110" s="27" t="n">
        <v>46070</v>
      </c>
      <c r="F110" s="27" t="n">
        <v>46070</v>
      </c>
      <c r="G110" t="n">
        <v>-115250</v>
      </c>
    </row>
    <row r="111">
      <c r="A111" t="n">
        <v>50164</v>
      </c>
      <c r="B111" t="n">
        <v>176</v>
      </c>
      <c r="C111" t="inlineStr">
        <is>
          <t>The Cavern</t>
        </is>
      </c>
      <c r="D111" t="inlineStr">
        <is>
          <t>Saque</t>
        </is>
      </c>
      <c r="E111" s="27" t="n">
        <v>46070</v>
      </c>
      <c r="F111" s="27" t="n">
        <v>46070</v>
      </c>
      <c r="G111" t="n">
        <v>-448.48</v>
      </c>
    </row>
    <row r="112">
      <c r="A112" t="n">
        <v>50163</v>
      </c>
      <c r="B112" t="n">
        <v>176</v>
      </c>
      <c r="C112" t="inlineStr">
        <is>
          <t>The Cavern</t>
        </is>
      </c>
      <c r="D112" t="inlineStr">
        <is>
          <t>Saldo Inicial</t>
        </is>
      </c>
      <c r="E112" s="27" t="n">
        <v>46070</v>
      </c>
      <c r="F112" s="27" t="n">
        <v>46070</v>
      </c>
      <c r="G112" t="n">
        <v>-603283.12</v>
      </c>
    </row>
    <row r="113">
      <c r="A113" t="n">
        <v>50140</v>
      </c>
      <c r="B113" t="n">
        <v>176</v>
      </c>
      <c r="C113" t="inlineStr">
        <is>
          <t>The Cavern</t>
        </is>
      </c>
      <c r="D113" t="inlineStr">
        <is>
          <t>Saldo Inicial</t>
        </is>
      </c>
      <c r="E113" s="27" t="n">
        <v>46069</v>
      </c>
      <c r="F113" s="27" t="n">
        <v>46069</v>
      </c>
      <c r="G113" t="n">
        <v>-593663.52</v>
      </c>
    </row>
    <row r="114">
      <c r="A114" t="n">
        <v>50141</v>
      </c>
      <c r="B114" t="n">
        <v>176</v>
      </c>
      <c r="C114" t="inlineStr">
        <is>
          <t>The Cavern</t>
        </is>
      </c>
      <c r="D114" t="inlineStr">
        <is>
          <t>Saque</t>
        </is>
      </c>
      <c r="E114" s="27" t="n">
        <v>46069</v>
      </c>
      <c r="F114" s="27" t="n">
        <v>46069</v>
      </c>
      <c r="G114" t="n">
        <v>-9619.6</v>
      </c>
    </row>
    <row r="115">
      <c r="A115" t="n">
        <v>50142</v>
      </c>
      <c r="B115" t="n">
        <v>176</v>
      </c>
      <c r="C115" t="inlineStr">
        <is>
          <t>The Cavern</t>
        </is>
      </c>
      <c r="D115" t="inlineStr">
        <is>
          <t>Saldo Inicial</t>
        </is>
      </c>
      <c r="E115" s="27" t="n">
        <v>46069</v>
      </c>
      <c r="F115" s="27" t="n">
        <v>46069</v>
      </c>
      <c r="G115" t="n">
        <v>-115250</v>
      </c>
    </row>
    <row r="116">
      <c r="A116" t="n">
        <v>50118</v>
      </c>
      <c r="B116" t="n">
        <v>176</v>
      </c>
      <c r="C116" t="inlineStr">
        <is>
          <t>The Cavern</t>
        </is>
      </c>
      <c r="D116" t="inlineStr">
        <is>
          <t>Saque</t>
        </is>
      </c>
      <c r="E116" s="27" t="n">
        <v>46068</v>
      </c>
      <c r="F116" s="27" t="n">
        <v>46068</v>
      </c>
      <c r="G116" t="n">
        <v>-6094.92</v>
      </c>
    </row>
    <row r="117">
      <c r="A117" t="n">
        <v>50119</v>
      </c>
      <c r="B117" t="n">
        <v>176</v>
      </c>
      <c r="C117" t="inlineStr">
        <is>
          <t>The Cavern</t>
        </is>
      </c>
      <c r="D117" t="inlineStr">
        <is>
          <t>Saldo Inicial</t>
        </is>
      </c>
      <c r="E117" s="27" t="n">
        <v>46068</v>
      </c>
      <c r="F117" s="27" t="n">
        <v>46068</v>
      </c>
      <c r="G117" t="n">
        <v>-115250</v>
      </c>
    </row>
    <row r="118">
      <c r="A118" t="n">
        <v>50117</v>
      </c>
      <c r="B118" t="n">
        <v>176</v>
      </c>
      <c r="C118" t="inlineStr">
        <is>
          <t>The Cavern</t>
        </is>
      </c>
      <c r="D118" t="inlineStr">
        <is>
          <t>Saldo Inicial</t>
        </is>
      </c>
      <c r="E118" s="27" t="n">
        <v>46068</v>
      </c>
      <c r="F118" s="27" t="n">
        <v>46068</v>
      </c>
      <c r="G118" t="n">
        <v>-587568.6</v>
      </c>
    </row>
    <row r="119">
      <c r="A119" t="n">
        <v>50096</v>
      </c>
      <c r="B119" t="n">
        <v>176</v>
      </c>
      <c r="C119" t="inlineStr">
        <is>
          <t>The Cavern</t>
        </is>
      </c>
      <c r="D119" t="inlineStr">
        <is>
          <t>Saldo Inicial</t>
        </is>
      </c>
      <c r="E119" s="27" t="n">
        <v>46067</v>
      </c>
      <c r="F119" s="27" t="n">
        <v>46067</v>
      </c>
      <c r="G119" t="n">
        <v>-115250</v>
      </c>
    </row>
    <row r="120">
      <c r="A120" t="n">
        <v>50095</v>
      </c>
      <c r="B120" t="n">
        <v>176</v>
      </c>
      <c r="C120" t="inlineStr">
        <is>
          <t>The Cavern</t>
        </is>
      </c>
      <c r="D120" t="inlineStr">
        <is>
          <t>Saque</t>
        </is>
      </c>
      <c r="E120" s="27" t="n">
        <v>46067</v>
      </c>
      <c r="F120" s="27" t="n">
        <v>46067</v>
      </c>
      <c r="G120" t="n">
        <v>-707.03</v>
      </c>
    </row>
    <row r="121">
      <c r="A121" t="n">
        <v>50094</v>
      </c>
      <c r="B121" t="n">
        <v>176</v>
      </c>
      <c r="C121" t="inlineStr">
        <is>
          <t>The Cavern</t>
        </is>
      </c>
      <c r="D121" t="inlineStr">
        <is>
          <t>Saldo Inicial</t>
        </is>
      </c>
      <c r="E121" s="27" t="n">
        <v>46067</v>
      </c>
      <c r="F121" s="27" t="n">
        <v>46067</v>
      </c>
      <c r="G121" t="n">
        <v>-586861.5699999999</v>
      </c>
    </row>
    <row r="122">
      <c r="A122" t="n">
        <v>50082</v>
      </c>
      <c r="B122" t="n">
        <v>176</v>
      </c>
      <c r="C122" t="inlineStr">
        <is>
          <t>The Cavern</t>
        </is>
      </c>
      <c r="D122" t="inlineStr">
        <is>
          <t>Saque</t>
        </is>
      </c>
      <c r="E122" s="27" t="n">
        <v>46066</v>
      </c>
      <c r="F122" s="27" t="n">
        <v>46066</v>
      </c>
      <c r="G122" t="n">
        <v>-5630</v>
      </c>
    </row>
    <row r="123">
      <c r="A123" t="n">
        <v>50079</v>
      </c>
      <c r="B123" t="n">
        <v>176</v>
      </c>
      <c r="C123" t="inlineStr">
        <is>
          <t>The Cavern</t>
        </is>
      </c>
      <c r="D123" t="inlineStr">
        <is>
          <t>Saldo Inicial</t>
        </is>
      </c>
      <c r="E123" s="27" t="n">
        <v>46066</v>
      </c>
      <c r="F123" s="27" t="n">
        <v>46066</v>
      </c>
      <c r="G123" t="n">
        <v>-585961.5699999999</v>
      </c>
    </row>
    <row r="124">
      <c r="A124" t="n">
        <v>50081</v>
      </c>
      <c r="B124" t="n">
        <v>176</v>
      </c>
      <c r="C124" t="inlineStr">
        <is>
          <t>The Cavern</t>
        </is>
      </c>
      <c r="D124" t="inlineStr">
        <is>
          <t>Saldo Inicial</t>
        </is>
      </c>
      <c r="E124" s="27" t="n">
        <v>46066</v>
      </c>
      <c r="F124" s="27" t="n">
        <v>46066</v>
      </c>
      <c r="G124" t="n">
        <v>-109620</v>
      </c>
    </row>
    <row r="125">
      <c r="A125" t="n">
        <v>50080</v>
      </c>
      <c r="B125" t="n">
        <v>176</v>
      </c>
      <c r="C125" t="inlineStr">
        <is>
          <t>The Cavern</t>
        </is>
      </c>
      <c r="D125" t="inlineStr">
        <is>
          <t>Saque</t>
        </is>
      </c>
      <c r="E125" s="27" t="n">
        <v>46066</v>
      </c>
      <c r="F125" s="27" t="n">
        <v>46066</v>
      </c>
      <c r="G125" t="n">
        <v>-900</v>
      </c>
    </row>
    <row r="126">
      <c r="A126" t="n">
        <v>50049</v>
      </c>
      <c r="B126" t="n">
        <v>176</v>
      </c>
      <c r="C126" t="inlineStr">
        <is>
          <t>The Cavern</t>
        </is>
      </c>
      <c r="D126" t="inlineStr">
        <is>
          <t>Saque</t>
        </is>
      </c>
      <c r="E126" s="27" t="n">
        <v>46065</v>
      </c>
      <c r="F126" s="27" t="n">
        <v>46065</v>
      </c>
      <c r="G126" t="n">
        <v>-2750</v>
      </c>
    </row>
    <row r="127">
      <c r="A127" t="n">
        <v>50048</v>
      </c>
      <c r="B127" t="n">
        <v>176</v>
      </c>
      <c r="C127" t="inlineStr">
        <is>
          <t>The Cavern</t>
        </is>
      </c>
      <c r="D127" t="inlineStr">
        <is>
          <t>Saldo Inicial</t>
        </is>
      </c>
      <c r="E127" s="27" t="n">
        <v>46065</v>
      </c>
      <c r="F127" s="27" t="n">
        <v>46065</v>
      </c>
      <c r="G127" t="n">
        <v>-106870</v>
      </c>
    </row>
    <row r="128">
      <c r="A128" t="n">
        <v>50047</v>
      </c>
      <c r="B128" t="n">
        <v>176</v>
      </c>
      <c r="C128" t="inlineStr">
        <is>
          <t>The Cavern</t>
        </is>
      </c>
      <c r="D128" t="inlineStr">
        <is>
          <t>Saque</t>
        </is>
      </c>
      <c r="E128" s="27" t="n">
        <v>46065</v>
      </c>
      <c r="F128" s="27" t="n">
        <v>46065</v>
      </c>
      <c r="G128" t="n">
        <v>-990</v>
      </c>
    </row>
    <row r="129">
      <c r="A129" t="n">
        <v>50046</v>
      </c>
      <c r="B129" t="n">
        <v>176</v>
      </c>
      <c r="C129" t="inlineStr">
        <is>
          <t>The Cavern</t>
        </is>
      </c>
      <c r="D129" t="inlineStr">
        <is>
          <t>Saldo Inicial</t>
        </is>
      </c>
      <c r="E129" s="27" t="n">
        <v>46065</v>
      </c>
      <c r="F129" s="27" t="n">
        <v>46065</v>
      </c>
      <c r="G129" t="n">
        <v>-584971.5699999999</v>
      </c>
    </row>
    <row r="130">
      <c r="A130" t="n">
        <v>50015</v>
      </c>
      <c r="B130" t="n">
        <v>176</v>
      </c>
      <c r="C130" t="inlineStr">
        <is>
          <t>The Cavern</t>
        </is>
      </c>
      <c r="D130" t="inlineStr">
        <is>
          <t>Saldo Inicial</t>
        </is>
      </c>
      <c r="E130" s="27" t="n">
        <v>46064</v>
      </c>
      <c r="F130" s="27" t="n">
        <v>46064</v>
      </c>
      <c r="G130" t="n">
        <v>-102370</v>
      </c>
    </row>
    <row r="131">
      <c r="A131" t="n">
        <v>50016</v>
      </c>
      <c r="B131" t="n">
        <v>176</v>
      </c>
      <c r="C131" t="inlineStr">
        <is>
          <t>The Cavern</t>
        </is>
      </c>
      <c r="D131" t="inlineStr">
        <is>
          <t>Saque</t>
        </is>
      </c>
      <c r="E131" s="27" t="n">
        <v>46064</v>
      </c>
      <c r="F131" s="27" t="n">
        <v>46064</v>
      </c>
      <c r="G131" t="n">
        <v>-4500</v>
      </c>
    </row>
    <row r="132">
      <c r="A132" t="n">
        <v>50014</v>
      </c>
      <c r="B132" t="n">
        <v>176</v>
      </c>
      <c r="C132" t="inlineStr">
        <is>
          <t>The Cavern</t>
        </is>
      </c>
      <c r="D132" t="inlineStr">
        <is>
          <t>Saque</t>
        </is>
      </c>
      <c r="E132" s="27" t="n">
        <v>46064</v>
      </c>
      <c r="F132" s="27" t="n">
        <v>46064</v>
      </c>
      <c r="G132" t="n">
        <v>-1633.32</v>
      </c>
    </row>
    <row r="133">
      <c r="A133" t="n">
        <v>50013</v>
      </c>
      <c r="B133" t="n">
        <v>176</v>
      </c>
      <c r="C133" t="inlineStr">
        <is>
          <t>The Cavern</t>
        </is>
      </c>
      <c r="D133" t="inlineStr">
        <is>
          <t>Saldo Inicial</t>
        </is>
      </c>
      <c r="E133" s="27" t="n">
        <v>46064</v>
      </c>
      <c r="F133" s="27" t="n">
        <v>46064</v>
      </c>
      <c r="G133" t="n">
        <v>-583338.25</v>
      </c>
    </row>
    <row r="134">
      <c r="A134" t="n">
        <v>49982</v>
      </c>
      <c r="B134" t="n">
        <v>176</v>
      </c>
      <c r="C134" t="inlineStr">
        <is>
          <t>The Cavern</t>
        </is>
      </c>
      <c r="D134" t="inlineStr">
        <is>
          <t>Saque</t>
        </is>
      </c>
      <c r="E134" s="27" t="n">
        <v>46063</v>
      </c>
      <c r="F134" s="27" t="n">
        <v>46063</v>
      </c>
      <c r="G134" t="n">
        <v>-4050</v>
      </c>
    </row>
    <row r="135">
      <c r="A135" t="n">
        <v>49981</v>
      </c>
      <c r="B135" t="n">
        <v>176</v>
      </c>
      <c r="C135" t="inlineStr">
        <is>
          <t>The Cavern</t>
        </is>
      </c>
      <c r="D135" t="inlineStr">
        <is>
          <t>Saldo Inicial</t>
        </is>
      </c>
      <c r="E135" s="27" t="n">
        <v>46063</v>
      </c>
      <c r="F135" s="27" t="n">
        <v>46063</v>
      </c>
      <c r="G135" t="n">
        <v>-98320</v>
      </c>
    </row>
    <row r="136">
      <c r="A136" t="n">
        <v>49980</v>
      </c>
      <c r="B136" t="n">
        <v>176</v>
      </c>
      <c r="C136" t="inlineStr">
        <is>
          <t>The Cavern</t>
        </is>
      </c>
      <c r="D136" t="inlineStr">
        <is>
          <t>Saque</t>
        </is>
      </c>
      <c r="E136" s="27" t="n">
        <v>46063</v>
      </c>
      <c r="F136" s="27" t="n">
        <v>46063</v>
      </c>
      <c r="G136" t="n">
        <v>-266.9</v>
      </c>
    </row>
    <row r="137">
      <c r="A137" t="n">
        <v>49979</v>
      </c>
      <c r="B137" t="n">
        <v>176</v>
      </c>
      <c r="C137" t="inlineStr">
        <is>
          <t>The Cavern</t>
        </is>
      </c>
      <c r="D137" t="inlineStr">
        <is>
          <t>Saldo Inicial</t>
        </is>
      </c>
      <c r="E137" s="27" t="n">
        <v>46063</v>
      </c>
      <c r="F137" s="27" t="n">
        <v>46063</v>
      </c>
      <c r="G137" t="n">
        <v>-583071.35</v>
      </c>
    </row>
    <row r="138">
      <c r="A138" t="n">
        <v>49949</v>
      </c>
      <c r="B138" t="n">
        <v>176</v>
      </c>
      <c r="C138" t="inlineStr">
        <is>
          <t>The Cavern</t>
        </is>
      </c>
      <c r="D138" t="inlineStr">
        <is>
          <t>Saque</t>
        </is>
      </c>
      <c r="E138" s="27" t="n">
        <v>46062</v>
      </c>
      <c r="F138" s="27" t="n">
        <v>46062</v>
      </c>
      <c r="G138" t="n">
        <v>-4720</v>
      </c>
    </row>
    <row r="139">
      <c r="A139" t="n">
        <v>49948</v>
      </c>
      <c r="B139" t="n">
        <v>176</v>
      </c>
      <c r="C139" t="inlineStr">
        <is>
          <t>The Cavern</t>
        </is>
      </c>
      <c r="D139" t="inlineStr">
        <is>
          <t>Saldo Inicial</t>
        </is>
      </c>
      <c r="E139" s="27" t="n">
        <v>46062</v>
      </c>
      <c r="F139" s="27" t="n">
        <v>46062</v>
      </c>
      <c r="G139" t="n">
        <v>-93600</v>
      </c>
    </row>
    <row r="140">
      <c r="A140" t="n">
        <v>49947</v>
      </c>
      <c r="B140" t="n">
        <v>176</v>
      </c>
      <c r="C140" t="inlineStr">
        <is>
          <t>The Cavern</t>
        </is>
      </c>
      <c r="D140" t="inlineStr">
        <is>
          <t>Saque</t>
        </is>
      </c>
      <c r="E140" s="27" t="n">
        <v>46062</v>
      </c>
      <c r="F140" s="27" t="n">
        <v>46062</v>
      </c>
      <c r="G140" t="n">
        <v>-4671.96</v>
      </c>
    </row>
    <row r="141">
      <c r="A141" t="n">
        <v>49946</v>
      </c>
      <c r="B141" t="n">
        <v>176</v>
      </c>
      <c r="C141" t="inlineStr">
        <is>
          <t>The Cavern</t>
        </is>
      </c>
      <c r="D141" t="inlineStr">
        <is>
          <t>Saldo Inicial</t>
        </is>
      </c>
      <c r="E141" s="27" t="n">
        <v>46062</v>
      </c>
      <c r="F141" s="27" t="n">
        <v>46062</v>
      </c>
      <c r="G141" t="n">
        <v>-578399.39</v>
      </c>
    </row>
    <row r="142">
      <c r="A142" t="n">
        <v>49907</v>
      </c>
      <c r="B142" t="n">
        <v>176</v>
      </c>
      <c r="C142" t="inlineStr">
        <is>
          <t>The Cavern</t>
        </is>
      </c>
      <c r="D142" t="inlineStr">
        <is>
          <t>Saldo Inicial</t>
        </is>
      </c>
      <c r="E142" s="27" t="n">
        <v>46061</v>
      </c>
      <c r="F142" s="27" t="n">
        <v>46061</v>
      </c>
      <c r="G142" t="n">
        <v>-93600</v>
      </c>
    </row>
    <row r="143">
      <c r="A143" t="n">
        <v>49906</v>
      </c>
      <c r="B143" t="n">
        <v>176</v>
      </c>
      <c r="C143" t="inlineStr">
        <is>
          <t>The Cavern</t>
        </is>
      </c>
      <c r="D143" t="inlineStr">
        <is>
          <t>Saque</t>
        </is>
      </c>
      <c r="E143" s="27" t="n">
        <v>46061</v>
      </c>
      <c r="F143" s="27" t="n">
        <v>46061</v>
      </c>
      <c r="G143" t="n">
        <v>-21803.14</v>
      </c>
    </row>
    <row r="144">
      <c r="A144" t="n">
        <v>49905</v>
      </c>
      <c r="B144" t="n">
        <v>176</v>
      </c>
      <c r="C144" t="inlineStr">
        <is>
          <t>The Cavern</t>
        </is>
      </c>
      <c r="D144" t="inlineStr">
        <is>
          <t>Saldo Inicial</t>
        </is>
      </c>
      <c r="E144" s="27" t="n">
        <v>46061</v>
      </c>
      <c r="F144" s="27" t="n">
        <v>46061</v>
      </c>
      <c r="G144" t="n">
        <v>-556596.25</v>
      </c>
    </row>
    <row r="145">
      <c r="A145" t="n">
        <v>49884</v>
      </c>
      <c r="B145" t="n">
        <v>176</v>
      </c>
      <c r="C145" t="inlineStr">
        <is>
          <t>The Cavern</t>
        </is>
      </c>
      <c r="D145" t="inlineStr">
        <is>
          <t>Saldo Inicial</t>
        </is>
      </c>
      <c r="E145" s="27" t="n">
        <v>46060</v>
      </c>
      <c r="F145" s="27" t="n">
        <v>46060</v>
      </c>
      <c r="G145" t="n">
        <v>-93600</v>
      </c>
    </row>
    <row r="146">
      <c r="A146" t="n">
        <v>49882</v>
      </c>
      <c r="B146" t="n">
        <v>176</v>
      </c>
      <c r="C146" t="inlineStr">
        <is>
          <t>The Cavern</t>
        </is>
      </c>
      <c r="D146" t="inlineStr">
        <is>
          <t>Saldo Inicial</t>
        </is>
      </c>
      <c r="E146" s="27" t="n">
        <v>46060</v>
      </c>
      <c r="F146" s="27" t="n">
        <v>46060</v>
      </c>
      <c r="G146" t="n">
        <v>-554405.14</v>
      </c>
    </row>
    <row r="147">
      <c r="A147" t="n">
        <v>49883</v>
      </c>
      <c r="B147" t="n">
        <v>176</v>
      </c>
      <c r="C147" t="inlineStr">
        <is>
          <t>The Cavern</t>
        </is>
      </c>
      <c r="D147" t="inlineStr">
        <is>
          <t>Saque</t>
        </is>
      </c>
      <c r="E147" s="27" t="n">
        <v>46060</v>
      </c>
      <c r="F147" s="27" t="n">
        <v>46060</v>
      </c>
      <c r="G147" t="n">
        <v>-2191.11</v>
      </c>
    </row>
    <row r="148">
      <c r="A148" t="n">
        <v>49864</v>
      </c>
      <c r="B148" t="n">
        <v>176</v>
      </c>
      <c r="C148" t="inlineStr">
        <is>
          <t>The Cavern</t>
        </is>
      </c>
      <c r="D148" t="inlineStr">
        <is>
          <t>Saque</t>
        </is>
      </c>
      <c r="E148" s="27" t="n">
        <v>46059</v>
      </c>
      <c r="F148" s="27" t="n">
        <v>46059</v>
      </c>
      <c r="G148" t="n">
        <v>-3728.5</v>
      </c>
    </row>
    <row r="149">
      <c r="A149" t="n">
        <v>49863</v>
      </c>
      <c r="B149" t="n">
        <v>176</v>
      </c>
      <c r="C149" t="inlineStr">
        <is>
          <t>The Cavern</t>
        </is>
      </c>
      <c r="D149" t="inlineStr">
        <is>
          <t>Saldo Inicial</t>
        </is>
      </c>
      <c r="E149" s="27" t="n">
        <v>46059</v>
      </c>
      <c r="F149" s="27" t="n">
        <v>46059</v>
      </c>
      <c r="G149" t="n">
        <v>-550676.64</v>
      </c>
    </row>
    <row r="150">
      <c r="A150" t="n">
        <v>49867</v>
      </c>
      <c r="B150" t="n">
        <v>176</v>
      </c>
      <c r="C150" t="inlineStr">
        <is>
          <t>The Cavern</t>
        </is>
      </c>
      <c r="D150" t="inlineStr">
        <is>
          <t>Saque</t>
        </is>
      </c>
      <c r="E150" s="27" t="n">
        <v>46059</v>
      </c>
      <c r="F150" s="27" t="n">
        <v>46059</v>
      </c>
      <c r="G150" t="n">
        <v>-30000</v>
      </c>
    </row>
    <row r="151">
      <c r="A151" t="n">
        <v>49866</v>
      </c>
      <c r="B151" t="n">
        <v>176</v>
      </c>
      <c r="C151" t="inlineStr">
        <is>
          <t>The Cavern</t>
        </is>
      </c>
      <c r="D151" t="inlineStr">
        <is>
          <t>Saque</t>
        </is>
      </c>
      <c r="E151" s="27" t="n">
        <v>46059</v>
      </c>
      <c r="F151" s="27" t="n">
        <v>46059</v>
      </c>
      <c r="G151" t="n">
        <v>-63600</v>
      </c>
    </row>
    <row r="152">
      <c r="A152" t="n">
        <v>49865</v>
      </c>
      <c r="B152" t="n">
        <v>176</v>
      </c>
      <c r="C152" t="inlineStr">
        <is>
          <t>The Cavern</t>
        </is>
      </c>
      <c r="D152" t="inlineStr">
        <is>
          <t>Saldo Inicial</t>
        </is>
      </c>
      <c r="E152" s="27" t="n">
        <v>46059</v>
      </c>
      <c r="F152" s="27" t="n">
        <v>46059</v>
      </c>
      <c r="G152" t="n">
        <v>0</v>
      </c>
    </row>
    <row r="153">
      <c r="A153" t="n">
        <v>49833</v>
      </c>
      <c r="B153" t="n">
        <v>176</v>
      </c>
      <c r="C153" t="inlineStr">
        <is>
          <t>The Cavern</t>
        </is>
      </c>
      <c r="D153" t="inlineStr">
        <is>
          <t>Saldo Inicial</t>
        </is>
      </c>
      <c r="E153" s="27" t="n">
        <v>46058</v>
      </c>
      <c r="F153" s="27" t="n">
        <v>46058</v>
      </c>
      <c r="G153" t="n">
        <v>0</v>
      </c>
    </row>
    <row r="154">
      <c r="A154" t="n">
        <v>49832</v>
      </c>
      <c r="B154" t="n">
        <v>176</v>
      </c>
      <c r="C154" t="inlineStr">
        <is>
          <t>The Cavern</t>
        </is>
      </c>
      <c r="D154" t="inlineStr">
        <is>
          <t>Saque</t>
        </is>
      </c>
      <c r="E154" s="27" t="n">
        <v>46058</v>
      </c>
      <c r="F154" s="27" t="n">
        <v>46058</v>
      </c>
      <c r="G154" t="n">
        <v>-2885.86</v>
      </c>
    </row>
    <row r="155">
      <c r="A155" t="n">
        <v>49831</v>
      </c>
      <c r="B155" t="n">
        <v>176</v>
      </c>
      <c r="C155" t="inlineStr">
        <is>
          <t>The Cavern</t>
        </is>
      </c>
      <c r="D155" t="inlineStr">
        <is>
          <t>Saldo Inicial</t>
        </is>
      </c>
      <c r="E155" s="27" t="n">
        <v>46058</v>
      </c>
      <c r="F155" s="27" t="n">
        <v>46058</v>
      </c>
      <c r="G155" t="n">
        <v>-547790.78</v>
      </c>
    </row>
    <row r="156">
      <c r="A156" t="n">
        <v>49801</v>
      </c>
      <c r="B156" t="n">
        <v>176</v>
      </c>
      <c r="C156" t="inlineStr">
        <is>
          <t>The Cavern</t>
        </is>
      </c>
      <c r="D156" t="inlineStr">
        <is>
          <t>Saldo Inicial</t>
        </is>
      </c>
      <c r="E156" s="27" t="n">
        <v>46057</v>
      </c>
      <c r="F156" s="27" t="n">
        <v>46057</v>
      </c>
      <c r="G156" t="n">
        <v>0</v>
      </c>
    </row>
    <row r="157">
      <c r="A157" t="n">
        <v>49799</v>
      </c>
      <c r="B157" t="n">
        <v>176</v>
      </c>
      <c r="C157" t="inlineStr">
        <is>
          <t>The Cavern</t>
        </is>
      </c>
      <c r="D157" t="inlineStr">
        <is>
          <t>Saldo Inicial</t>
        </is>
      </c>
      <c r="E157" s="27" t="n">
        <v>46057</v>
      </c>
      <c r="F157" s="27" t="n">
        <v>46057</v>
      </c>
      <c r="G157" t="n">
        <v>-546308.01</v>
      </c>
    </row>
    <row r="158">
      <c r="A158" t="n">
        <v>49800</v>
      </c>
      <c r="B158" t="n">
        <v>176</v>
      </c>
      <c r="C158" t="inlineStr">
        <is>
          <t>The Cavern</t>
        </is>
      </c>
      <c r="D158" t="inlineStr">
        <is>
          <t>Saque</t>
        </is>
      </c>
      <c r="E158" s="27" t="n">
        <v>46057</v>
      </c>
      <c r="F158" s="27" t="n">
        <v>46057</v>
      </c>
      <c r="G158" t="n">
        <v>-1482.77</v>
      </c>
    </row>
    <row r="159">
      <c r="A159" t="n">
        <v>49768</v>
      </c>
      <c r="B159" t="n">
        <v>176</v>
      </c>
      <c r="C159" t="inlineStr">
        <is>
          <t>The Cavern</t>
        </is>
      </c>
      <c r="D159" t="inlineStr">
        <is>
          <t>Saldo Inicial</t>
        </is>
      </c>
      <c r="E159" s="27" t="n">
        <v>46056</v>
      </c>
      <c r="F159" s="27" t="n">
        <v>46056</v>
      </c>
      <c r="G159" t="n">
        <v>-546308.01</v>
      </c>
    </row>
    <row r="160">
      <c r="A160" t="n">
        <v>49769</v>
      </c>
      <c r="B160" t="n">
        <v>176</v>
      </c>
      <c r="C160" t="inlineStr">
        <is>
          <t>The Cavern</t>
        </is>
      </c>
      <c r="D160" t="inlineStr">
        <is>
          <t>Saldo Inicial</t>
        </is>
      </c>
      <c r="E160" s="27" t="n">
        <v>46056</v>
      </c>
      <c r="F160" s="27" t="n">
        <v>46056</v>
      </c>
      <c r="G160" t="n">
        <v>0</v>
      </c>
    </row>
    <row r="161">
      <c r="A161" t="n">
        <v>49736</v>
      </c>
      <c r="B161" t="n">
        <v>176</v>
      </c>
      <c r="C161" t="inlineStr">
        <is>
          <t>The Cavern</t>
        </is>
      </c>
      <c r="D161" t="inlineStr">
        <is>
          <t>Saldo Inicial</t>
        </is>
      </c>
      <c r="E161" s="27" t="n">
        <v>46055</v>
      </c>
      <c r="F161" s="27" t="n">
        <v>46055</v>
      </c>
      <c r="G161" t="n">
        <v>-545691.6899999999</v>
      </c>
    </row>
    <row r="162">
      <c r="A162" t="n">
        <v>49737</v>
      </c>
      <c r="B162" t="n">
        <v>176</v>
      </c>
      <c r="C162" t="inlineStr">
        <is>
          <t>The Cavern</t>
        </is>
      </c>
      <c r="D162" t="inlineStr">
        <is>
          <t>Saque</t>
        </is>
      </c>
      <c r="E162" s="27" t="n">
        <v>46055</v>
      </c>
      <c r="F162" s="27" t="n">
        <v>46055</v>
      </c>
      <c r="G162" t="n">
        <v>-616.3200000000001</v>
      </c>
    </row>
    <row r="163">
      <c r="A163" t="n">
        <v>49738</v>
      </c>
      <c r="B163" t="n">
        <v>176</v>
      </c>
      <c r="C163" t="inlineStr">
        <is>
          <t>The Cavern</t>
        </is>
      </c>
      <c r="D163" t="inlineStr">
        <is>
          <t>Saldo Inicial</t>
        </is>
      </c>
      <c r="E163" s="27" t="n">
        <v>46055</v>
      </c>
      <c r="F163" s="27" t="n">
        <v>46055</v>
      </c>
      <c r="G163" t="n">
        <v>0</v>
      </c>
    </row>
    <row r="164">
      <c r="A164" t="n">
        <v>49695</v>
      </c>
      <c r="B164" t="n">
        <v>176</v>
      </c>
      <c r="C164" t="inlineStr">
        <is>
          <t>The Cavern</t>
        </is>
      </c>
      <c r="D164" t="inlineStr">
        <is>
          <t>Saldo Inicial</t>
        </is>
      </c>
      <c r="E164" s="27" t="n">
        <v>46054</v>
      </c>
      <c r="F164" s="27" t="n">
        <v>46054</v>
      </c>
      <c r="G164" t="n">
        <v>-531099.79</v>
      </c>
    </row>
    <row r="165">
      <c r="A165" t="n">
        <v>49697</v>
      </c>
      <c r="B165" t="n">
        <v>176</v>
      </c>
      <c r="C165" t="inlineStr">
        <is>
          <t>The Cavern</t>
        </is>
      </c>
      <c r="D165" t="inlineStr">
        <is>
          <t>Saldo Inicial</t>
        </is>
      </c>
      <c r="E165" s="27" t="n">
        <v>46054</v>
      </c>
      <c r="F165" s="27" t="n">
        <v>46054</v>
      </c>
      <c r="G165" t="n">
        <v>0</v>
      </c>
    </row>
    <row r="166">
      <c r="A166" t="n">
        <v>49696</v>
      </c>
      <c r="B166" t="n">
        <v>176</v>
      </c>
      <c r="C166" t="inlineStr">
        <is>
          <t>The Cavern</t>
        </is>
      </c>
      <c r="D166" t="inlineStr">
        <is>
          <t>Saque</t>
        </is>
      </c>
      <c r="E166" s="27" t="n">
        <v>46054</v>
      </c>
      <c r="F166" s="27" t="n">
        <v>46054</v>
      </c>
      <c r="G166" t="n">
        <v>-14591.9</v>
      </c>
    </row>
    <row r="167">
      <c r="A167" t="n">
        <v>49672</v>
      </c>
      <c r="B167" t="n">
        <v>176</v>
      </c>
      <c r="C167" t="inlineStr">
        <is>
          <t>The Cavern</t>
        </is>
      </c>
      <c r="D167" t="inlineStr">
        <is>
          <t>Saldo Inicial</t>
        </is>
      </c>
      <c r="E167" s="27" t="n">
        <v>46053</v>
      </c>
      <c r="F167" s="27" t="n">
        <v>46053</v>
      </c>
      <c r="G167" t="n">
        <v>-493870.71</v>
      </c>
    </row>
    <row r="168">
      <c r="A168" t="n">
        <v>49673</v>
      </c>
      <c r="B168" t="n">
        <v>176</v>
      </c>
      <c r="C168" t="inlineStr">
        <is>
          <t>The Cavern</t>
        </is>
      </c>
      <c r="D168" t="inlineStr">
        <is>
          <t>Saque</t>
        </is>
      </c>
      <c r="E168" s="27" t="n">
        <v>46053</v>
      </c>
      <c r="F168" s="27" t="n">
        <v>46053</v>
      </c>
      <c r="G168" t="n">
        <v>-37229.08</v>
      </c>
    </row>
    <row r="169">
      <c r="A169" t="n">
        <v>49674</v>
      </c>
      <c r="B169" t="n">
        <v>176</v>
      </c>
      <c r="C169" t="inlineStr">
        <is>
          <t>The Cavern</t>
        </is>
      </c>
      <c r="D169" t="inlineStr">
        <is>
          <t>Saldo Inicial</t>
        </is>
      </c>
      <c r="E169" s="27" t="n">
        <v>46053</v>
      </c>
      <c r="F169" s="27" t="n">
        <v>46053</v>
      </c>
      <c r="G169" t="n">
        <v>0</v>
      </c>
    </row>
    <row r="170">
      <c r="A170" t="n">
        <v>49656</v>
      </c>
      <c r="B170" t="n">
        <v>176</v>
      </c>
      <c r="C170" t="inlineStr">
        <is>
          <t>The Cavern</t>
        </is>
      </c>
      <c r="D170" t="inlineStr">
        <is>
          <t>Saldo Inicial</t>
        </is>
      </c>
      <c r="E170" s="27" t="n">
        <v>46052</v>
      </c>
      <c r="F170" s="27" t="n">
        <v>46052</v>
      </c>
      <c r="G170" t="n">
        <v>-482975.96</v>
      </c>
    </row>
    <row r="171">
      <c r="A171" t="n">
        <v>49657</v>
      </c>
      <c r="B171" t="n">
        <v>176</v>
      </c>
      <c r="C171" t="inlineStr">
        <is>
          <t>The Cavern</t>
        </is>
      </c>
      <c r="D171" t="inlineStr">
        <is>
          <t>Saque</t>
        </is>
      </c>
      <c r="E171" s="27" t="n">
        <v>46052</v>
      </c>
      <c r="F171" s="27" t="n">
        <v>46052</v>
      </c>
      <c r="G171" t="n">
        <v>-10894.75</v>
      </c>
    </row>
    <row r="172">
      <c r="A172" t="n">
        <v>49658</v>
      </c>
      <c r="B172" t="n">
        <v>176</v>
      </c>
      <c r="C172" t="inlineStr">
        <is>
          <t>The Cavern</t>
        </is>
      </c>
      <c r="D172" t="inlineStr">
        <is>
          <t>Saldo Inicial</t>
        </is>
      </c>
      <c r="E172" s="27" t="n">
        <v>46052</v>
      </c>
      <c r="F172" s="27" t="n">
        <v>46052</v>
      </c>
      <c r="G172" t="n">
        <v>0</v>
      </c>
    </row>
    <row r="173">
      <c r="A173" t="n">
        <v>49624</v>
      </c>
      <c r="B173" t="n">
        <v>176</v>
      </c>
      <c r="C173" t="inlineStr">
        <is>
          <t>The Cavern</t>
        </is>
      </c>
      <c r="D173" t="inlineStr">
        <is>
          <t>Saldo Inicial</t>
        </is>
      </c>
      <c r="E173" s="27" t="n">
        <v>46051</v>
      </c>
      <c r="F173" s="27" t="n">
        <v>46051</v>
      </c>
      <c r="G173" t="n">
        <v>-480916.08</v>
      </c>
    </row>
    <row r="174">
      <c r="A174" t="n">
        <v>49625</v>
      </c>
      <c r="B174" t="n">
        <v>176</v>
      </c>
      <c r="C174" t="inlineStr">
        <is>
          <t>The Cavern</t>
        </is>
      </c>
      <c r="D174" t="inlineStr">
        <is>
          <t>Saque</t>
        </is>
      </c>
      <c r="E174" s="27" t="n">
        <v>46051</v>
      </c>
      <c r="F174" s="27" t="n">
        <v>46051</v>
      </c>
      <c r="G174" t="n">
        <v>-2059.88</v>
      </c>
    </row>
    <row r="175">
      <c r="A175" t="n">
        <v>49626</v>
      </c>
      <c r="B175" t="n">
        <v>176</v>
      </c>
      <c r="C175" t="inlineStr">
        <is>
          <t>The Cavern</t>
        </is>
      </c>
      <c r="D175" t="inlineStr">
        <is>
          <t>Saldo Inicial</t>
        </is>
      </c>
      <c r="E175" s="27" t="n">
        <v>46051</v>
      </c>
      <c r="F175" s="27" t="n">
        <v>46051</v>
      </c>
      <c r="G175" t="n">
        <v>0</v>
      </c>
    </row>
    <row r="176">
      <c r="A176" t="n">
        <v>49593</v>
      </c>
      <c r="B176" t="n">
        <v>176</v>
      </c>
      <c r="C176" t="inlineStr">
        <is>
          <t>The Cavern</t>
        </is>
      </c>
      <c r="D176" t="inlineStr">
        <is>
          <t>Saque</t>
        </is>
      </c>
      <c r="E176" s="27" t="n">
        <v>46050</v>
      </c>
      <c r="F176" s="27" t="n">
        <v>46050</v>
      </c>
      <c r="G176" t="n">
        <v>-3813.44</v>
      </c>
    </row>
    <row r="177">
      <c r="A177" t="n">
        <v>49592</v>
      </c>
      <c r="B177" t="n">
        <v>176</v>
      </c>
      <c r="C177" t="inlineStr">
        <is>
          <t>The Cavern</t>
        </is>
      </c>
      <c r="D177" t="inlineStr">
        <is>
          <t>Saldo Inicial</t>
        </is>
      </c>
      <c r="E177" s="27" t="n">
        <v>46050</v>
      </c>
      <c r="F177" s="27" t="n">
        <v>46050</v>
      </c>
      <c r="G177" t="n">
        <v>-477102.64</v>
      </c>
    </row>
    <row r="178">
      <c r="A178" t="n">
        <v>49594</v>
      </c>
      <c r="B178" t="n">
        <v>176</v>
      </c>
      <c r="C178" t="inlineStr">
        <is>
          <t>The Cavern</t>
        </is>
      </c>
      <c r="D178" t="inlineStr">
        <is>
          <t>Saldo Inicial</t>
        </is>
      </c>
      <c r="E178" s="27" t="n">
        <v>46050</v>
      </c>
      <c r="F178" s="27" t="n">
        <v>46050</v>
      </c>
      <c r="G178" t="n">
        <v>0</v>
      </c>
    </row>
    <row r="179">
      <c r="A179" t="n">
        <v>49554</v>
      </c>
      <c r="B179" t="n">
        <v>176</v>
      </c>
      <c r="C179" t="inlineStr">
        <is>
          <t>The Cavern</t>
        </is>
      </c>
      <c r="D179" t="inlineStr">
        <is>
          <t>Saldo Inicial</t>
        </is>
      </c>
      <c r="E179" s="27" t="n">
        <v>46049</v>
      </c>
      <c r="F179" s="27" t="n">
        <v>46049</v>
      </c>
      <c r="G179" t="n">
        <v>-476321.59</v>
      </c>
    </row>
    <row r="180">
      <c r="A180" t="n">
        <v>49555</v>
      </c>
      <c r="B180" t="n">
        <v>176</v>
      </c>
      <c r="C180" t="inlineStr">
        <is>
          <t>The Cavern</t>
        </is>
      </c>
      <c r="D180" t="inlineStr">
        <is>
          <t>Saque</t>
        </is>
      </c>
      <c r="E180" s="27" t="n">
        <v>46049</v>
      </c>
      <c r="F180" s="27" t="n">
        <v>46049</v>
      </c>
      <c r="G180" t="n">
        <v>-781.05</v>
      </c>
    </row>
    <row r="181">
      <c r="A181" t="n">
        <v>49556</v>
      </c>
      <c r="B181" t="n">
        <v>176</v>
      </c>
      <c r="C181" t="inlineStr">
        <is>
          <t>The Cavern</t>
        </is>
      </c>
      <c r="D181" t="inlineStr">
        <is>
          <t>Saldo Inicial</t>
        </is>
      </c>
      <c r="E181" s="27" t="n">
        <v>46049</v>
      </c>
      <c r="F181" s="27" t="n">
        <v>46049</v>
      </c>
      <c r="G181" t="n">
        <v>0</v>
      </c>
    </row>
    <row r="182">
      <c r="A182" t="n">
        <v>49523</v>
      </c>
      <c r="B182" t="n">
        <v>176</v>
      </c>
      <c r="C182" t="inlineStr">
        <is>
          <t>The Cavern</t>
        </is>
      </c>
      <c r="D182" t="inlineStr">
        <is>
          <t>Saldo Inicial</t>
        </is>
      </c>
      <c r="E182" s="27" t="n">
        <v>46048</v>
      </c>
      <c r="F182" s="27" t="n">
        <v>46048</v>
      </c>
      <c r="G182" t="n">
        <v>0</v>
      </c>
    </row>
    <row r="183">
      <c r="A183" t="n">
        <v>49522</v>
      </c>
      <c r="B183" t="n">
        <v>176</v>
      </c>
      <c r="C183" t="inlineStr">
        <is>
          <t>The Cavern</t>
        </is>
      </c>
      <c r="D183" t="inlineStr">
        <is>
          <t>Saque</t>
        </is>
      </c>
      <c r="E183" s="27" t="n">
        <v>46048</v>
      </c>
      <c r="F183" s="27" t="n">
        <v>46048</v>
      </c>
      <c r="G183" t="n">
        <v>-1262.65</v>
      </c>
    </row>
    <row r="184">
      <c r="A184" t="n">
        <v>49521</v>
      </c>
      <c r="B184" t="n">
        <v>176</v>
      </c>
      <c r="C184" t="inlineStr">
        <is>
          <t>The Cavern</t>
        </is>
      </c>
      <c r="D184" t="inlineStr">
        <is>
          <t>Saldo Inicial</t>
        </is>
      </c>
      <c r="E184" s="27" t="n">
        <v>46048</v>
      </c>
      <c r="F184" s="27" t="n">
        <v>46048</v>
      </c>
      <c r="G184" t="n">
        <v>-475058.94</v>
      </c>
    </row>
    <row r="185">
      <c r="A185" t="n">
        <v>49483</v>
      </c>
      <c r="B185" t="n">
        <v>176</v>
      </c>
      <c r="C185" t="inlineStr">
        <is>
          <t>The Cavern</t>
        </is>
      </c>
      <c r="D185" t="inlineStr">
        <is>
          <t>Saldo Inicial</t>
        </is>
      </c>
      <c r="E185" s="27" t="n">
        <v>46047</v>
      </c>
      <c r="F185" s="27" t="n">
        <v>46047</v>
      </c>
      <c r="G185" t="n">
        <v>0</v>
      </c>
    </row>
    <row r="186">
      <c r="A186" t="n">
        <v>49482</v>
      </c>
      <c r="B186" t="n">
        <v>176</v>
      </c>
      <c r="C186" t="inlineStr">
        <is>
          <t>The Cavern</t>
        </is>
      </c>
      <c r="D186" t="inlineStr">
        <is>
          <t>Saque</t>
        </is>
      </c>
      <c r="E186" s="27" t="n">
        <v>46047</v>
      </c>
      <c r="F186" s="27" t="n">
        <v>46047</v>
      </c>
      <c r="G186" t="n">
        <v>-2179.4</v>
      </c>
    </row>
    <row r="187">
      <c r="A187" t="n">
        <v>49481</v>
      </c>
      <c r="B187" t="n">
        <v>176</v>
      </c>
      <c r="C187" t="inlineStr">
        <is>
          <t>The Cavern</t>
        </is>
      </c>
      <c r="D187" t="inlineStr">
        <is>
          <t>Saldo Inicial</t>
        </is>
      </c>
      <c r="E187" s="27" t="n">
        <v>46047</v>
      </c>
      <c r="F187" s="27" t="n">
        <v>46047</v>
      </c>
      <c r="G187" t="n">
        <v>-472879.54</v>
      </c>
    </row>
    <row r="188">
      <c r="A188" t="n">
        <v>49460</v>
      </c>
      <c r="B188" t="n">
        <v>176</v>
      </c>
      <c r="C188" t="inlineStr">
        <is>
          <t>The Cavern</t>
        </is>
      </c>
      <c r="D188" t="inlineStr">
        <is>
          <t>Saldo Inicial</t>
        </is>
      </c>
      <c r="E188" s="27" t="n">
        <v>46046</v>
      </c>
      <c r="F188" s="27" t="n">
        <v>46046</v>
      </c>
      <c r="G188" t="n">
        <v>0</v>
      </c>
    </row>
    <row r="189">
      <c r="A189" t="n">
        <v>49458</v>
      </c>
      <c r="B189" t="n">
        <v>176</v>
      </c>
      <c r="C189" t="inlineStr">
        <is>
          <t>The Cavern</t>
        </is>
      </c>
      <c r="D189" t="inlineStr">
        <is>
          <t>Saldo Inicial</t>
        </is>
      </c>
      <c r="E189" s="27" t="n">
        <v>46046</v>
      </c>
      <c r="F189" s="27" t="n">
        <v>46046</v>
      </c>
      <c r="G189" t="n">
        <v>-455174.53</v>
      </c>
    </row>
    <row r="190">
      <c r="A190" t="n">
        <v>49459</v>
      </c>
      <c r="B190" t="n">
        <v>176</v>
      </c>
      <c r="C190" t="inlineStr">
        <is>
          <t>The Cavern</t>
        </is>
      </c>
      <c r="D190" t="inlineStr">
        <is>
          <t>Saque</t>
        </is>
      </c>
      <c r="E190" s="27" t="n">
        <v>46046</v>
      </c>
      <c r="F190" s="27" t="n">
        <v>46046</v>
      </c>
      <c r="G190" t="n">
        <v>-17705.01</v>
      </c>
    </row>
    <row r="191">
      <c r="A191" t="n">
        <v>49435</v>
      </c>
      <c r="B191" t="n">
        <v>176</v>
      </c>
      <c r="C191" t="inlineStr">
        <is>
          <t>The Cavern</t>
        </is>
      </c>
      <c r="D191" t="inlineStr">
        <is>
          <t>Saldo Inicial</t>
        </is>
      </c>
      <c r="E191" s="27" t="n">
        <v>46045</v>
      </c>
      <c r="F191" s="27" t="n">
        <v>46045</v>
      </c>
      <c r="G191" t="n">
        <v>-438214.83</v>
      </c>
    </row>
    <row r="192">
      <c r="A192" t="n">
        <v>49436</v>
      </c>
      <c r="B192" t="n">
        <v>176</v>
      </c>
      <c r="C192" t="inlineStr">
        <is>
          <t>The Cavern</t>
        </is>
      </c>
      <c r="D192" t="inlineStr">
        <is>
          <t>Saque</t>
        </is>
      </c>
      <c r="E192" s="27" t="n">
        <v>46045</v>
      </c>
      <c r="F192" s="27" t="n">
        <v>46045</v>
      </c>
      <c r="G192" t="n">
        <v>-16959.7</v>
      </c>
    </row>
    <row r="193">
      <c r="A193" t="n">
        <v>49437</v>
      </c>
      <c r="B193" t="n">
        <v>176</v>
      </c>
      <c r="C193" t="inlineStr">
        <is>
          <t>The Cavern</t>
        </is>
      </c>
      <c r="D193" t="inlineStr">
        <is>
          <t>Saldo Inicial</t>
        </is>
      </c>
      <c r="E193" s="27" t="n">
        <v>46045</v>
      </c>
      <c r="F193" s="27" t="n">
        <v>46045</v>
      </c>
      <c r="G193" t="n">
        <v>0</v>
      </c>
    </row>
    <row r="194">
      <c r="A194" t="n">
        <v>49405</v>
      </c>
      <c r="B194" t="n">
        <v>176</v>
      </c>
      <c r="C194" t="inlineStr">
        <is>
          <t>The Cavern</t>
        </is>
      </c>
      <c r="D194" t="inlineStr">
        <is>
          <t>Saldo Inicial</t>
        </is>
      </c>
      <c r="E194" s="27" t="n">
        <v>46044</v>
      </c>
      <c r="F194" s="27" t="n">
        <v>46044</v>
      </c>
      <c r="G194" t="n">
        <v>0</v>
      </c>
    </row>
    <row r="195">
      <c r="A195" t="n">
        <v>49404</v>
      </c>
      <c r="B195" t="n">
        <v>176</v>
      </c>
      <c r="C195" t="inlineStr">
        <is>
          <t>The Cavern</t>
        </is>
      </c>
      <c r="D195" t="inlineStr">
        <is>
          <t>Saque</t>
        </is>
      </c>
      <c r="E195" s="27" t="n">
        <v>46044</v>
      </c>
      <c r="F195" s="27" t="n">
        <v>46044</v>
      </c>
      <c r="G195" t="n">
        <v>-2859.96</v>
      </c>
    </row>
    <row r="196">
      <c r="A196" t="n">
        <v>49403</v>
      </c>
      <c r="B196" t="n">
        <v>176</v>
      </c>
      <c r="C196" t="inlineStr">
        <is>
          <t>The Cavern</t>
        </is>
      </c>
      <c r="D196" t="inlineStr">
        <is>
          <t>Saldo Inicial</t>
        </is>
      </c>
      <c r="E196" s="27" t="n">
        <v>46044</v>
      </c>
      <c r="F196" s="27" t="n">
        <v>46044</v>
      </c>
      <c r="G196" t="n">
        <v>-435354.87</v>
      </c>
    </row>
    <row r="197">
      <c r="A197" t="n">
        <v>49371</v>
      </c>
      <c r="B197" t="n">
        <v>176</v>
      </c>
      <c r="C197" t="inlineStr">
        <is>
          <t>The Cavern</t>
        </is>
      </c>
      <c r="D197" t="inlineStr">
        <is>
          <t>Saldo Inicial</t>
        </is>
      </c>
      <c r="E197" s="27" t="n">
        <v>46043</v>
      </c>
      <c r="F197" s="27" t="n">
        <v>46043</v>
      </c>
      <c r="G197" t="n">
        <v>-433966.78</v>
      </c>
    </row>
    <row r="198">
      <c r="A198" t="n">
        <v>49373</v>
      </c>
      <c r="B198" t="n">
        <v>176</v>
      </c>
      <c r="C198" t="inlineStr">
        <is>
          <t>The Cavern</t>
        </is>
      </c>
      <c r="D198" t="inlineStr">
        <is>
          <t>Saldo Inicial</t>
        </is>
      </c>
      <c r="E198" s="27" t="n">
        <v>46043</v>
      </c>
      <c r="F198" s="27" t="n">
        <v>46043</v>
      </c>
      <c r="G198" t="n">
        <v>0</v>
      </c>
    </row>
    <row r="199">
      <c r="A199" t="n">
        <v>49372</v>
      </c>
      <c r="B199" t="n">
        <v>176</v>
      </c>
      <c r="C199" t="inlineStr">
        <is>
          <t>The Cavern</t>
        </is>
      </c>
      <c r="D199" t="inlineStr">
        <is>
          <t>Saque</t>
        </is>
      </c>
      <c r="E199" s="27" t="n">
        <v>46043</v>
      </c>
      <c r="F199" s="27" t="n">
        <v>46043</v>
      </c>
      <c r="G199" t="n">
        <v>-1388.09</v>
      </c>
    </row>
    <row r="200">
      <c r="A200" t="n">
        <v>49336</v>
      </c>
      <c r="B200" t="n">
        <v>176</v>
      </c>
      <c r="C200" t="inlineStr">
        <is>
          <t>The Cavern</t>
        </is>
      </c>
      <c r="D200" t="inlineStr">
        <is>
          <t>Saldo Inicial</t>
        </is>
      </c>
      <c r="E200" s="27" t="n">
        <v>46042</v>
      </c>
      <c r="F200" s="27" t="n">
        <v>46042</v>
      </c>
      <c r="G200" t="n">
        <v>0</v>
      </c>
    </row>
    <row r="201">
      <c r="A201" t="n">
        <v>49335</v>
      </c>
      <c r="B201" t="n">
        <v>176</v>
      </c>
      <c r="C201" t="inlineStr">
        <is>
          <t>The Cavern</t>
        </is>
      </c>
      <c r="D201" t="inlineStr">
        <is>
          <t>Saldo Inicial</t>
        </is>
      </c>
      <c r="E201" s="27" t="n">
        <v>46042</v>
      </c>
      <c r="F201" s="27" t="n">
        <v>46042</v>
      </c>
      <c r="G201" t="n">
        <v>-433966.78</v>
      </c>
    </row>
    <row r="202">
      <c r="A202" t="n">
        <v>49298</v>
      </c>
      <c r="B202" t="n">
        <v>176</v>
      </c>
      <c r="C202" t="inlineStr">
        <is>
          <t>The Cavern</t>
        </is>
      </c>
      <c r="D202" t="inlineStr">
        <is>
          <t>Saque</t>
        </is>
      </c>
      <c r="E202" s="27" t="n">
        <v>46041</v>
      </c>
      <c r="F202" s="27" t="n">
        <v>46041</v>
      </c>
      <c r="G202" t="n">
        <v>-765.75</v>
      </c>
    </row>
    <row r="203">
      <c r="A203" t="n">
        <v>49297</v>
      </c>
      <c r="B203" t="n">
        <v>176</v>
      </c>
      <c r="C203" t="inlineStr">
        <is>
          <t>The Cavern</t>
        </is>
      </c>
      <c r="D203" t="inlineStr">
        <is>
          <t>Saldo Inicial</t>
        </is>
      </c>
      <c r="E203" s="27" t="n">
        <v>46041</v>
      </c>
      <c r="F203" s="27" t="n">
        <v>46041</v>
      </c>
      <c r="G203" t="n">
        <v>-433201.03</v>
      </c>
    </row>
    <row r="204">
      <c r="A204" t="n">
        <v>49258</v>
      </c>
      <c r="B204" t="n">
        <v>176</v>
      </c>
      <c r="C204" t="inlineStr">
        <is>
          <t>The Cavern</t>
        </is>
      </c>
      <c r="D204" t="inlineStr">
        <is>
          <t>Saque</t>
        </is>
      </c>
      <c r="E204" s="27" t="n">
        <v>46040</v>
      </c>
      <c r="F204" s="27" t="n">
        <v>46040</v>
      </c>
      <c r="G204" t="n">
        <v>-63.6</v>
      </c>
    </row>
    <row r="205">
      <c r="A205" t="n">
        <v>49257</v>
      </c>
      <c r="B205" t="n">
        <v>176</v>
      </c>
      <c r="C205" t="inlineStr">
        <is>
          <t>The Cavern</t>
        </is>
      </c>
      <c r="D205" t="inlineStr">
        <is>
          <t>Saque</t>
        </is>
      </c>
      <c r="E205" s="27" t="n">
        <v>46040</v>
      </c>
      <c r="F205" s="27" t="n">
        <v>46040</v>
      </c>
      <c r="G205" t="n">
        <v>-23431.08</v>
      </c>
    </row>
    <row r="206">
      <c r="A206" t="n">
        <v>49256</v>
      </c>
      <c r="B206" t="n">
        <v>176</v>
      </c>
      <c r="C206" t="inlineStr">
        <is>
          <t>The Cavern</t>
        </is>
      </c>
      <c r="D206" t="inlineStr">
        <is>
          <t>Saldo Inicial</t>
        </is>
      </c>
      <c r="E206" s="27" t="n">
        <v>46040</v>
      </c>
      <c r="F206" s="27" t="n">
        <v>46040</v>
      </c>
      <c r="G206" t="n">
        <v>-409706.35</v>
      </c>
    </row>
    <row r="207">
      <c r="A207" t="n">
        <v>49234</v>
      </c>
      <c r="B207" t="n">
        <v>176</v>
      </c>
      <c r="C207" t="inlineStr">
        <is>
          <t>The Cavern</t>
        </is>
      </c>
      <c r="D207" t="inlineStr">
        <is>
          <t>Saldo Inicial</t>
        </is>
      </c>
      <c r="E207" s="27" t="n">
        <v>46039</v>
      </c>
      <c r="F207" s="27" t="n">
        <v>46039</v>
      </c>
      <c r="G207" t="n">
        <v>-388635.16</v>
      </c>
    </row>
    <row r="208">
      <c r="A208" t="n">
        <v>49235</v>
      </c>
      <c r="B208" t="n">
        <v>176</v>
      </c>
      <c r="C208" t="inlineStr">
        <is>
          <t>The Cavern</t>
        </is>
      </c>
      <c r="D208" t="inlineStr">
        <is>
          <t>Saque</t>
        </is>
      </c>
      <c r="E208" s="27" t="n">
        <v>46039</v>
      </c>
      <c r="F208" s="27" t="n">
        <v>46039</v>
      </c>
      <c r="G208" t="n">
        <v>-21071.19</v>
      </c>
    </row>
    <row r="209">
      <c r="A209" t="n">
        <v>49213</v>
      </c>
      <c r="B209" t="n">
        <v>176</v>
      </c>
      <c r="C209" t="inlineStr">
        <is>
          <t>The Cavern</t>
        </is>
      </c>
      <c r="D209" t="inlineStr">
        <is>
          <t>Saque</t>
        </is>
      </c>
      <c r="E209" s="27" t="n">
        <v>46038</v>
      </c>
      <c r="F209" s="27" t="n">
        <v>46038</v>
      </c>
      <c r="G209" t="n">
        <v>-7299.98</v>
      </c>
    </row>
    <row r="210">
      <c r="A210" t="n">
        <v>49212</v>
      </c>
      <c r="B210" t="n">
        <v>176</v>
      </c>
      <c r="C210" t="inlineStr">
        <is>
          <t>The Cavern</t>
        </is>
      </c>
      <c r="D210" t="inlineStr">
        <is>
          <t>Saldo Inicial</t>
        </is>
      </c>
      <c r="E210" s="27" t="n">
        <v>46038</v>
      </c>
      <c r="F210" s="27" t="n">
        <v>46038</v>
      </c>
      <c r="G210" t="n">
        <v>-381335.18</v>
      </c>
    </row>
    <row r="211">
      <c r="A211" t="n">
        <v>49186</v>
      </c>
      <c r="B211" t="n">
        <v>176</v>
      </c>
      <c r="C211" t="inlineStr">
        <is>
          <t>The Cavern</t>
        </is>
      </c>
      <c r="D211" t="inlineStr">
        <is>
          <t>Saldo Inicial</t>
        </is>
      </c>
      <c r="E211" s="27" t="n">
        <v>46037</v>
      </c>
      <c r="F211" s="27" t="n">
        <v>46037</v>
      </c>
      <c r="G211" t="n">
        <v>-381335.18</v>
      </c>
    </row>
    <row r="212">
      <c r="A212" t="n">
        <v>49156</v>
      </c>
      <c r="B212" t="n">
        <v>176</v>
      </c>
      <c r="C212" t="inlineStr">
        <is>
          <t>The Cavern</t>
        </is>
      </c>
      <c r="D212" t="inlineStr">
        <is>
          <t>Saldo Inicial</t>
        </is>
      </c>
      <c r="E212" s="27" t="n">
        <v>46036</v>
      </c>
      <c r="F212" s="27" t="n">
        <v>46036</v>
      </c>
      <c r="G212" t="n">
        <v>-381335.18</v>
      </c>
    </row>
    <row r="213">
      <c r="A213" t="n">
        <v>49127</v>
      </c>
      <c r="B213" t="n">
        <v>176</v>
      </c>
      <c r="C213" t="inlineStr">
        <is>
          <t>The Cavern</t>
        </is>
      </c>
      <c r="D213" t="inlineStr">
        <is>
          <t>Saldo Inicial</t>
        </is>
      </c>
      <c r="E213" s="27" t="n">
        <v>46035</v>
      </c>
      <c r="F213" s="27" t="n">
        <v>46035</v>
      </c>
      <c r="G213" t="n">
        <v>-381335.18</v>
      </c>
    </row>
    <row r="214">
      <c r="A214" t="n">
        <v>49092</v>
      </c>
      <c r="B214" t="n">
        <v>176</v>
      </c>
      <c r="C214" t="inlineStr">
        <is>
          <t>The Cavern</t>
        </is>
      </c>
      <c r="D214" t="inlineStr">
        <is>
          <t>Saldo Inicial</t>
        </is>
      </c>
      <c r="E214" s="27" t="n">
        <v>46034</v>
      </c>
      <c r="F214" s="27" t="n">
        <v>46034</v>
      </c>
      <c r="G214" t="n">
        <v>-381335.18</v>
      </c>
    </row>
    <row r="215">
      <c r="A215" t="n">
        <v>49056</v>
      </c>
      <c r="B215" t="n">
        <v>176</v>
      </c>
      <c r="C215" t="inlineStr">
        <is>
          <t>The Cavern</t>
        </is>
      </c>
      <c r="D215" t="inlineStr">
        <is>
          <t>Saldo Inicial</t>
        </is>
      </c>
      <c r="E215" s="27" t="n">
        <v>46033</v>
      </c>
      <c r="F215" s="27" t="n">
        <v>46033</v>
      </c>
      <c r="G215" t="n">
        <v>-356071.23</v>
      </c>
    </row>
    <row r="216">
      <c r="A216" t="n">
        <v>49057</v>
      </c>
      <c r="B216" t="n">
        <v>176</v>
      </c>
      <c r="C216" t="inlineStr">
        <is>
          <t>The Cavern</t>
        </is>
      </c>
      <c r="D216" t="inlineStr">
        <is>
          <t>Saque</t>
        </is>
      </c>
      <c r="E216" s="27" t="n">
        <v>46033</v>
      </c>
      <c r="F216" s="27" t="n">
        <v>46033</v>
      </c>
      <c r="G216" t="n">
        <v>-25263.95</v>
      </c>
    </row>
    <row r="217">
      <c r="A217" t="n">
        <v>49035</v>
      </c>
      <c r="B217" t="n">
        <v>176</v>
      </c>
      <c r="C217" t="inlineStr">
        <is>
          <t>The Cavern</t>
        </is>
      </c>
      <c r="D217" t="inlineStr">
        <is>
          <t>Saque</t>
        </is>
      </c>
      <c r="E217" s="27" t="n">
        <v>46032</v>
      </c>
      <c r="F217" s="27" t="n">
        <v>46032</v>
      </c>
      <c r="G217" t="n">
        <v>-20998.56</v>
      </c>
    </row>
    <row r="218">
      <c r="A218" t="n">
        <v>49034</v>
      </c>
      <c r="B218" t="n">
        <v>176</v>
      </c>
      <c r="C218" t="inlineStr">
        <is>
          <t>The Cavern</t>
        </is>
      </c>
      <c r="D218" t="inlineStr">
        <is>
          <t>Saldo Inicial</t>
        </is>
      </c>
      <c r="E218" s="27" t="n">
        <v>46032</v>
      </c>
      <c r="F218" s="27" t="n">
        <v>46032</v>
      </c>
      <c r="G218" t="n">
        <v>-335072.67</v>
      </c>
    </row>
    <row r="219">
      <c r="A219" t="n">
        <v>49013</v>
      </c>
      <c r="B219" t="n">
        <v>176</v>
      </c>
      <c r="C219" t="inlineStr">
        <is>
          <t>The Cavern</t>
        </is>
      </c>
      <c r="D219" t="inlineStr">
        <is>
          <t>Saque</t>
        </is>
      </c>
      <c r="E219" s="27" t="n">
        <v>46031</v>
      </c>
      <c r="F219" s="27" t="n">
        <v>46031</v>
      </c>
      <c r="G219" t="n">
        <v>-8446.25</v>
      </c>
    </row>
    <row r="220">
      <c r="A220" t="n">
        <v>49012</v>
      </c>
      <c r="B220" t="n">
        <v>176</v>
      </c>
      <c r="C220" t="inlineStr">
        <is>
          <t>The Cavern</t>
        </is>
      </c>
      <c r="D220" t="inlineStr">
        <is>
          <t>Saldo Inicial</t>
        </is>
      </c>
      <c r="E220" s="27" t="n">
        <v>46031</v>
      </c>
      <c r="F220" s="27" t="n">
        <v>46031</v>
      </c>
      <c r="G220" t="n">
        <v>-326626.42</v>
      </c>
    </row>
    <row r="221">
      <c r="A221" t="n">
        <v>48982</v>
      </c>
      <c r="B221" t="n">
        <v>176</v>
      </c>
      <c r="C221" t="inlineStr">
        <is>
          <t>The Cavern</t>
        </is>
      </c>
      <c r="D221" t="inlineStr">
        <is>
          <t>Saldo Inicial</t>
        </is>
      </c>
      <c r="E221" s="27" t="n">
        <v>46030</v>
      </c>
      <c r="F221" s="27" t="n">
        <v>46030</v>
      </c>
      <c r="G221" t="n">
        <v>-326626.42</v>
      </c>
    </row>
    <row r="222">
      <c r="A222" t="n">
        <v>48952</v>
      </c>
      <c r="B222" t="n">
        <v>176</v>
      </c>
      <c r="C222" t="inlineStr">
        <is>
          <t>The Cavern</t>
        </is>
      </c>
      <c r="D222" t="inlineStr">
        <is>
          <t>Saldo Inicial</t>
        </is>
      </c>
      <c r="E222" s="27" t="n">
        <v>46029</v>
      </c>
      <c r="F222" s="27" t="n">
        <v>46029</v>
      </c>
      <c r="G222" t="n">
        <v>-326626.42</v>
      </c>
    </row>
    <row r="223">
      <c r="A223" t="n">
        <v>48916</v>
      </c>
      <c r="B223" t="n">
        <v>176</v>
      </c>
      <c r="C223" t="inlineStr">
        <is>
          <t>The Cavern</t>
        </is>
      </c>
      <c r="D223" t="inlineStr">
        <is>
          <t>Saldo Inicial</t>
        </is>
      </c>
      <c r="E223" s="27" t="n">
        <v>46028</v>
      </c>
      <c r="F223" s="27" t="n">
        <v>46028</v>
      </c>
      <c r="G223" t="n">
        <v>-326626.42</v>
      </c>
    </row>
    <row r="224">
      <c r="A224" t="n">
        <v>48885</v>
      </c>
      <c r="B224" t="n">
        <v>176</v>
      </c>
      <c r="C224" t="inlineStr">
        <is>
          <t>The Cavern</t>
        </is>
      </c>
      <c r="D224" t="inlineStr">
        <is>
          <t>Saldo Inicial</t>
        </is>
      </c>
      <c r="E224" s="27" t="n">
        <v>46027</v>
      </c>
      <c r="F224" s="27" t="n">
        <v>46027</v>
      </c>
      <c r="G224" t="n">
        <v>-326626.42</v>
      </c>
    </row>
    <row r="225">
      <c r="A225" t="n">
        <v>48843</v>
      </c>
      <c r="B225" t="n">
        <v>176</v>
      </c>
      <c r="C225" t="inlineStr">
        <is>
          <t>The Cavern</t>
        </is>
      </c>
      <c r="D225" t="inlineStr">
        <is>
          <t>Saldo Inicial</t>
        </is>
      </c>
      <c r="E225" s="27" t="n">
        <v>46026</v>
      </c>
      <c r="F225" s="27" t="n">
        <v>46026</v>
      </c>
      <c r="G225" t="n">
        <v>-326626.42</v>
      </c>
    </row>
    <row r="226">
      <c r="A226" t="n">
        <v>48822</v>
      </c>
      <c r="B226" t="n">
        <v>176</v>
      </c>
      <c r="C226" t="inlineStr">
        <is>
          <t>The Cavern</t>
        </is>
      </c>
      <c r="D226" t="inlineStr">
        <is>
          <t>Saldo Inicial</t>
        </is>
      </c>
      <c r="E226" s="27" t="n">
        <v>46025</v>
      </c>
      <c r="F226" s="27" t="n">
        <v>46025</v>
      </c>
      <c r="G226" t="n">
        <v>-326626.42</v>
      </c>
    </row>
    <row r="227">
      <c r="A227" t="n">
        <v>48801</v>
      </c>
      <c r="B227" t="n">
        <v>176</v>
      </c>
      <c r="C227" t="inlineStr">
        <is>
          <t>The Cavern</t>
        </is>
      </c>
      <c r="D227" t="inlineStr">
        <is>
          <t>Saldo Inicial</t>
        </is>
      </c>
      <c r="E227" s="27" t="n">
        <v>46024</v>
      </c>
      <c r="F227" s="27" t="n">
        <v>46024</v>
      </c>
      <c r="G227" t="n">
        <v>-326626.42</v>
      </c>
    </row>
    <row r="228">
      <c r="A228" t="n">
        <v>48771</v>
      </c>
      <c r="B228" t="n">
        <v>176</v>
      </c>
      <c r="C228" t="inlineStr">
        <is>
          <t>The Cavern</t>
        </is>
      </c>
      <c r="D228" t="inlineStr">
        <is>
          <t>Saldo Inicial</t>
        </is>
      </c>
      <c r="E228" s="27" t="n">
        <v>46023</v>
      </c>
      <c r="F228" s="27" t="n">
        <v>46023</v>
      </c>
      <c r="G228" t="n">
        <v>-326626.42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ID_Casa</t>
        </is>
      </c>
      <c r="B1" t="inlineStr">
        <is>
          <t>Casa</t>
        </is>
      </c>
      <c r="C1" t="inlineStr">
        <is>
          <t>Data_Venda</t>
        </is>
      </c>
      <c r="D1" t="inlineStr">
        <is>
          <t>Valor</t>
        </is>
      </c>
      <c r="E1" t="inlineStr">
        <is>
          <t>Tipo_Pagamento</t>
        </is>
      </c>
    </row>
    <row r="2">
      <c r="A2" t="n">
        <v>176</v>
      </c>
      <c r="B2" t="inlineStr">
        <is>
          <t>The Cavern</t>
        </is>
      </c>
      <c r="C2" s="27" t="n">
        <v>46099</v>
      </c>
      <c r="D2" t="n">
        <v>0</v>
      </c>
      <c r="E2" t="inlineStr">
        <is>
          <t>DELIVERY ONLINE</t>
        </is>
      </c>
    </row>
    <row r="3">
      <c r="A3" t="n">
        <v>176</v>
      </c>
      <c r="B3" t="inlineStr">
        <is>
          <t>The Cavern</t>
        </is>
      </c>
      <c r="C3" s="27" t="n">
        <v>46099</v>
      </c>
      <c r="D3" t="n">
        <v>300.58</v>
      </c>
      <c r="E3" t="inlineStr">
        <is>
          <t>DÉBITO</t>
        </is>
      </c>
    </row>
    <row r="4">
      <c r="A4" t="n">
        <v>176</v>
      </c>
      <c r="B4" t="inlineStr">
        <is>
          <t>The Cavern</t>
        </is>
      </c>
      <c r="C4" s="27" t="n">
        <v>46099</v>
      </c>
      <c r="D4" t="n">
        <v>0</v>
      </c>
      <c r="E4" t="inlineStr">
        <is>
          <t>DINHEIRO</t>
        </is>
      </c>
    </row>
    <row r="5">
      <c r="A5" t="n">
        <v>176</v>
      </c>
      <c r="B5" t="inlineStr">
        <is>
          <t>The Cavern</t>
        </is>
      </c>
      <c r="C5" s="27" t="n">
        <v>46099</v>
      </c>
      <c r="D5" t="n">
        <v>0</v>
      </c>
      <c r="E5" t="inlineStr">
        <is>
          <t>APP</t>
        </is>
      </c>
    </row>
    <row r="6">
      <c r="A6" t="n">
        <v>176</v>
      </c>
      <c r="B6" t="inlineStr">
        <is>
          <t>The Cavern</t>
        </is>
      </c>
      <c r="C6" s="27" t="n">
        <v>46099</v>
      </c>
      <c r="D6" t="n">
        <v>0</v>
      </c>
      <c r="E6" t="inlineStr">
        <is>
          <t>DELIVERY ONLINE</t>
        </is>
      </c>
    </row>
    <row r="7">
      <c r="A7" t="n">
        <v>176</v>
      </c>
      <c r="B7" t="inlineStr">
        <is>
          <t>The Cavern</t>
        </is>
      </c>
      <c r="C7" s="27" t="n">
        <v>46099</v>
      </c>
      <c r="D7" t="n">
        <v>0</v>
      </c>
      <c r="E7" t="inlineStr">
        <is>
          <t>IFOOD</t>
        </is>
      </c>
    </row>
    <row r="8">
      <c r="A8" t="n">
        <v>176</v>
      </c>
      <c r="B8" t="inlineStr">
        <is>
          <t>The Cavern</t>
        </is>
      </c>
      <c r="C8" s="27" t="n">
        <v>46099</v>
      </c>
      <c r="D8" t="n">
        <v>0</v>
      </c>
      <c r="E8" t="inlineStr">
        <is>
          <t>PIX</t>
        </is>
      </c>
    </row>
    <row r="9">
      <c r="A9" t="n">
        <v>176</v>
      </c>
      <c r="B9" t="inlineStr">
        <is>
          <t>The Cavern</t>
        </is>
      </c>
      <c r="C9" s="27" t="n">
        <v>46099</v>
      </c>
      <c r="D9" t="n">
        <v>0</v>
      </c>
      <c r="E9" t="inlineStr">
        <is>
          <t>RAPPI</t>
        </is>
      </c>
    </row>
    <row r="10">
      <c r="A10" t="n">
        <v>176</v>
      </c>
      <c r="B10" t="inlineStr">
        <is>
          <t>The Cavern</t>
        </is>
      </c>
      <c r="C10" s="27" t="n">
        <v>46099</v>
      </c>
      <c r="D10" t="n">
        <v>0</v>
      </c>
      <c r="E10" t="inlineStr">
        <is>
          <t>UBER</t>
        </is>
      </c>
    </row>
    <row r="11">
      <c r="A11" t="n">
        <v>176</v>
      </c>
      <c r="B11" t="inlineStr">
        <is>
          <t>The Cavern</t>
        </is>
      </c>
      <c r="C11" s="27" t="n">
        <v>46099</v>
      </c>
      <c r="D11" t="n">
        <v>0</v>
      </c>
      <c r="E11" t="inlineStr">
        <is>
          <t>ANTECIPADO</t>
        </is>
      </c>
    </row>
    <row r="12">
      <c r="A12" t="n">
        <v>176</v>
      </c>
      <c r="B12" t="inlineStr">
        <is>
          <t>The Cavern</t>
        </is>
      </c>
      <c r="C12" s="27" t="n">
        <v>46099</v>
      </c>
      <c r="D12" t="n">
        <v>0</v>
      </c>
      <c r="E12" t="inlineStr">
        <is>
          <t>VOUCHER</t>
        </is>
      </c>
    </row>
    <row r="13">
      <c r="A13" t="n">
        <v>176</v>
      </c>
      <c r="B13" t="inlineStr">
        <is>
          <t>The Cavern</t>
        </is>
      </c>
      <c r="C13" s="27" t="n">
        <v>46099</v>
      </c>
      <c r="D13" t="n">
        <v>3120.67</v>
      </c>
      <c r="E13" t="inlineStr">
        <is>
          <t>CRÉDITO</t>
        </is>
      </c>
    </row>
    <row r="14">
      <c r="A14" t="n">
        <v>176</v>
      </c>
      <c r="B14" t="inlineStr">
        <is>
          <t>The Cavern</t>
        </is>
      </c>
      <c r="C14" s="27" t="n">
        <v>46099</v>
      </c>
      <c r="D14" t="n">
        <v>0</v>
      </c>
      <c r="E14" t="inlineStr">
        <is>
          <t>BÔNUS</t>
        </is>
      </c>
    </row>
    <row r="15">
      <c r="A15" t="n">
        <v>176</v>
      </c>
      <c r="B15" t="inlineStr">
        <is>
          <t>The Cavern</t>
        </is>
      </c>
      <c r="C15" s="27" t="n">
        <v>46099</v>
      </c>
      <c r="D15" t="n">
        <v>0</v>
      </c>
      <c r="E15" t="inlineStr">
        <is>
          <t>ANTECIPADO</t>
        </is>
      </c>
    </row>
    <row r="16">
      <c r="A16" t="n">
        <v>176</v>
      </c>
      <c r="B16" t="inlineStr">
        <is>
          <t>The Cavern</t>
        </is>
      </c>
      <c r="C16" s="27" t="n">
        <v>46099</v>
      </c>
      <c r="D16" t="n">
        <v>0</v>
      </c>
      <c r="E16" t="inlineStr">
        <is>
          <t>OUTROS</t>
        </is>
      </c>
    </row>
    <row r="17">
      <c r="A17" t="n">
        <v>176</v>
      </c>
      <c r="B17" t="inlineStr">
        <is>
          <t>The Cavern</t>
        </is>
      </c>
      <c r="C17" s="27" t="n">
        <v>46099</v>
      </c>
      <c r="D17" t="n">
        <v>0</v>
      </c>
      <c r="E17" t="inlineStr">
        <is>
          <t>AME</t>
        </is>
      </c>
    </row>
    <row r="18">
      <c r="A18" t="n">
        <v>176</v>
      </c>
      <c r="B18" t="inlineStr">
        <is>
          <t>The Cavern</t>
        </is>
      </c>
      <c r="C18" s="27" t="n">
        <v>46099</v>
      </c>
      <c r="D18" t="n">
        <v>0</v>
      </c>
      <c r="E18" t="inlineStr">
        <is>
          <t>NOTAS MANUAIS + SERVIÇO</t>
        </is>
      </c>
    </row>
    <row r="19">
      <c r="A19" t="n">
        <v>176</v>
      </c>
      <c r="B19" t="inlineStr">
        <is>
          <t>The Cavern</t>
        </is>
      </c>
      <c r="C19" s="27" t="n">
        <v>46099</v>
      </c>
      <c r="D19" t="n">
        <v>0</v>
      </c>
      <c r="E19" t="inlineStr">
        <is>
          <t>RECARGAS DEVOLVIDAS</t>
        </is>
      </c>
    </row>
    <row r="20">
      <c r="A20" t="n">
        <v>176</v>
      </c>
      <c r="B20" t="inlineStr">
        <is>
          <t>The Cavern</t>
        </is>
      </c>
      <c r="C20" s="27" t="n">
        <v>46099</v>
      </c>
      <c r="D20" t="n">
        <v>0</v>
      </c>
      <c r="E20" t="inlineStr">
        <is>
          <t>VOUCHER INTEGRADO</t>
        </is>
      </c>
    </row>
    <row r="21">
      <c r="A21" t="n">
        <v>176</v>
      </c>
      <c r="B21" t="inlineStr">
        <is>
          <t>The Cavern</t>
        </is>
      </c>
      <c r="C21" s="27" t="n">
        <v>46099</v>
      </c>
      <c r="D21" t="n">
        <v>0</v>
      </c>
      <c r="E21" t="inlineStr">
        <is>
          <t>MBWAY</t>
        </is>
      </c>
    </row>
    <row r="22">
      <c r="A22" t="n">
        <v>176</v>
      </c>
      <c r="B22" t="inlineStr">
        <is>
          <t>The Cavern</t>
        </is>
      </c>
      <c r="C22" s="27" t="n">
        <v>46099</v>
      </c>
      <c r="D22" t="n">
        <v>0</v>
      </c>
      <c r="E22" t="inlineStr">
        <is>
          <t>MBWAY</t>
        </is>
      </c>
    </row>
    <row r="23">
      <c r="A23" t="n">
        <v>176</v>
      </c>
      <c r="B23" t="inlineStr">
        <is>
          <t>The Cavern</t>
        </is>
      </c>
      <c r="C23" s="27" t="n">
        <v>46099</v>
      </c>
      <c r="D23" t="n">
        <v>0</v>
      </c>
      <c r="E23" t="inlineStr">
        <is>
          <t>DINHEIRO</t>
        </is>
      </c>
    </row>
    <row r="24">
      <c r="A24" t="n">
        <v>176</v>
      </c>
      <c r="B24" t="inlineStr">
        <is>
          <t>The Cavern</t>
        </is>
      </c>
      <c r="C24" s="27" t="n">
        <v>46099</v>
      </c>
      <c r="D24" t="n">
        <v>0</v>
      </c>
      <c r="E24" t="inlineStr">
        <is>
          <t>APP</t>
        </is>
      </c>
    </row>
    <row r="25">
      <c r="A25" t="n">
        <v>176</v>
      </c>
      <c r="B25" t="inlineStr">
        <is>
          <t>The Cavern</t>
        </is>
      </c>
      <c r="C25" s="27" t="n">
        <v>46099</v>
      </c>
      <c r="D25" t="n">
        <v>0</v>
      </c>
      <c r="E25" t="inlineStr">
        <is>
          <t>IFOOD</t>
        </is>
      </c>
    </row>
    <row r="26">
      <c r="A26" t="n">
        <v>176</v>
      </c>
      <c r="B26" t="inlineStr">
        <is>
          <t>The Cavern</t>
        </is>
      </c>
      <c r="C26" s="27" t="n">
        <v>46099</v>
      </c>
      <c r="D26" t="n">
        <v>0</v>
      </c>
      <c r="E26" t="inlineStr">
        <is>
          <t>PIX</t>
        </is>
      </c>
    </row>
    <row r="27">
      <c r="A27" t="n">
        <v>176</v>
      </c>
      <c r="B27" t="inlineStr">
        <is>
          <t>The Cavern</t>
        </is>
      </c>
      <c r="C27" s="27" t="n">
        <v>46099</v>
      </c>
      <c r="D27" t="n">
        <v>0</v>
      </c>
      <c r="E27" t="inlineStr">
        <is>
          <t>RAPPI</t>
        </is>
      </c>
    </row>
    <row r="28">
      <c r="A28" t="n">
        <v>176</v>
      </c>
      <c r="B28" t="inlineStr">
        <is>
          <t>The Cavern</t>
        </is>
      </c>
      <c r="C28" s="27" t="n">
        <v>46099</v>
      </c>
      <c r="D28" t="n">
        <v>0</v>
      </c>
      <c r="E28" t="inlineStr">
        <is>
          <t>UBER</t>
        </is>
      </c>
    </row>
    <row r="29">
      <c r="A29" t="n">
        <v>176</v>
      </c>
      <c r="B29" t="inlineStr">
        <is>
          <t>The Cavern</t>
        </is>
      </c>
      <c r="C29" s="27" t="n">
        <v>46099</v>
      </c>
      <c r="D29" t="n">
        <v>0</v>
      </c>
      <c r="E29" t="inlineStr">
        <is>
          <t>ANTECIPADO</t>
        </is>
      </c>
    </row>
    <row r="30">
      <c r="A30" t="n">
        <v>176</v>
      </c>
      <c r="B30" t="inlineStr">
        <is>
          <t>The Cavern</t>
        </is>
      </c>
      <c r="C30" s="27" t="n">
        <v>46099</v>
      </c>
      <c r="D30" t="n">
        <v>442.48</v>
      </c>
      <c r="E30" t="inlineStr">
        <is>
          <t>VOUCHER</t>
        </is>
      </c>
    </row>
    <row r="31">
      <c r="A31" t="n">
        <v>176</v>
      </c>
      <c r="B31" t="inlineStr">
        <is>
          <t>The Cavern</t>
        </is>
      </c>
      <c r="C31" s="27" t="n">
        <v>46099</v>
      </c>
      <c r="D31" t="n">
        <v>0</v>
      </c>
      <c r="E31" t="inlineStr">
        <is>
          <t>BÔNUS</t>
        </is>
      </c>
    </row>
    <row r="32">
      <c r="A32" t="n">
        <v>176</v>
      </c>
      <c r="B32" t="inlineStr">
        <is>
          <t>The Cavern</t>
        </is>
      </c>
      <c r="C32" s="27" t="n">
        <v>46099</v>
      </c>
      <c r="D32" t="n">
        <v>0</v>
      </c>
      <c r="E32" t="inlineStr">
        <is>
          <t>ANTECIPADO</t>
        </is>
      </c>
    </row>
    <row r="33">
      <c r="A33" t="n">
        <v>176</v>
      </c>
      <c r="B33" t="inlineStr">
        <is>
          <t>The Cavern</t>
        </is>
      </c>
      <c r="C33" s="27" t="n">
        <v>46099</v>
      </c>
      <c r="D33" t="n">
        <v>0</v>
      </c>
      <c r="E33" t="inlineStr">
        <is>
          <t>OUTROS</t>
        </is>
      </c>
    </row>
    <row r="34">
      <c r="A34" t="n">
        <v>176</v>
      </c>
      <c r="B34" t="inlineStr">
        <is>
          <t>The Cavern</t>
        </is>
      </c>
      <c r="C34" s="27" t="n">
        <v>46099</v>
      </c>
      <c r="D34" t="n">
        <v>0</v>
      </c>
      <c r="E34" t="inlineStr">
        <is>
          <t>AME</t>
        </is>
      </c>
    </row>
    <row r="35">
      <c r="A35" t="n">
        <v>176</v>
      </c>
      <c r="B35" t="inlineStr">
        <is>
          <t>The Cavern</t>
        </is>
      </c>
      <c r="C35" s="27" t="n">
        <v>46099</v>
      </c>
      <c r="D35" t="n">
        <v>0</v>
      </c>
      <c r="E35" t="inlineStr">
        <is>
          <t>NOTAS MANUAIS + SERVIÇO</t>
        </is>
      </c>
    </row>
    <row r="36">
      <c r="A36" t="n">
        <v>176</v>
      </c>
      <c r="B36" t="inlineStr">
        <is>
          <t>The Cavern</t>
        </is>
      </c>
      <c r="C36" s="27" t="n">
        <v>46099</v>
      </c>
      <c r="D36" t="n">
        <v>0</v>
      </c>
      <c r="E36" t="inlineStr">
        <is>
          <t>RECARGAS DEVOLVIDAS</t>
        </is>
      </c>
    </row>
    <row r="37">
      <c r="A37" t="n">
        <v>176</v>
      </c>
      <c r="B37" t="inlineStr">
        <is>
          <t>The Cavern</t>
        </is>
      </c>
      <c r="C37" s="27" t="n">
        <v>46099</v>
      </c>
      <c r="D37" t="n">
        <v>0</v>
      </c>
      <c r="E37" t="inlineStr">
        <is>
          <t>VOUCHER INTEGRADO</t>
        </is>
      </c>
    </row>
    <row r="38">
      <c r="A38" t="n">
        <v>176</v>
      </c>
      <c r="B38" t="inlineStr">
        <is>
          <t>The Cavern</t>
        </is>
      </c>
      <c r="C38" s="27" t="n">
        <v>46099</v>
      </c>
      <c r="D38" t="n">
        <v>749.1900000000001</v>
      </c>
      <c r="E38" t="inlineStr">
        <is>
          <t>CRÉDITO</t>
        </is>
      </c>
    </row>
    <row r="39">
      <c r="A39" t="n">
        <v>176</v>
      </c>
      <c r="B39" t="inlineStr">
        <is>
          <t>The Cavern</t>
        </is>
      </c>
      <c r="C39" s="27" t="n">
        <v>46099</v>
      </c>
      <c r="D39" t="n">
        <v>822.49</v>
      </c>
      <c r="E39" t="inlineStr">
        <is>
          <t>DÉBITO</t>
        </is>
      </c>
    </row>
    <row r="40">
      <c r="A40" t="n">
        <v>176</v>
      </c>
      <c r="B40" t="inlineStr">
        <is>
          <t>The Cavern</t>
        </is>
      </c>
      <c r="C40" s="27" t="n">
        <v>46098</v>
      </c>
      <c r="D40" t="n">
        <v>0</v>
      </c>
      <c r="E40" t="inlineStr">
        <is>
          <t>ANTECIPADO</t>
        </is>
      </c>
    </row>
    <row r="41">
      <c r="A41" t="n">
        <v>176</v>
      </c>
      <c r="B41" t="inlineStr">
        <is>
          <t>The Cavern</t>
        </is>
      </c>
      <c r="C41" s="27" t="n">
        <v>46098</v>
      </c>
      <c r="D41" t="n">
        <v>61.02</v>
      </c>
      <c r="E41" t="inlineStr">
        <is>
          <t>VOUCHER</t>
        </is>
      </c>
    </row>
    <row r="42">
      <c r="A42" t="n">
        <v>176</v>
      </c>
      <c r="B42" t="inlineStr">
        <is>
          <t>The Cavern</t>
        </is>
      </c>
      <c r="C42" s="27" t="n">
        <v>46098</v>
      </c>
      <c r="D42" t="n">
        <v>91.53</v>
      </c>
      <c r="E42" t="inlineStr">
        <is>
          <t>DÉBITO</t>
        </is>
      </c>
    </row>
    <row r="43">
      <c r="A43" t="n">
        <v>176</v>
      </c>
      <c r="B43" t="inlineStr">
        <is>
          <t>The Cavern</t>
        </is>
      </c>
      <c r="C43" s="27" t="n">
        <v>46098</v>
      </c>
      <c r="D43" t="n">
        <v>0</v>
      </c>
      <c r="E43" t="inlineStr">
        <is>
          <t>BÔNUS</t>
        </is>
      </c>
    </row>
    <row r="44">
      <c r="A44" t="n">
        <v>176</v>
      </c>
      <c r="B44" t="inlineStr">
        <is>
          <t>The Cavern</t>
        </is>
      </c>
      <c r="C44" s="27" t="n">
        <v>46098</v>
      </c>
      <c r="D44" t="n">
        <v>0</v>
      </c>
      <c r="E44" t="inlineStr">
        <is>
          <t>ANTECIPADO</t>
        </is>
      </c>
    </row>
    <row r="45">
      <c r="A45" t="n">
        <v>176</v>
      </c>
      <c r="B45" t="inlineStr">
        <is>
          <t>The Cavern</t>
        </is>
      </c>
      <c r="C45" s="27" t="n">
        <v>46098</v>
      </c>
      <c r="D45" t="n">
        <v>0</v>
      </c>
      <c r="E45" t="inlineStr">
        <is>
          <t>OUTROS</t>
        </is>
      </c>
    </row>
    <row r="46">
      <c r="A46" t="n">
        <v>176</v>
      </c>
      <c r="B46" t="inlineStr">
        <is>
          <t>The Cavern</t>
        </is>
      </c>
      <c r="C46" s="27" t="n">
        <v>46098</v>
      </c>
      <c r="D46" t="n">
        <v>0</v>
      </c>
      <c r="E46" t="inlineStr">
        <is>
          <t>AME</t>
        </is>
      </c>
    </row>
    <row r="47">
      <c r="A47" t="n">
        <v>176</v>
      </c>
      <c r="B47" t="inlineStr">
        <is>
          <t>The Cavern</t>
        </is>
      </c>
      <c r="C47" s="27" t="n">
        <v>46098</v>
      </c>
      <c r="D47" t="n">
        <v>0</v>
      </c>
      <c r="E47" t="inlineStr">
        <is>
          <t>NOTAS MANUAIS + SERVIÇO</t>
        </is>
      </c>
    </row>
    <row r="48">
      <c r="A48" t="n">
        <v>176</v>
      </c>
      <c r="B48" t="inlineStr">
        <is>
          <t>The Cavern</t>
        </is>
      </c>
      <c r="C48" s="27" t="n">
        <v>46098</v>
      </c>
      <c r="D48" t="n">
        <v>0</v>
      </c>
      <c r="E48" t="inlineStr">
        <is>
          <t>RECARGAS DEVOLVIDAS</t>
        </is>
      </c>
    </row>
    <row r="49">
      <c r="A49" t="n">
        <v>176</v>
      </c>
      <c r="B49" t="inlineStr">
        <is>
          <t>The Cavern</t>
        </is>
      </c>
      <c r="C49" s="27" t="n">
        <v>46098</v>
      </c>
      <c r="D49" t="n">
        <v>0</v>
      </c>
      <c r="E49" t="inlineStr">
        <is>
          <t>VOUCHER INTEGRADO</t>
        </is>
      </c>
    </row>
    <row r="50">
      <c r="A50" t="n">
        <v>176</v>
      </c>
      <c r="B50" t="inlineStr">
        <is>
          <t>The Cavern</t>
        </is>
      </c>
      <c r="C50" s="27" t="n">
        <v>46098</v>
      </c>
      <c r="D50" t="n">
        <v>0</v>
      </c>
      <c r="E50" t="inlineStr">
        <is>
          <t>MBWAY</t>
        </is>
      </c>
    </row>
    <row r="51">
      <c r="A51" t="n">
        <v>176</v>
      </c>
      <c r="B51" t="inlineStr">
        <is>
          <t>The Cavern</t>
        </is>
      </c>
      <c r="C51" s="27" t="n">
        <v>46098</v>
      </c>
      <c r="D51" t="n">
        <v>0</v>
      </c>
      <c r="E51" t="inlineStr">
        <is>
          <t>UBER</t>
        </is>
      </c>
    </row>
    <row r="52">
      <c r="A52" t="n">
        <v>176</v>
      </c>
      <c r="B52" t="inlineStr">
        <is>
          <t>The Cavern</t>
        </is>
      </c>
      <c r="C52" s="27" t="n">
        <v>46098</v>
      </c>
      <c r="D52" t="n">
        <v>655.4</v>
      </c>
      <c r="E52" t="inlineStr">
        <is>
          <t>CRÉDITO</t>
        </is>
      </c>
    </row>
    <row r="53">
      <c r="A53" t="n">
        <v>176</v>
      </c>
      <c r="B53" t="inlineStr">
        <is>
          <t>The Cavern</t>
        </is>
      </c>
      <c r="C53" s="27" t="n">
        <v>46098</v>
      </c>
      <c r="D53" t="n">
        <v>120.91</v>
      </c>
      <c r="E53" t="inlineStr">
        <is>
          <t>DINHEIRO</t>
        </is>
      </c>
    </row>
    <row r="54">
      <c r="A54" t="n">
        <v>176</v>
      </c>
      <c r="B54" t="inlineStr">
        <is>
          <t>The Cavern</t>
        </is>
      </c>
      <c r="C54" s="27" t="n">
        <v>46098</v>
      </c>
      <c r="D54" t="n">
        <v>0</v>
      </c>
      <c r="E54" t="inlineStr">
        <is>
          <t>APP</t>
        </is>
      </c>
    </row>
    <row r="55">
      <c r="A55" t="n">
        <v>176</v>
      </c>
      <c r="B55" t="inlineStr">
        <is>
          <t>The Cavern</t>
        </is>
      </c>
      <c r="C55" s="27" t="n">
        <v>46098</v>
      </c>
      <c r="D55" t="n">
        <v>0</v>
      </c>
      <c r="E55" t="inlineStr">
        <is>
          <t>DELIVERY ONLINE</t>
        </is>
      </c>
    </row>
    <row r="56">
      <c r="A56" t="n">
        <v>176</v>
      </c>
      <c r="B56" t="inlineStr">
        <is>
          <t>The Cavern</t>
        </is>
      </c>
      <c r="C56" s="27" t="n">
        <v>46098</v>
      </c>
      <c r="D56" t="n">
        <v>0</v>
      </c>
      <c r="E56" t="inlineStr">
        <is>
          <t>IFOOD</t>
        </is>
      </c>
    </row>
    <row r="57">
      <c r="A57" t="n">
        <v>176</v>
      </c>
      <c r="B57" t="inlineStr">
        <is>
          <t>The Cavern</t>
        </is>
      </c>
      <c r="C57" s="27" t="n">
        <v>46098</v>
      </c>
      <c r="D57" t="n">
        <v>0</v>
      </c>
      <c r="E57" t="inlineStr">
        <is>
          <t>PIX</t>
        </is>
      </c>
    </row>
    <row r="58">
      <c r="A58" t="n">
        <v>176</v>
      </c>
      <c r="B58" t="inlineStr">
        <is>
          <t>The Cavern</t>
        </is>
      </c>
      <c r="C58" s="27" t="n">
        <v>46098</v>
      </c>
      <c r="D58" t="n">
        <v>0</v>
      </c>
      <c r="E58" t="inlineStr">
        <is>
          <t>ANTECIPADO</t>
        </is>
      </c>
    </row>
    <row r="59">
      <c r="A59" t="n">
        <v>176</v>
      </c>
      <c r="B59" t="inlineStr">
        <is>
          <t>The Cavern</t>
        </is>
      </c>
      <c r="C59" s="27" t="n">
        <v>46098</v>
      </c>
      <c r="D59" t="n">
        <v>0</v>
      </c>
      <c r="E59" t="inlineStr">
        <is>
          <t>RAPPI</t>
        </is>
      </c>
    </row>
    <row r="60">
      <c r="A60" t="n">
        <v>176</v>
      </c>
      <c r="B60" t="inlineStr">
        <is>
          <t>The Cavern</t>
        </is>
      </c>
      <c r="C60" s="27" t="n">
        <v>46098</v>
      </c>
      <c r="D60" t="n">
        <v>4097.77</v>
      </c>
      <c r="E60" t="inlineStr">
        <is>
          <t>CRÉDITO</t>
        </is>
      </c>
    </row>
    <row r="61">
      <c r="A61" t="n">
        <v>176</v>
      </c>
      <c r="B61" t="inlineStr">
        <is>
          <t>The Cavern</t>
        </is>
      </c>
      <c r="C61" s="27" t="n">
        <v>46098</v>
      </c>
      <c r="D61" t="n">
        <v>0</v>
      </c>
      <c r="E61" t="inlineStr">
        <is>
          <t>DINHEIRO</t>
        </is>
      </c>
    </row>
    <row r="62">
      <c r="A62" t="n">
        <v>176</v>
      </c>
      <c r="B62" t="inlineStr">
        <is>
          <t>The Cavern</t>
        </is>
      </c>
      <c r="C62" s="27" t="n">
        <v>46098</v>
      </c>
      <c r="D62" t="n">
        <v>0</v>
      </c>
      <c r="E62" t="inlineStr">
        <is>
          <t>APP</t>
        </is>
      </c>
    </row>
    <row r="63">
      <c r="A63" t="n">
        <v>176</v>
      </c>
      <c r="B63" t="inlineStr">
        <is>
          <t>The Cavern</t>
        </is>
      </c>
      <c r="C63" s="27" t="n">
        <v>46098</v>
      </c>
      <c r="D63" t="n">
        <v>0</v>
      </c>
      <c r="E63" t="inlineStr">
        <is>
          <t>DELIVERY ONLINE</t>
        </is>
      </c>
    </row>
    <row r="64">
      <c r="A64" t="n">
        <v>176</v>
      </c>
      <c r="B64" t="inlineStr">
        <is>
          <t>The Cavern</t>
        </is>
      </c>
      <c r="C64" s="27" t="n">
        <v>46098</v>
      </c>
      <c r="D64" t="n">
        <v>0</v>
      </c>
      <c r="E64" t="inlineStr">
        <is>
          <t>IFOOD</t>
        </is>
      </c>
    </row>
    <row r="65">
      <c r="A65" t="n">
        <v>176</v>
      </c>
      <c r="B65" t="inlineStr">
        <is>
          <t>The Cavern</t>
        </is>
      </c>
      <c r="C65" s="27" t="n">
        <v>46098</v>
      </c>
      <c r="D65" t="n">
        <v>409.71</v>
      </c>
      <c r="E65" t="inlineStr">
        <is>
          <t>PIX</t>
        </is>
      </c>
    </row>
    <row r="66">
      <c r="A66" t="n">
        <v>176</v>
      </c>
      <c r="B66" t="inlineStr">
        <is>
          <t>The Cavern</t>
        </is>
      </c>
      <c r="C66" s="27" t="n">
        <v>46098</v>
      </c>
      <c r="D66" t="n">
        <v>0</v>
      </c>
      <c r="E66" t="inlineStr">
        <is>
          <t>RAPPI</t>
        </is>
      </c>
    </row>
    <row r="67">
      <c r="A67" t="n">
        <v>176</v>
      </c>
      <c r="B67" t="inlineStr">
        <is>
          <t>The Cavern</t>
        </is>
      </c>
      <c r="C67" s="27" t="n">
        <v>46098</v>
      </c>
      <c r="D67" t="n">
        <v>0</v>
      </c>
      <c r="E67" t="inlineStr">
        <is>
          <t>UBER</t>
        </is>
      </c>
    </row>
    <row r="68">
      <c r="A68" t="n">
        <v>176</v>
      </c>
      <c r="B68" t="inlineStr">
        <is>
          <t>The Cavern</t>
        </is>
      </c>
      <c r="C68" s="27" t="n">
        <v>46098</v>
      </c>
      <c r="D68" t="n">
        <v>0</v>
      </c>
      <c r="E68" t="inlineStr">
        <is>
          <t>MBWAY</t>
        </is>
      </c>
    </row>
    <row r="69">
      <c r="A69" t="n">
        <v>176</v>
      </c>
      <c r="B69" t="inlineStr">
        <is>
          <t>The Cavern</t>
        </is>
      </c>
      <c r="C69" s="27" t="n">
        <v>46098</v>
      </c>
      <c r="D69" t="n">
        <v>861.67</v>
      </c>
      <c r="E69" t="inlineStr">
        <is>
          <t>VOUCHER</t>
        </is>
      </c>
    </row>
    <row r="70">
      <c r="A70" t="n">
        <v>176</v>
      </c>
      <c r="B70" t="inlineStr">
        <is>
          <t>The Cavern</t>
        </is>
      </c>
      <c r="C70" s="27" t="n">
        <v>46098</v>
      </c>
      <c r="D70" t="n">
        <v>814.9</v>
      </c>
      <c r="E70" t="inlineStr">
        <is>
          <t>DÉBITO</t>
        </is>
      </c>
    </row>
    <row r="71">
      <c r="A71" t="n">
        <v>176</v>
      </c>
      <c r="B71" t="inlineStr">
        <is>
          <t>The Cavern</t>
        </is>
      </c>
      <c r="C71" s="27" t="n">
        <v>46098</v>
      </c>
      <c r="D71" t="n">
        <v>0</v>
      </c>
      <c r="E71" t="inlineStr">
        <is>
          <t>BÔNUS</t>
        </is>
      </c>
    </row>
    <row r="72">
      <c r="A72" t="n">
        <v>176</v>
      </c>
      <c r="B72" t="inlineStr">
        <is>
          <t>The Cavern</t>
        </is>
      </c>
      <c r="C72" s="27" t="n">
        <v>46098</v>
      </c>
      <c r="D72" t="n">
        <v>0</v>
      </c>
      <c r="E72" t="inlineStr">
        <is>
          <t>ANTECIPADO</t>
        </is>
      </c>
    </row>
    <row r="73">
      <c r="A73" t="n">
        <v>176</v>
      </c>
      <c r="B73" t="inlineStr">
        <is>
          <t>The Cavern</t>
        </is>
      </c>
      <c r="C73" s="27" t="n">
        <v>46098</v>
      </c>
      <c r="D73" t="n">
        <v>0</v>
      </c>
      <c r="E73" t="inlineStr">
        <is>
          <t>OUTROS</t>
        </is>
      </c>
    </row>
    <row r="74">
      <c r="A74" t="n">
        <v>176</v>
      </c>
      <c r="B74" t="inlineStr">
        <is>
          <t>The Cavern</t>
        </is>
      </c>
      <c r="C74" s="27" t="n">
        <v>46098</v>
      </c>
      <c r="D74" t="n">
        <v>0</v>
      </c>
      <c r="E74" t="inlineStr">
        <is>
          <t>AME</t>
        </is>
      </c>
    </row>
    <row r="75">
      <c r="A75" t="n">
        <v>176</v>
      </c>
      <c r="B75" t="inlineStr">
        <is>
          <t>The Cavern</t>
        </is>
      </c>
      <c r="C75" s="27" t="n">
        <v>46098</v>
      </c>
      <c r="D75" t="n">
        <v>0</v>
      </c>
      <c r="E75" t="inlineStr">
        <is>
          <t>NOTAS MANUAIS + SERVIÇO</t>
        </is>
      </c>
    </row>
    <row r="76">
      <c r="A76" t="n">
        <v>176</v>
      </c>
      <c r="B76" t="inlineStr">
        <is>
          <t>The Cavern</t>
        </is>
      </c>
      <c r="C76" s="27" t="n">
        <v>46098</v>
      </c>
      <c r="D76" t="n">
        <v>0</v>
      </c>
      <c r="E76" t="inlineStr">
        <is>
          <t>RECARGAS DEVOLVIDAS</t>
        </is>
      </c>
    </row>
    <row r="77">
      <c r="A77" t="n">
        <v>176</v>
      </c>
      <c r="B77" t="inlineStr">
        <is>
          <t>The Cavern</t>
        </is>
      </c>
      <c r="C77" s="27" t="n">
        <v>46098</v>
      </c>
      <c r="D77" t="n">
        <v>0</v>
      </c>
      <c r="E77" t="inlineStr">
        <is>
          <t>VOUCHER INTEGRADO</t>
        </is>
      </c>
    </row>
    <row r="78">
      <c r="A78" t="n">
        <v>176</v>
      </c>
      <c r="B78" t="inlineStr">
        <is>
          <t>The Cavern</t>
        </is>
      </c>
      <c r="C78" s="27" t="n">
        <v>46097</v>
      </c>
      <c r="D78" t="n">
        <v>0</v>
      </c>
      <c r="E78" t="inlineStr">
        <is>
          <t>VOUCHER</t>
        </is>
      </c>
    </row>
    <row r="79">
      <c r="A79" t="n">
        <v>176</v>
      </c>
      <c r="B79" t="inlineStr">
        <is>
          <t>The Cavern</t>
        </is>
      </c>
      <c r="C79" s="27" t="n">
        <v>46097</v>
      </c>
      <c r="D79" t="n">
        <v>0</v>
      </c>
      <c r="E79" t="inlineStr">
        <is>
          <t>RAPPI</t>
        </is>
      </c>
    </row>
    <row r="80">
      <c r="A80" t="n">
        <v>176</v>
      </c>
      <c r="B80" t="inlineStr">
        <is>
          <t>The Cavern</t>
        </is>
      </c>
      <c r="C80" s="27" t="n">
        <v>46097</v>
      </c>
      <c r="D80" t="n">
        <v>0</v>
      </c>
      <c r="E80" t="inlineStr">
        <is>
          <t>PIX</t>
        </is>
      </c>
    </row>
    <row r="81">
      <c r="A81" t="n">
        <v>176</v>
      </c>
      <c r="B81" t="inlineStr">
        <is>
          <t>The Cavern</t>
        </is>
      </c>
      <c r="C81" s="27" t="n">
        <v>46097</v>
      </c>
      <c r="D81" t="n">
        <v>0</v>
      </c>
      <c r="E81" t="inlineStr">
        <is>
          <t>IFOOD</t>
        </is>
      </c>
    </row>
    <row r="82">
      <c r="A82" t="n">
        <v>176</v>
      </c>
      <c r="B82" t="inlineStr">
        <is>
          <t>The Cavern</t>
        </is>
      </c>
      <c r="C82" s="27" t="n">
        <v>46097</v>
      </c>
      <c r="D82" t="n">
        <v>0</v>
      </c>
      <c r="E82" t="inlineStr">
        <is>
          <t>DELIVERY ONLINE</t>
        </is>
      </c>
    </row>
    <row r="83">
      <c r="A83" t="n">
        <v>176</v>
      </c>
      <c r="B83" t="inlineStr">
        <is>
          <t>The Cavern</t>
        </is>
      </c>
      <c r="C83" s="27" t="n">
        <v>46097</v>
      </c>
      <c r="D83" t="n">
        <v>0</v>
      </c>
      <c r="E83" t="inlineStr">
        <is>
          <t>APP</t>
        </is>
      </c>
    </row>
    <row r="84">
      <c r="A84" t="n">
        <v>176</v>
      </c>
      <c r="B84" t="inlineStr">
        <is>
          <t>The Cavern</t>
        </is>
      </c>
      <c r="C84" s="27" t="n">
        <v>46097</v>
      </c>
      <c r="D84" t="n">
        <v>100.45</v>
      </c>
      <c r="E84" t="inlineStr">
        <is>
          <t>DINHEIRO</t>
        </is>
      </c>
    </row>
    <row r="85">
      <c r="A85" t="n">
        <v>176</v>
      </c>
      <c r="B85" t="inlineStr">
        <is>
          <t>The Cavern</t>
        </is>
      </c>
      <c r="C85" s="27" t="n">
        <v>46097</v>
      </c>
      <c r="D85" t="n">
        <v>794.5599999999999</v>
      </c>
      <c r="E85" t="inlineStr">
        <is>
          <t>CRÉDITO</t>
        </is>
      </c>
    </row>
    <row r="86">
      <c r="A86" t="n">
        <v>176</v>
      </c>
      <c r="B86" t="inlineStr">
        <is>
          <t>The Cavern</t>
        </is>
      </c>
      <c r="C86" s="27" t="n">
        <v>46097</v>
      </c>
      <c r="D86" t="n">
        <v>0</v>
      </c>
      <c r="E86" t="inlineStr">
        <is>
          <t>UBER</t>
        </is>
      </c>
    </row>
    <row r="87">
      <c r="A87" t="n">
        <v>176</v>
      </c>
      <c r="B87" t="inlineStr">
        <is>
          <t>The Cavern</t>
        </is>
      </c>
      <c r="C87" s="27" t="n">
        <v>46097</v>
      </c>
      <c r="D87" t="n">
        <v>0</v>
      </c>
      <c r="E87" t="inlineStr">
        <is>
          <t>ANTECIPADO</t>
        </is>
      </c>
    </row>
    <row r="88">
      <c r="A88" t="n">
        <v>176</v>
      </c>
      <c r="B88" t="inlineStr">
        <is>
          <t>The Cavern</t>
        </is>
      </c>
      <c r="C88" s="27" t="n">
        <v>46097</v>
      </c>
      <c r="D88" t="n">
        <v>0</v>
      </c>
      <c r="E88" t="inlineStr">
        <is>
          <t>UBER</t>
        </is>
      </c>
    </row>
    <row r="89">
      <c r="A89" t="n">
        <v>176</v>
      </c>
      <c r="B89" t="inlineStr">
        <is>
          <t>The Cavern</t>
        </is>
      </c>
      <c r="C89" s="27" t="n">
        <v>46097</v>
      </c>
      <c r="D89" t="n">
        <v>0</v>
      </c>
      <c r="E89" t="inlineStr">
        <is>
          <t>DÉBITO</t>
        </is>
      </c>
    </row>
    <row r="90">
      <c r="A90" t="n">
        <v>176</v>
      </c>
      <c r="B90" t="inlineStr">
        <is>
          <t>The Cavern</t>
        </is>
      </c>
      <c r="C90" s="27" t="n">
        <v>46097</v>
      </c>
      <c r="D90" t="n">
        <v>0</v>
      </c>
      <c r="E90" t="inlineStr">
        <is>
          <t>BÔNUS</t>
        </is>
      </c>
    </row>
    <row r="91">
      <c r="A91" t="n">
        <v>176</v>
      </c>
      <c r="B91" t="inlineStr">
        <is>
          <t>The Cavern</t>
        </is>
      </c>
      <c r="C91" s="27" t="n">
        <v>46097</v>
      </c>
      <c r="D91" t="n">
        <v>0</v>
      </c>
      <c r="E91" t="inlineStr">
        <is>
          <t>ANTECIPADO</t>
        </is>
      </c>
    </row>
    <row r="92">
      <c r="A92" t="n">
        <v>176</v>
      </c>
      <c r="B92" t="inlineStr">
        <is>
          <t>The Cavern</t>
        </is>
      </c>
      <c r="C92" s="27" t="n">
        <v>46097</v>
      </c>
      <c r="D92" t="n">
        <v>0</v>
      </c>
      <c r="E92" t="inlineStr">
        <is>
          <t>OUTROS</t>
        </is>
      </c>
    </row>
    <row r="93">
      <c r="A93" t="n">
        <v>176</v>
      </c>
      <c r="B93" t="inlineStr">
        <is>
          <t>The Cavern</t>
        </is>
      </c>
      <c r="C93" s="27" t="n">
        <v>46097</v>
      </c>
      <c r="D93" t="n">
        <v>0</v>
      </c>
      <c r="E93" t="inlineStr">
        <is>
          <t>AME</t>
        </is>
      </c>
    </row>
    <row r="94">
      <c r="A94" t="n">
        <v>176</v>
      </c>
      <c r="B94" t="inlineStr">
        <is>
          <t>The Cavern</t>
        </is>
      </c>
      <c r="C94" s="27" t="n">
        <v>46097</v>
      </c>
      <c r="D94" t="n">
        <v>0</v>
      </c>
      <c r="E94" t="inlineStr">
        <is>
          <t>NOTAS MANUAIS + SERVIÇO</t>
        </is>
      </c>
    </row>
    <row r="95">
      <c r="A95" t="n">
        <v>176</v>
      </c>
      <c r="B95" t="inlineStr">
        <is>
          <t>The Cavern</t>
        </is>
      </c>
      <c r="C95" s="27" t="n">
        <v>46097</v>
      </c>
      <c r="D95" t="n">
        <v>0</v>
      </c>
      <c r="E95" t="inlineStr">
        <is>
          <t>RECARGAS DEVOLVIDAS</t>
        </is>
      </c>
    </row>
    <row r="96">
      <c r="A96" t="n">
        <v>176</v>
      </c>
      <c r="B96" t="inlineStr">
        <is>
          <t>The Cavern</t>
        </is>
      </c>
      <c r="C96" s="27" t="n">
        <v>46097</v>
      </c>
      <c r="D96" t="n">
        <v>0</v>
      </c>
      <c r="E96" t="inlineStr">
        <is>
          <t>VOUCHER INTEGRADO</t>
        </is>
      </c>
    </row>
    <row r="97">
      <c r="A97" t="n">
        <v>176</v>
      </c>
      <c r="B97" t="inlineStr">
        <is>
          <t>The Cavern</t>
        </is>
      </c>
      <c r="C97" s="27" t="n">
        <v>46097</v>
      </c>
      <c r="D97" t="n">
        <v>1450.5</v>
      </c>
      <c r="E97" t="inlineStr">
        <is>
          <t>VOUCHER</t>
        </is>
      </c>
    </row>
    <row r="98">
      <c r="A98" t="n">
        <v>176</v>
      </c>
      <c r="B98" t="inlineStr">
        <is>
          <t>The Cavern</t>
        </is>
      </c>
      <c r="C98" s="27" t="n">
        <v>46097</v>
      </c>
      <c r="D98" t="n">
        <v>0</v>
      </c>
      <c r="E98" t="inlineStr">
        <is>
          <t>MBWAY</t>
        </is>
      </c>
    </row>
    <row r="99">
      <c r="A99" t="n">
        <v>176</v>
      </c>
      <c r="B99" t="inlineStr">
        <is>
          <t>The Cavern</t>
        </is>
      </c>
      <c r="C99" s="27" t="n">
        <v>46097</v>
      </c>
      <c r="D99" t="n">
        <v>0</v>
      </c>
      <c r="E99" t="inlineStr">
        <is>
          <t>VOUCHER INTEGRADO</t>
        </is>
      </c>
    </row>
    <row r="100">
      <c r="A100" t="n">
        <v>176</v>
      </c>
      <c r="B100" t="inlineStr">
        <is>
          <t>The Cavern</t>
        </is>
      </c>
      <c r="C100" s="27" t="n">
        <v>46097</v>
      </c>
      <c r="D100" t="n">
        <v>0</v>
      </c>
      <c r="E100" t="inlineStr">
        <is>
          <t>RECARGAS DEVOLVIDAS</t>
        </is>
      </c>
    </row>
    <row r="101">
      <c r="A101" t="n">
        <v>176</v>
      </c>
      <c r="B101" t="inlineStr">
        <is>
          <t>The Cavern</t>
        </is>
      </c>
      <c r="C101" s="27" t="n">
        <v>46097</v>
      </c>
      <c r="D101" t="n">
        <v>0</v>
      </c>
      <c r="E101" t="inlineStr">
        <is>
          <t>NOTAS MANUAIS + SERVIÇO</t>
        </is>
      </c>
    </row>
    <row r="102">
      <c r="A102" t="n">
        <v>176</v>
      </c>
      <c r="B102" t="inlineStr">
        <is>
          <t>The Cavern</t>
        </is>
      </c>
      <c r="C102" s="27" t="n">
        <v>46097</v>
      </c>
      <c r="D102" t="n">
        <v>0</v>
      </c>
      <c r="E102" t="inlineStr">
        <is>
          <t>AME</t>
        </is>
      </c>
    </row>
    <row r="103">
      <c r="A103" t="n">
        <v>176</v>
      </c>
      <c r="B103" t="inlineStr">
        <is>
          <t>The Cavern</t>
        </is>
      </c>
      <c r="C103" s="27" t="n">
        <v>46097</v>
      </c>
      <c r="D103" t="n">
        <v>0</v>
      </c>
      <c r="E103" t="inlineStr">
        <is>
          <t>OUTROS</t>
        </is>
      </c>
    </row>
    <row r="104">
      <c r="A104" t="n">
        <v>176</v>
      </c>
      <c r="B104" t="inlineStr">
        <is>
          <t>The Cavern</t>
        </is>
      </c>
      <c r="C104" s="27" t="n">
        <v>46097</v>
      </c>
      <c r="D104" t="n">
        <v>0</v>
      </c>
      <c r="E104" t="inlineStr">
        <is>
          <t>ANTECIPADO</t>
        </is>
      </c>
    </row>
    <row r="105">
      <c r="A105" t="n">
        <v>176</v>
      </c>
      <c r="B105" t="inlineStr">
        <is>
          <t>The Cavern</t>
        </is>
      </c>
      <c r="C105" s="27" t="n">
        <v>46097</v>
      </c>
      <c r="D105" t="n">
        <v>0</v>
      </c>
      <c r="E105" t="inlineStr">
        <is>
          <t>BÔNUS</t>
        </is>
      </c>
    </row>
    <row r="106">
      <c r="A106" t="n">
        <v>176</v>
      </c>
      <c r="B106" t="inlineStr">
        <is>
          <t>The Cavern</t>
        </is>
      </c>
      <c r="C106" s="27" t="n">
        <v>46097</v>
      </c>
      <c r="D106" t="n">
        <v>180.56</v>
      </c>
      <c r="E106" t="inlineStr">
        <is>
          <t>DÉBITO</t>
        </is>
      </c>
    </row>
    <row r="107">
      <c r="A107" t="n">
        <v>176</v>
      </c>
      <c r="B107" t="inlineStr">
        <is>
          <t>The Cavern</t>
        </is>
      </c>
      <c r="C107" s="27" t="n">
        <v>46097</v>
      </c>
      <c r="D107" t="n">
        <v>0</v>
      </c>
      <c r="E107" t="inlineStr">
        <is>
          <t>MBWAY</t>
        </is>
      </c>
    </row>
    <row r="108">
      <c r="A108" t="n">
        <v>176</v>
      </c>
      <c r="B108" t="inlineStr">
        <is>
          <t>The Cavern</t>
        </is>
      </c>
      <c r="C108" s="27" t="n">
        <v>46097</v>
      </c>
      <c r="D108" t="n">
        <v>516.41</v>
      </c>
      <c r="E108" t="inlineStr">
        <is>
          <t>CRÉDITO</t>
        </is>
      </c>
    </row>
    <row r="109">
      <c r="A109" t="n">
        <v>176</v>
      </c>
      <c r="B109" t="inlineStr">
        <is>
          <t>The Cavern</t>
        </is>
      </c>
      <c r="C109" s="27" t="n">
        <v>46097</v>
      </c>
      <c r="D109" t="n">
        <v>0</v>
      </c>
      <c r="E109" t="inlineStr">
        <is>
          <t>DINHEIRO</t>
        </is>
      </c>
    </row>
    <row r="110">
      <c r="A110" t="n">
        <v>176</v>
      </c>
      <c r="B110" t="inlineStr">
        <is>
          <t>The Cavern</t>
        </is>
      </c>
      <c r="C110" s="27" t="n">
        <v>46097</v>
      </c>
      <c r="D110" t="n">
        <v>0</v>
      </c>
      <c r="E110" t="inlineStr">
        <is>
          <t>APP</t>
        </is>
      </c>
    </row>
    <row r="111">
      <c r="A111" t="n">
        <v>176</v>
      </c>
      <c r="B111" t="inlineStr">
        <is>
          <t>The Cavern</t>
        </is>
      </c>
      <c r="C111" s="27" t="n">
        <v>46097</v>
      </c>
      <c r="D111" t="n">
        <v>0</v>
      </c>
      <c r="E111" t="inlineStr">
        <is>
          <t>DELIVERY ONLINE</t>
        </is>
      </c>
    </row>
    <row r="112">
      <c r="A112" t="n">
        <v>176</v>
      </c>
      <c r="B112" t="inlineStr">
        <is>
          <t>The Cavern</t>
        </is>
      </c>
      <c r="C112" s="27" t="n">
        <v>46097</v>
      </c>
      <c r="D112" t="n">
        <v>0</v>
      </c>
      <c r="E112" t="inlineStr">
        <is>
          <t>IFOOD</t>
        </is>
      </c>
    </row>
    <row r="113">
      <c r="A113" t="n">
        <v>176</v>
      </c>
      <c r="B113" t="inlineStr">
        <is>
          <t>The Cavern</t>
        </is>
      </c>
      <c r="C113" s="27" t="n">
        <v>46097</v>
      </c>
      <c r="D113" t="n">
        <v>0</v>
      </c>
      <c r="E113" t="inlineStr">
        <is>
          <t>PIX</t>
        </is>
      </c>
    </row>
    <row r="114">
      <c r="A114" t="n">
        <v>176</v>
      </c>
      <c r="B114" t="inlineStr">
        <is>
          <t>The Cavern</t>
        </is>
      </c>
      <c r="C114" s="27" t="n">
        <v>46097</v>
      </c>
      <c r="D114" t="n">
        <v>0</v>
      </c>
      <c r="E114" t="inlineStr">
        <is>
          <t>RAPPI</t>
        </is>
      </c>
    </row>
    <row r="115">
      <c r="A115" t="n">
        <v>176</v>
      </c>
      <c r="B115" t="inlineStr">
        <is>
          <t>The Cavern</t>
        </is>
      </c>
      <c r="C115" s="27" t="n">
        <v>46097</v>
      </c>
      <c r="D115" t="n">
        <v>0</v>
      </c>
      <c r="E115" t="inlineStr">
        <is>
          <t>ANTECIPADO</t>
        </is>
      </c>
    </row>
    <row r="116">
      <c r="A116" t="n">
        <v>176</v>
      </c>
      <c r="B116" t="inlineStr">
        <is>
          <t>The Cavern</t>
        </is>
      </c>
      <c r="C116" s="27" t="n">
        <v>46096</v>
      </c>
      <c r="D116" t="n">
        <v>0</v>
      </c>
      <c r="E116" t="inlineStr">
        <is>
          <t>VOUCHER</t>
        </is>
      </c>
    </row>
    <row r="117">
      <c r="A117" t="n">
        <v>176</v>
      </c>
      <c r="B117" t="inlineStr">
        <is>
          <t>The Cavern</t>
        </is>
      </c>
      <c r="C117" s="27" t="n">
        <v>46096</v>
      </c>
      <c r="D117" t="n">
        <v>641.27</v>
      </c>
      <c r="E117" t="inlineStr">
        <is>
          <t>CRÉDITO</t>
        </is>
      </c>
    </row>
    <row r="118">
      <c r="A118" t="n">
        <v>176</v>
      </c>
      <c r="B118" t="inlineStr">
        <is>
          <t>The Cavern</t>
        </is>
      </c>
      <c r="C118" s="27" t="n">
        <v>46096</v>
      </c>
      <c r="D118" t="n">
        <v>0</v>
      </c>
      <c r="E118" t="inlineStr">
        <is>
          <t>DINHEIRO</t>
        </is>
      </c>
    </row>
    <row r="119">
      <c r="A119" t="n">
        <v>176</v>
      </c>
      <c r="B119" t="inlineStr">
        <is>
          <t>The Cavern</t>
        </is>
      </c>
      <c r="C119" s="27" t="n">
        <v>46096</v>
      </c>
      <c r="D119" t="n">
        <v>0</v>
      </c>
      <c r="E119" t="inlineStr">
        <is>
          <t>APP</t>
        </is>
      </c>
    </row>
    <row r="120">
      <c r="A120" t="n">
        <v>176</v>
      </c>
      <c r="B120" t="inlineStr">
        <is>
          <t>The Cavern</t>
        </is>
      </c>
      <c r="C120" s="27" t="n">
        <v>46096</v>
      </c>
      <c r="D120" t="n">
        <v>0</v>
      </c>
      <c r="E120" t="inlineStr">
        <is>
          <t>DELIVERY ONLINE</t>
        </is>
      </c>
    </row>
    <row r="121">
      <c r="A121" t="n">
        <v>176</v>
      </c>
      <c r="B121" t="inlineStr">
        <is>
          <t>The Cavern</t>
        </is>
      </c>
      <c r="C121" s="27" t="n">
        <v>46096</v>
      </c>
      <c r="D121" t="n">
        <v>0</v>
      </c>
      <c r="E121" t="inlineStr">
        <is>
          <t>IFOOD</t>
        </is>
      </c>
    </row>
    <row r="122">
      <c r="A122" t="n">
        <v>176</v>
      </c>
      <c r="B122" t="inlineStr">
        <is>
          <t>The Cavern</t>
        </is>
      </c>
      <c r="C122" s="27" t="n">
        <v>46096</v>
      </c>
      <c r="D122" t="n">
        <v>661.05</v>
      </c>
      <c r="E122" t="inlineStr">
        <is>
          <t>PIX</t>
        </is>
      </c>
    </row>
    <row r="123">
      <c r="A123" t="n">
        <v>176</v>
      </c>
      <c r="B123" t="inlineStr">
        <is>
          <t>The Cavern</t>
        </is>
      </c>
      <c r="C123" s="27" t="n">
        <v>46096</v>
      </c>
      <c r="D123" t="n">
        <v>0</v>
      </c>
      <c r="E123" t="inlineStr">
        <is>
          <t>RAPPI</t>
        </is>
      </c>
    </row>
    <row r="124">
      <c r="A124" t="n">
        <v>176</v>
      </c>
      <c r="B124" t="inlineStr">
        <is>
          <t>The Cavern</t>
        </is>
      </c>
      <c r="C124" s="27" t="n">
        <v>46096</v>
      </c>
      <c r="D124" t="n">
        <v>0</v>
      </c>
      <c r="E124" t="inlineStr">
        <is>
          <t>UBER</t>
        </is>
      </c>
    </row>
    <row r="125">
      <c r="A125" t="n">
        <v>176</v>
      </c>
      <c r="B125" t="inlineStr">
        <is>
          <t>The Cavern</t>
        </is>
      </c>
      <c r="C125" s="27" t="n">
        <v>46096</v>
      </c>
      <c r="D125" t="n">
        <v>0</v>
      </c>
      <c r="E125" t="inlineStr">
        <is>
          <t>ANTECIPADO</t>
        </is>
      </c>
    </row>
    <row r="126">
      <c r="A126" t="n">
        <v>176</v>
      </c>
      <c r="B126" t="inlineStr">
        <is>
          <t>The Cavern</t>
        </is>
      </c>
      <c r="C126" s="27" t="n">
        <v>46096</v>
      </c>
      <c r="D126" t="n">
        <v>0</v>
      </c>
      <c r="E126" t="inlineStr">
        <is>
          <t>MBWAY</t>
        </is>
      </c>
    </row>
    <row r="127">
      <c r="A127" t="n">
        <v>176</v>
      </c>
      <c r="B127" t="inlineStr">
        <is>
          <t>The Cavern</t>
        </is>
      </c>
      <c r="C127" s="27" t="n">
        <v>46096</v>
      </c>
      <c r="D127" t="n">
        <v>201.14</v>
      </c>
      <c r="E127" t="inlineStr">
        <is>
          <t>DÉBITO</t>
        </is>
      </c>
    </row>
    <row r="128">
      <c r="A128" t="n">
        <v>176</v>
      </c>
      <c r="B128" t="inlineStr">
        <is>
          <t>The Cavern</t>
        </is>
      </c>
      <c r="C128" s="27" t="n">
        <v>46096</v>
      </c>
      <c r="D128" t="n">
        <v>0</v>
      </c>
      <c r="E128" t="inlineStr">
        <is>
          <t>BÔNUS</t>
        </is>
      </c>
    </row>
    <row r="129">
      <c r="A129" t="n">
        <v>176</v>
      </c>
      <c r="B129" t="inlineStr">
        <is>
          <t>The Cavern</t>
        </is>
      </c>
      <c r="C129" s="27" t="n">
        <v>46096</v>
      </c>
      <c r="D129" t="n">
        <v>0</v>
      </c>
      <c r="E129" t="inlineStr">
        <is>
          <t>ANTECIPADO</t>
        </is>
      </c>
    </row>
    <row r="130">
      <c r="A130" t="n">
        <v>176</v>
      </c>
      <c r="B130" t="inlineStr">
        <is>
          <t>The Cavern</t>
        </is>
      </c>
      <c r="C130" s="27" t="n">
        <v>46096</v>
      </c>
      <c r="D130" t="n">
        <v>0</v>
      </c>
      <c r="E130" t="inlineStr">
        <is>
          <t>OUTROS</t>
        </is>
      </c>
    </row>
    <row r="131">
      <c r="A131" t="n">
        <v>176</v>
      </c>
      <c r="B131" t="inlineStr">
        <is>
          <t>The Cavern</t>
        </is>
      </c>
      <c r="C131" s="27" t="n">
        <v>46096</v>
      </c>
      <c r="D131" t="n">
        <v>0</v>
      </c>
      <c r="E131" t="inlineStr">
        <is>
          <t>AME</t>
        </is>
      </c>
    </row>
    <row r="132">
      <c r="A132" t="n">
        <v>176</v>
      </c>
      <c r="B132" t="inlineStr">
        <is>
          <t>The Cavern</t>
        </is>
      </c>
      <c r="C132" s="27" t="n">
        <v>46096</v>
      </c>
      <c r="D132" t="n">
        <v>0</v>
      </c>
      <c r="E132" t="inlineStr">
        <is>
          <t>NOTAS MANUAIS + SERVIÇO</t>
        </is>
      </c>
    </row>
    <row r="133">
      <c r="A133" t="n">
        <v>176</v>
      </c>
      <c r="B133" t="inlineStr">
        <is>
          <t>The Cavern</t>
        </is>
      </c>
      <c r="C133" s="27" t="n">
        <v>46096</v>
      </c>
      <c r="D133" t="n">
        <v>0</v>
      </c>
      <c r="E133" t="inlineStr">
        <is>
          <t>RECARGAS DEVOLVIDAS</t>
        </is>
      </c>
    </row>
    <row r="134">
      <c r="A134" t="n">
        <v>176</v>
      </c>
      <c r="B134" t="inlineStr">
        <is>
          <t>The Cavern</t>
        </is>
      </c>
      <c r="C134" s="27" t="n">
        <v>46096</v>
      </c>
      <c r="D134" t="n">
        <v>0</v>
      </c>
      <c r="E134" t="inlineStr">
        <is>
          <t>VOUCHER INTEGRADO</t>
        </is>
      </c>
    </row>
    <row r="135">
      <c r="A135" t="n">
        <v>176</v>
      </c>
      <c r="B135" t="inlineStr">
        <is>
          <t>The Cavern</t>
        </is>
      </c>
      <c r="C135" s="27" t="n">
        <v>46096</v>
      </c>
      <c r="D135" t="n">
        <v>0</v>
      </c>
      <c r="E135" t="inlineStr">
        <is>
          <t>MBWAY</t>
        </is>
      </c>
    </row>
    <row r="136">
      <c r="A136" t="n">
        <v>176</v>
      </c>
      <c r="B136" t="inlineStr">
        <is>
          <t>The Cavern</t>
        </is>
      </c>
      <c r="C136" s="27" t="n">
        <v>46096</v>
      </c>
      <c r="D136" t="n">
        <v>0</v>
      </c>
      <c r="E136" t="inlineStr">
        <is>
          <t>DÉBITO</t>
        </is>
      </c>
    </row>
    <row r="137">
      <c r="A137" t="n">
        <v>176</v>
      </c>
      <c r="B137" t="inlineStr">
        <is>
          <t>The Cavern</t>
        </is>
      </c>
      <c r="C137" s="27" t="n">
        <v>46096</v>
      </c>
      <c r="D137" t="n">
        <v>0</v>
      </c>
      <c r="E137" t="inlineStr">
        <is>
          <t>DINHEIRO</t>
        </is>
      </c>
    </row>
    <row r="138">
      <c r="A138" t="n">
        <v>176</v>
      </c>
      <c r="B138" t="inlineStr">
        <is>
          <t>The Cavern</t>
        </is>
      </c>
      <c r="C138" s="27" t="n">
        <v>46096</v>
      </c>
      <c r="D138" t="n">
        <v>0</v>
      </c>
      <c r="E138" t="inlineStr">
        <is>
          <t>APP</t>
        </is>
      </c>
    </row>
    <row r="139">
      <c r="A139" t="n">
        <v>176</v>
      </c>
      <c r="B139" t="inlineStr">
        <is>
          <t>The Cavern</t>
        </is>
      </c>
      <c r="C139" s="27" t="n">
        <v>46096</v>
      </c>
      <c r="D139" t="n">
        <v>0</v>
      </c>
      <c r="E139" t="inlineStr">
        <is>
          <t>DELIVERY ONLINE</t>
        </is>
      </c>
    </row>
    <row r="140">
      <c r="A140" t="n">
        <v>176</v>
      </c>
      <c r="B140" t="inlineStr">
        <is>
          <t>The Cavern</t>
        </is>
      </c>
      <c r="C140" s="27" t="n">
        <v>46096</v>
      </c>
      <c r="D140" t="n">
        <v>0</v>
      </c>
      <c r="E140" t="inlineStr">
        <is>
          <t>IFOOD</t>
        </is>
      </c>
    </row>
    <row r="141">
      <c r="A141" t="n">
        <v>176</v>
      </c>
      <c r="B141" t="inlineStr">
        <is>
          <t>The Cavern</t>
        </is>
      </c>
      <c r="C141" s="27" t="n">
        <v>46096</v>
      </c>
      <c r="D141" t="n">
        <v>0</v>
      </c>
      <c r="E141" t="inlineStr">
        <is>
          <t>PIX</t>
        </is>
      </c>
    </row>
    <row r="142">
      <c r="A142" t="n">
        <v>176</v>
      </c>
      <c r="B142" t="inlineStr">
        <is>
          <t>The Cavern</t>
        </is>
      </c>
      <c r="C142" s="27" t="n">
        <v>46096</v>
      </c>
      <c r="D142" t="n">
        <v>0</v>
      </c>
      <c r="E142" t="inlineStr">
        <is>
          <t>RAPPI</t>
        </is>
      </c>
    </row>
    <row r="143">
      <c r="A143" t="n">
        <v>176</v>
      </c>
      <c r="B143" t="inlineStr">
        <is>
          <t>The Cavern</t>
        </is>
      </c>
      <c r="C143" s="27" t="n">
        <v>46096</v>
      </c>
      <c r="D143" t="n">
        <v>0</v>
      </c>
      <c r="E143" t="inlineStr">
        <is>
          <t>UBER</t>
        </is>
      </c>
    </row>
    <row r="144">
      <c r="A144" t="n">
        <v>176</v>
      </c>
      <c r="B144" t="inlineStr">
        <is>
          <t>The Cavern</t>
        </is>
      </c>
      <c r="C144" s="27" t="n">
        <v>46096</v>
      </c>
      <c r="D144" t="n">
        <v>0</v>
      </c>
      <c r="E144" t="inlineStr">
        <is>
          <t>ANTECIPADO</t>
        </is>
      </c>
    </row>
    <row r="145">
      <c r="A145" t="n">
        <v>176</v>
      </c>
      <c r="B145" t="inlineStr">
        <is>
          <t>The Cavern</t>
        </is>
      </c>
      <c r="C145" s="27" t="n">
        <v>46096</v>
      </c>
      <c r="D145" t="n">
        <v>0</v>
      </c>
      <c r="E145" t="inlineStr">
        <is>
          <t>VOUCHER</t>
        </is>
      </c>
    </row>
    <row r="146">
      <c r="A146" t="n">
        <v>176</v>
      </c>
      <c r="B146" t="inlineStr">
        <is>
          <t>The Cavern</t>
        </is>
      </c>
      <c r="C146" s="27" t="n">
        <v>46096</v>
      </c>
      <c r="D146" t="n">
        <v>0</v>
      </c>
      <c r="E146" t="inlineStr">
        <is>
          <t>BÔNUS</t>
        </is>
      </c>
    </row>
    <row r="147">
      <c r="A147" t="n">
        <v>176</v>
      </c>
      <c r="B147" t="inlineStr">
        <is>
          <t>The Cavern</t>
        </is>
      </c>
      <c r="C147" s="27" t="n">
        <v>46096</v>
      </c>
      <c r="D147" t="n">
        <v>398.89</v>
      </c>
      <c r="E147" t="inlineStr">
        <is>
          <t>CRÉDITO</t>
        </is>
      </c>
    </row>
    <row r="148">
      <c r="A148" t="n">
        <v>176</v>
      </c>
      <c r="B148" t="inlineStr">
        <is>
          <t>The Cavern</t>
        </is>
      </c>
      <c r="C148" s="27" t="n">
        <v>46096</v>
      </c>
      <c r="D148" t="n">
        <v>0</v>
      </c>
      <c r="E148" t="inlineStr">
        <is>
          <t>ANTECIPADO</t>
        </is>
      </c>
    </row>
    <row r="149">
      <c r="A149" t="n">
        <v>176</v>
      </c>
      <c r="B149" t="inlineStr">
        <is>
          <t>The Cavern</t>
        </is>
      </c>
      <c r="C149" s="27" t="n">
        <v>46096</v>
      </c>
      <c r="D149" t="n">
        <v>0</v>
      </c>
      <c r="E149" t="inlineStr">
        <is>
          <t>OUTROS</t>
        </is>
      </c>
    </row>
    <row r="150">
      <c r="A150" t="n">
        <v>176</v>
      </c>
      <c r="B150" t="inlineStr">
        <is>
          <t>The Cavern</t>
        </is>
      </c>
      <c r="C150" s="27" t="n">
        <v>46096</v>
      </c>
      <c r="D150" t="n">
        <v>0</v>
      </c>
      <c r="E150" t="inlineStr">
        <is>
          <t>AME</t>
        </is>
      </c>
    </row>
    <row r="151">
      <c r="A151" t="n">
        <v>176</v>
      </c>
      <c r="B151" t="inlineStr">
        <is>
          <t>The Cavern</t>
        </is>
      </c>
      <c r="C151" s="27" t="n">
        <v>46096</v>
      </c>
      <c r="D151" t="n">
        <v>0</v>
      </c>
      <c r="E151" t="inlineStr">
        <is>
          <t>NOTAS MANUAIS + SERVIÇO</t>
        </is>
      </c>
    </row>
    <row r="152">
      <c r="A152" t="n">
        <v>176</v>
      </c>
      <c r="B152" t="inlineStr">
        <is>
          <t>The Cavern</t>
        </is>
      </c>
      <c r="C152" s="27" t="n">
        <v>46096</v>
      </c>
      <c r="D152" t="n">
        <v>0</v>
      </c>
      <c r="E152" t="inlineStr">
        <is>
          <t>RECARGAS DEVOLVIDAS</t>
        </is>
      </c>
    </row>
    <row r="153">
      <c r="A153" t="n">
        <v>176</v>
      </c>
      <c r="B153" t="inlineStr">
        <is>
          <t>The Cavern</t>
        </is>
      </c>
      <c r="C153" s="27" t="n">
        <v>46096</v>
      </c>
      <c r="D153" t="n">
        <v>0</v>
      </c>
      <c r="E153" t="inlineStr">
        <is>
          <t>VOUCHER INTEGRADO</t>
        </is>
      </c>
    </row>
    <row r="154">
      <c r="A154" t="n">
        <v>176</v>
      </c>
      <c r="B154" t="inlineStr">
        <is>
          <t>The Cavern</t>
        </is>
      </c>
      <c r="C154" s="27" t="n">
        <v>46095</v>
      </c>
      <c r="D154" t="n">
        <v>20</v>
      </c>
      <c r="E154" t="inlineStr">
        <is>
          <t>DINHEIRO</t>
        </is>
      </c>
    </row>
    <row r="155">
      <c r="A155" t="n">
        <v>176</v>
      </c>
      <c r="B155" t="inlineStr">
        <is>
          <t>The Cavern</t>
        </is>
      </c>
      <c r="C155" s="27" t="n">
        <v>46095</v>
      </c>
      <c r="D155" t="n">
        <v>0</v>
      </c>
      <c r="E155" t="inlineStr">
        <is>
          <t>APP</t>
        </is>
      </c>
    </row>
    <row r="156">
      <c r="A156" t="n">
        <v>176</v>
      </c>
      <c r="B156" t="inlineStr">
        <is>
          <t>The Cavern</t>
        </is>
      </c>
      <c r="C156" s="27" t="n">
        <v>46095</v>
      </c>
      <c r="D156" t="n">
        <v>0</v>
      </c>
      <c r="E156" t="inlineStr">
        <is>
          <t>MBWAY</t>
        </is>
      </c>
    </row>
    <row r="157">
      <c r="A157" t="n">
        <v>176</v>
      </c>
      <c r="B157" t="inlineStr">
        <is>
          <t>The Cavern</t>
        </is>
      </c>
      <c r="C157" s="27" t="n">
        <v>46095</v>
      </c>
      <c r="D157" t="n">
        <v>29023.89</v>
      </c>
      <c r="E157" t="inlineStr">
        <is>
          <t>CRÉDITO</t>
        </is>
      </c>
    </row>
    <row r="158">
      <c r="A158" t="n">
        <v>176</v>
      </c>
      <c r="B158" t="inlineStr">
        <is>
          <t>The Cavern</t>
        </is>
      </c>
      <c r="C158" s="27" t="n">
        <v>46095</v>
      </c>
      <c r="D158" t="n">
        <v>0</v>
      </c>
      <c r="E158" t="inlineStr">
        <is>
          <t>APP</t>
        </is>
      </c>
    </row>
    <row r="159">
      <c r="A159" t="n">
        <v>176</v>
      </c>
      <c r="B159" t="inlineStr">
        <is>
          <t>The Cavern</t>
        </is>
      </c>
      <c r="C159" s="27" t="n">
        <v>46095</v>
      </c>
      <c r="D159" t="n">
        <v>0</v>
      </c>
      <c r="E159" t="inlineStr">
        <is>
          <t>ANTECIPADO</t>
        </is>
      </c>
    </row>
    <row r="160">
      <c r="A160" t="n">
        <v>176</v>
      </c>
      <c r="B160" t="inlineStr">
        <is>
          <t>The Cavern</t>
        </is>
      </c>
      <c r="C160" s="27" t="n">
        <v>46095</v>
      </c>
      <c r="D160" t="n">
        <v>0</v>
      </c>
      <c r="E160" t="inlineStr">
        <is>
          <t>UBER</t>
        </is>
      </c>
    </row>
    <row r="161">
      <c r="A161" t="n">
        <v>176</v>
      </c>
      <c r="B161" t="inlineStr">
        <is>
          <t>The Cavern</t>
        </is>
      </c>
      <c r="C161" s="27" t="n">
        <v>46095</v>
      </c>
      <c r="D161" t="n">
        <v>0</v>
      </c>
      <c r="E161" t="inlineStr">
        <is>
          <t>RAPPI</t>
        </is>
      </c>
    </row>
    <row r="162">
      <c r="A162" t="n">
        <v>176</v>
      </c>
      <c r="B162" t="inlineStr">
        <is>
          <t>The Cavern</t>
        </is>
      </c>
      <c r="C162" s="27" t="n">
        <v>46095</v>
      </c>
      <c r="D162" t="n">
        <v>0</v>
      </c>
      <c r="E162" t="inlineStr">
        <is>
          <t>PIX</t>
        </is>
      </c>
    </row>
    <row r="163">
      <c r="A163" t="n">
        <v>176</v>
      </c>
      <c r="B163" t="inlineStr">
        <is>
          <t>The Cavern</t>
        </is>
      </c>
      <c r="C163" s="27" t="n">
        <v>46095</v>
      </c>
      <c r="D163" t="n">
        <v>0</v>
      </c>
      <c r="E163" t="inlineStr">
        <is>
          <t>IFOOD</t>
        </is>
      </c>
    </row>
    <row r="164">
      <c r="A164" t="n">
        <v>176</v>
      </c>
      <c r="B164" t="inlineStr">
        <is>
          <t>The Cavern</t>
        </is>
      </c>
      <c r="C164" s="27" t="n">
        <v>46095</v>
      </c>
      <c r="D164" t="n">
        <v>0</v>
      </c>
      <c r="E164" t="inlineStr">
        <is>
          <t>DELIVERY ONLINE</t>
        </is>
      </c>
    </row>
    <row r="165">
      <c r="A165" t="n">
        <v>176</v>
      </c>
      <c r="B165" t="inlineStr">
        <is>
          <t>The Cavern</t>
        </is>
      </c>
      <c r="C165" s="27" t="n">
        <v>46095</v>
      </c>
      <c r="D165" t="n">
        <v>0</v>
      </c>
      <c r="E165" t="inlineStr">
        <is>
          <t>VOUCHER INTEGRADO</t>
        </is>
      </c>
    </row>
    <row r="166">
      <c r="A166" t="n">
        <v>176</v>
      </c>
      <c r="B166" t="inlineStr">
        <is>
          <t>The Cavern</t>
        </is>
      </c>
      <c r="C166" s="27" t="n">
        <v>46095</v>
      </c>
      <c r="D166" t="n">
        <v>0</v>
      </c>
      <c r="E166" t="inlineStr">
        <is>
          <t>VOUCHER</t>
        </is>
      </c>
    </row>
    <row r="167">
      <c r="A167" t="n">
        <v>176</v>
      </c>
      <c r="B167" t="inlineStr">
        <is>
          <t>The Cavern</t>
        </is>
      </c>
      <c r="C167" s="27" t="n">
        <v>46095</v>
      </c>
      <c r="D167" t="n">
        <v>0</v>
      </c>
      <c r="E167" t="inlineStr">
        <is>
          <t>ANTECIPADO</t>
        </is>
      </c>
    </row>
    <row r="168">
      <c r="A168" t="n">
        <v>176</v>
      </c>
      <c r="B168" t="inlineStr">
        <is>
          <t>The Cavern</t>
        </is>
      </c>
      <c r="C168" s="27" t="n">
        <v>46095</v>
      </c>
      <c r="D168" t="n">
        <v>0</v>
      </c>
      <c r="E168" t="inlineStr">
        <is>
          <t>UBER</t>
        </is>
      </c>
    </row>
    <row r="169">
      <c r="A169" t="n">
        <v>176</v>
      </c>
      <c r="B169" t="inlineStr">
        <is>
          <t>The Cavern</t>
        </is>
      </c>
      <c r="C169" s="27" t="n">
        <v>46095</v>
      </c>
      <c r="D169" t="n">
        <v>0</v>
      </c>
      <c r="E169" t="inlineStr">
        <is>
          <t>RAPPI</t>
        </is>
      </c>
    </row>
    <row r="170">
      <c r="A170" t="n">
        <v>176</v>
      </c>
      <c r="B170" t="inlineStr">
        <is>
          <t>The Cavern</t>
        </is>
      </c>
      <c r="C170" s="27" t="n">
        <v>46095</v>
      </c>
      <c r="D170" t="n">
        <v>750.88</v>
      </c>
      <c r="E170" t="inlineStr">
        <is>
          <t>PIX</t>
        </is>
      </c>
    </row>
    <row r="171">
      <c r="A171" t="n">
        <v>176</v>
      </c>
      <c r="B171" t="inlineStr">
        <is>
          <t>The Cavern</t>
        </is>
      </c>
      <c r="C171" s="27" t="n">
        <v>46095</v>
      </c>
      <c r="D171" t="n">
        <v>0</v>
      </c>
      <c r="E171" t="inlineStr">
        <is>
          <t>IFOOD</t>
        </is>
      </c>
    </row>
    <row r="172">
      <c r="A172" t="n">
        <v>176</v>
      </c>
      <c r="B172" t="inlineStr">
        <is>
          <t>The Cavern</t>
        </is>
      </c>
      <c r="C172" s="27" t="n">
        <v>46095</v>
      </c>
      <c r="D172" t="n">
        <v>0</v>
      </c>
      <c r="E172" t="inlineStr">
        <is>
          <t>DELIVERY ONLINE</t>
        </is>
      </c>
    </row>
    <row r="173">
      <c r="A173" t="n">
        <v>176</v>
      </c>
      <c r="B173" t="inlineStr">
        <is>
          <t>The Cavern</t>
        </is>
      </c>
      <c r="C173" s="27" t="n">
        <v>46095</v>
      </c>
      <c r="D173" t="n">
        <v>0</v>
      </c>
      <c r="E173" t="inlineStr">
        <is>
          <t>DINHEIRO</t>
        </is>
      </c>
    </row>
    <row r="174">
      <c r="A174" t="n">
        <v>176</v>
      </c>
      <c r="B174" t="inlineStr">
        <is>
          <t>The Cavern</t>
        </is>
      </c>
      <c r="C174" s="27" t="n">
        <v>46095</v>
      </c>
      <c r="D174" t="n">
        <v>0</v>
      </c>
      <c r="E174" t="inlineStr">
        <is>
          <t>RECARGAS DEVOLVIDAS</t>
        </is>
      </c>
    </row>
    <row r="175">
      <c r="A175" t="n">
        <v>176</v>
      </c>
      <c r="B175" t="inlineStr">
        <is>
          <t>The Cavern</t>
        </is>
      </c>
      <c r="C175" s="27" t="n">
        <v>46095</v>
      </c>
      <c r="D175" t="n">
        <v>353.69</v>
      </c>
      <c r="E175" t="inlineStr">
        <is>
          <t>VOUCHER</t>
        </is>
      </c>
    </row>
    <row r="176">
      <c r="A176" t="n">
        <v>176</v>
      </c>
      <c r="B176" t="inlineStr">
        <is>
          <t>The Cavern</t>
        </is>
      </c>
      <c r="C176" s="27" t="n">
        <v>46095</v>
      </c>
      <c r="D176" t="n">
        <v>463.3</v>
      </c>
      <c r="E176" t="inlineStr">
        <is>
          <t>DÉBITO</t>
        </is>
      </c>
    </row>
    <row r="177">
      <c r="A177" t="n">
        <v>176</v>
      </c>
      <c r="B177" t="inlineStr">
        <is>
          <t>The Cavern</t>
        </is>
      </c>
      <c r="C177" s="27" t="n">
        <v>46095</v>
      </c>
      <c r="D177" t="n">
        <v>6631.59</v>
      </c>
      <c r="E177" t="inlineStr">
        <is>
          <t>DÉBITO</t>
        </is>
      </c>
    </row>
    <row r="178">
      <c r="A178" t="n">
        <v>176</v>
      </c>
      <c r="B178" t="inlineStr">
        <is>
          <t>The Cavern</t>
        </is>
      </c>
      <c r="C178" s="27" t="n">
        <v>46095</v>
      </c>
      <c r="D178" t="n">
        <v>0</v>
      </c>
      <c r="E178" t="inlineStr">
        <is>
          <t>BÔNUS</t>
        </is>
      </c>
    </row>
    <row r="179">
      <c r="A179" t="n">
        <v>176</v>
      </c>
      <c r="B179" t="inlineStr">
        <is>
          <t>The Cavern</t>
        </is>
      </c>
      <c r="C179" s="27" t="n">
        <v>46095</v>
      </c>
      <c r="D179" t="n">
        <v>0</v>
      </c>
      <c r="E179" t="inlineStr">
        <is>
          <t>ANTECIPADO</t>
        </is>
      </c>
    </row>
    <row r="180">
      <c r="A180" t="n">
        <v>176</v>
      </c>
      <c r="B180" t="inlineStr">
        <is>
          <t>The Cavern</t>
        </is>
      </c>
      <c r="C180" s="27" t="n">
        <v>46095</v>
      </c>
      <c r="D180" t="n">
        <v>0</v>
      </c>
      <c r="E180" t="inlineStr">
        <is>
          <t>OUTROS</t>
        </is>
      </c>
    </row>
    <row r="181">
      <c r="A181" t="n">
        <v>176</v>
      </c>
      <c r="B181" t="inlineStr">
        <is>
          <t>The Cavern</t>
        </is>
      </c>
      <c r="C181" s="27" t="n">
        <v>46095</v>
      </c>
      <c r="D181" t="n">
        <v>0</v>
      </c>
      <c r="E181" t="inlineStr">
        <is>
          <t>AME</t>
        </is>
      </c>
    </row>
    <row r="182">
      <c r="A182" t="n">
        <v>176</v>
      </c>
      <c r="B182" t="inlineStr">
        <is>
          <t>The Cavern</t>
        </is>
      </c>
      <c r="C182" s="27" t="n">
        <v>46095</v>
      </c>
      <c r="D182" t="n">
        <v>0</v>
      </c>
      <c r="E182" t="inlineStr">
        <is>
          <t>NOTAS MANUAIS + SERVIÇO</t>
        </is>
      </c>
    </row>
    <row r="183">
      <c r="A183" t="n">
        <v>176</v>
      </c>
      <c r="B183" t="inlineStr">
        <is>
          <t>The Cavern</t>
        </is>
      </c>
      <c r="C183" s="27" t="n">
        <v>46095</v>
      </c>
      <c r="D183" t="n">
        <v>1236.22</v>
      </c>
      <c r="E183" t="inlineStr">
        <is>
          <t>CRÉDITO</t>
        </is>
      </c>
    </row>
    <row r="184">
      <c r="A184" t="n">
        <v>176</v>
      </c>
      <c r="B184" t="inlineStr">
        <is>
          <t>The Cavern</t>
        </is>
      </c>
      <c r="C184" s="27" t="n">
        <v>46095</v>
      </c>
      <c r="D184" t="n">
        <v>0</v>
      </c>
      <c r="E184" t="inlineStr">
        <is>
          <t>VOUCHER INTEGRADO</t>
        </is>
      </c>
    </row>
    <row r="185">
      <c r="A185" t="n">
        <v>176</v>
      </c>
      <c r="B185" t="inlineStr">
        <is>
          <t>The Cavern</t>
        </is>
      </c>
      <c r="C185" s="27" t="n">
        <v>46095</v>
      </c>
      <c r="D185" t="n">
        <v>0</v>
      </c>
      <c r="E185" t="inlineStr">
        <is>
          <t>MBWAY</t>
        </is>
      </c>
    </row>
    <row r="186">
      <c r="A186" t="n">
        <v>176</v>
      </c>
      <c r="B186" t="inlineStr">
        <is>
          <t>The Cavern</t>
        </is>
      </c>
      <c r="C186" s="27" t="n">
        <v>46095</v>
      </c>
      <c r="D186" t="n">
        <v>0</v>
      </c>
      <c r="E186" t="inlineStr">
        <is>
          <t>BÔNUS</t>
        </is>
      </c>
    </row>
    <row r="187">
      <c r="A187" t="n">
        <v>176</v>
      </c>
      <c r="B187" t="inlineStr">
        <is>
          <t>The Cavern</t>
        </is>
      </c>
      <c r="C187" s="27" t="n">
        <v>46095</v>
      </c>
      <c r="D187" t="n">
        <v>0</v>
      </c>
      <c r="E187" t="inlineStr">
        <is>
          <t>ANTECIPADO</t>
        </is>
      </c>
    </row>
    <row r="188">
      <c r="A188" t="n">
        <v>176</v>
      </c>
      <c r="B188" t="inlineStr">
        <is>
          <t>The Cavern</t>
        </is>
      </c>
      <c r="C188" s="27" t="n">
        <v>46095</v>
      </c>
      <c r="D188" t="n">
        <v>0</v>
      </c>
      <c r="E188" t="inlineStr">
        <is>
          <t>OUTROS</t>
        </is>
      </c>
    </row>
    <row r="189">
      <c r="A189" t="n">
        <v>176</v>
      </c>
      <c r="B189" t="inlineStr">
        <is>
          <t>The Cavern</t>
        </is>
      </c>
      <c r="C189" s="27" t="n">
        <v>46095</v>
      </c>
      <c r="D189" t="n">
        <v>0</v>
      </c>
      <c r="E189" t="inlineStr">
        <is>
          <t>AME</t>
        </is>
      </c>
    </row>
    <row r="190">
      <c r="A190" t="n">
        <v>176</v>
      </c>
      <c r="B190" t="inlineStr">
        <is>
          <t>The Cavern</t>
        </is>
      </c>
      <c r="C190" s="27" t="n">
        <v>46095</v>
      </c>
      <c r="D190" t="n">
        <v>0</v>
      </c>
      <c r="E190" t="inlineStr">
        <is>
          <t>NOTAS MANUAIS + SERVIÇO</t>
        </is>
      </c>
    </row>
    <row r="191">
      <c r="A191" t="n">
        <v>176</v>
      </c>
      <c r="B191" t="inlineStr">
        <is>
          <t>The Cavern</t>
        </is>
      </c>
      <c r="C191" s="27" t="n">
        <v>46095</v>
      </c>
      <c r="D191" t="n">
        <v>0</v>
      </c>
      <c r="E191" t="inlineStr">
        <is>
          <t>RECARGAS DEVOLVIDAS</t>
        </is>
      </c>
    </row>
    <row r="192">
      <c r="A192" t="n">
        <v>176</v>
      </c>
      <c r="B192" t="inlineStr">
        <is>
          <t>The Cavern</t>
        </is>
      </c>
      <c r="C192" s="27" t="n">
        <v>46094</v>
      </c>
      <c r="D192" t="n">
        <v>0</v>
      </c>
      <c r="E192" t="inlineStr">
        <is>
          <t>VOUCHER</t>
        </is>
      </c>
    </row>
    <row r="193">
      <c r="A193" t="n">
        <v>176</v>
      </c>
      <c r="B193" t="inlineStr">
        <is>
          <t>The Cavern</t>
        </is>
      </c>
      <c r="C193" s="27" t="n">
        <v>46094</v>
      </c>
      <c r="D193" t="n">
        <v>15246.07</v>
      </c>
      <c r="E193" t="inlineStr">
        <is>
          <t>CRÉDITO</t>
        </is>
      </c>
    </row>
    <row r="194">
      <c r="A194" t="n">
        <v>176</v>
      </c>
      <c r="B194" t="inlineStr">
        <is>
          <t>The Cavern</t>
        </is>
      </c>
      <c r="C194" s="27" t="n">
        <v>46094</v>
      </c>
      <c r="D194" t="n">
        <v>0</v>
      </c>
      <c r="E194" t="inlineStr">
        <is>
          <t>DINHEIRO</t>
        </is>
      </c>
    </row>
    <row r="195">
      <c r="A195" t="n">
        <v>176</v>
      </c>
      <c r="B195" t="inlineStr">
        <is>
          <t>The Cavern</t>
        </is>
      </c>
      <c r="C195" s="27" t="n">
        <v>46094</v>
      </c>
      <c r="D195" t="n">
        <v>31</v>
      </c>
      <c r="E195" t="inlineStr">
        <is>
          <t>APP</t>
        </is>
      </c>
    </row>
    <row r="196">
      <c r="A196" t="n">
        <v>176</v>
      </c>
      <c r="B196" t="inlineStr">
        <is>
          <t>The Cavern</t>
        </is>
      </c>
      <c r="C196" s="27" t="n">
        <v>46094</v>
      </c>
      <c r="D196" t="n">
        <v>0</v>
      </c>
      <c r="E196" t="inlineStr">
        <is>
          <t>DELIVERY ONLINE</t>
        </is>
      </c>
    </row>
    <row r="197">
      <c r="A197" t="n">
        <v>176</v>
      </c>
      <c r="B197" t="inlineStr">
        <is>
          <t>The Cavern</t>
        </is>
      </c>
      <c r="C197" s="27" t="n">
        <v>46094</v>
      </c>
      <c r="D197" t="n">
        <v>0</v>
      </c>
      <c r="E197" t="inlineStr">
        <is>
          <t>IFOOD</t>
        </is>
      </c>
    </row>
    <row r="198">
      <c r="A198" t="n">
        <v>176</v>
      </c>
      <c r="B198" t="inlineStr">
        <is>
          <t>The Cavern</t>
        </is>
      </c>
      <c r="C198" s="27" t="n">
        <v>46094</v>
      </c>
      <c r="D198" t="n">
        <v>1097.79</v>
      </c>
      <c r="E198" t="inlineStr">
        <is>
          <t>PIX</t>
        </is>
      </c>
    </row>
    <row r="199">
      <c r="A199" t="n">
        <v>176</v>
      </c>
      <c r="B199" t="inlineStr">
        <is>
          <t>The Cavern</t>
        </is>
      </c>
      <c r="C199" s="27" t="n">
        <v>46094</v>
      </c>
      <c r="D199" t="n">
        <v>0</v>
      </c>
      <c r="E199" t="inlineStr">
        <is>
          <t>RAPPI</t>
        </is>
      </c>
    </row>
    <row r="200">
      <c r="A200" t="n">
        <v>176</v>
      </c>
      <c r="B200" t="inlineStr">
        <is>
          <t>The Cavern</t>
        </is>
      </c>
      <c r="C200" s="27" t="n">
        <v>46094</v>
      </c>
      <c r="D200" t="n">
        <v>0</v>
      </c>
      <c r="E200" t="inlineStr">
        <is>
          <t>UBER</t>
        </is>
      </c>
    </row>
    <row r="201">
      <c r="A201" t="n">
        <v>176</v>
      </c>
      <c r="B201" t="inlineStr">
        <is>
          <t>The Cavern</t>
        </is>
      </c>
      <c r="C201" s="27" t="n">
        <v>46094</v>
      </c>
      <c r="D201" t="n">
        <v>0</v>
      </c>
      <c r="E201" t="inlineStr">
        <is>
          <t>ANTECIPADO</t>
        </is>
      </c>
    </row>
    <row r="202">
      <c r="A202" t="n">
        <v>176</v>
      </c>
      <c r="B202" t="inlineStr">
        <is>
          <t>The Cavern</t>
        </is>
      </c>
      <c r="C202" s="27" t="n">
        <v>46094</v>
      </c>
      <c r="D202" t="n">
        <v>0</v>
      </c>
      <c r="E202" t="inlineStr">
        <is>
          <t>DINHEIRO</t>
        </is>
      </c>
    </row>
    <row r="203">
      <c r="A203" t="n">
        <v>176</v>
      </c>
      <c r="B203" t="inlineStr">
        <is>
          <t>The Cavern</t>
        </is>
      </c>
      <c r="C203" s="27" t="n">
        <v>46094</v>
      </c>
      <c r="D203" t="n">
        <v>3888.37</v>
      </c>
      <c r="E203" t="inlineStr">
        <is>
          <t>DÉBITO</t>
        </is>
      </c>
    </row>
    <row r="204">
      <c r="A204" t="n">
        <v>176</v>
      </c>
      <c r="B204" t="inlineStr">
        <is>
          <t>The Cavern</t>
        </is>
      </c>
      <c r="C204" s="27" t="n">
        <v>46094</v>
      </c>
      <c r="D204" t="n">
        <v>0</v>
      </c>
      <c r="E204" t="inlineStr">
        <is>
          <t>BÔNUS</t>
        </is>
      </c>
    </row>
    <row r="205">
      <c r="A205" t="n">
        <v>176</v>
      </c>
      <c r="B205" t="inlineStr">
        <is>
          <t>The Cavern</t>
        </is>
      </c>
      <c r="C205" s="27" t="n">
        <v>46094</v>
      </c>
      <c r="D205" t="n">
        <v>0</v>
      </c>
      <c r="E205" t="inlineStr">
        <is>
          <t>ANTECIPADO</t>
        </is>
      </c>
    </row>
    <row r="206">
      <c r="A206" t="n">
        <v>176</v>
      </c>
      <c r="B206" t="inlineStr">
        <is>
          <t>The Cavern</t>
        </is>
      </c>
      <c r="C206" s="27" t="n">
        <v>46094</v>
      </c>
      <c r="D206" t="n">
        <v>0</v>
      </c>
      <c r="E206" t="inlineStr">
        <is>
          <t>OUTROS</t>
        </is>
      </c>
    </row>
    <row r="207">
      <c r="A207" t="n">
        <v>176</v>
      </c>
      <c r="B207" t="inlineStr">
        <is>
          <t>The Cavern</t>
        </is>
      </c>
      <c r="C207" s="27" t="n">
        <v>46094</v>
      </c>
      <c r="D207" t="n">
        <v>0</v>
      </c>
      <c r="E207" t="inlineStr">
        <is>
          <t>AME</t>
        </is>
      </c>
    </row>
    <row r="208">
      <c r="A208" t="n">
        <v>176</v>
      </c>
      <c r="B208" t="inlineStr">
        <is>
          <t>The Cavern</t>
        </is>
      </c>
      <c r="C208" s="27" t="n">
        <v>46094</v>
      </c>
      <c r="D208" t="n">
        <v>0</v>
      </c>
      <c r="E208" t="inlineStr">
        <is>
          <t>NOTAS MANUAIS + SERVIÇO</t>
        </is>
      </c>
    </row>
    <row r="209">
      <c r="A209" t="n">
        <v>176</v>
      </c>
      <c r="B209" t="inlineStr">
        <is>
          <t>The Cavern</t>
        </is>
      </c>
      <c r="C209" s="27" t="n">
        <v>46094</v>
      </c>
      <c r="D209" t="n">
        <v>0</v>
      </c>
      <c r="E209" t="inlineStr">
        <is>
          <t>RECARGAS DEVOLVIDAS</t>
        </is>
      </c>
    </row>
    <row r="210">
      <c r="A210" t="n">
        <v>176</v>
      </c>
      <c r="B210" t="inlineStr">
        <is>
          <t>The Cavern</t>
        </is>
      </c>
      <c r="C210" s="27" t="n">
        <v>46094</v>
      </c>
      <c r="D210" t="n">
        <v>0</v>
      </c>
      <c r="E210" t="inlineStr">
        <is>
          <t>VOUCHER INTEGRADO</t>
        </is>
      </c>
    </row>
    <row r="211">
      <c r="A211" t="n">
        <v>176</v>
      </c>
      <c r="B211" t="inlineStr">
        <is>
          <t>The Cavern</t>
        </is>
      </c>
      <c r="C211" s="27" t="n">
        <v>46094</v>
      </c>
      <c r="D211" t="n">
        <v>0</v>
      </c>
      <c r="E211" t="inlineStr">
        <is>
          <t>MBWAY</t>
        </is>
      </c>
    </row>
    <row r="212">
      <c r="A212" t="n">
        <v>176</v>
      </c>
      <c r="B212" t="inlineStr">
        <is>
          <t>The Cavern</t>
        </is>
      </c>
      <c r="C212" s="27" t="n">
        <v>46094</v>
      </c>
      <c r="D212" t="n">
        <v>0</v>
      </c>
      <c r="E212" t="inlineStr">
        <is>
          <t>MBWAY</t>
        </is>
      </c>
    </row>
    <row r="213">
      <c r="A213" t="n">
        <v>176</v>
      </c>
      <c r="B213" t="inlineStr">
        <is>
          <t>The Cavern</t>
        </is>
      </c>
      <c r="C213" s="27" t="n">
        <v>46094</v>
      </c>
      <c r="D213" t="n">
        <v>0</v>
      </c>
      <c r="E213" t="inlineStr">
        <is>
          <t>APP</t>
        </is>
      </c>
    </row>
    <row r="214">
      <c r="A214" t="n">
        <v>176</v>
      </c>
      <c r="B214" t="inlineStr">
        <is>
          <t>The Cavern</t>
        </is>
      </c>
      <c r="C214" s="27" t="n">
        <v>46094</v>
      </c>
      <c r="D214" t="n">
        <v>2755.27</v>
      </c>
      <c r="E214" t="inlineStr">
        <is>
          <t>CRÉDITO</t>
        </is>
      </c>
    </row>
    <row r="215">
      <c r="A215" t="n">
        <v>176</v>
      </c>
      <c r="B215" t="inlineStr">
        <is>
          <t>The Cavern</t>
        </is>
      </c>
      <c r="C215" s="27" t="n">
        <v>46094</v>
      </c>
      <c r="D215" t="n">
        <v>0</v>
      </c>
      <c r="E215" t="inlineStr">
        <is>
          <t>DELIVERY ONLINE</t>
        </is>
      </c>
    </row>
    <row r="216">
      <c r="A216" t="n">
        <v>176</v>
      </c>
      <c r="B216" t="inlineStr">
        <is>
          <t>The Cavern</t>
        </is>
      </c>
      <c r="C216" s="27" t="n">
        <v>46094</v>
      </c>
      <c r="D216" t="n">
        <v>0</v>
      </c>
      <c r="E216" t="inlineStr">
        <is>
          <t>IFOOD</t>
        </is>
      </c>
    </row>
    <row r="217">
      <c r="A217" t="n">
        <v>176</v>
      </c>
      <c r="B217" t="inlineStr">
        <is>
          <t>The Cavern</t>
        </is>
      </c>
      <c r="C217" s="27" t="n">
        <v>46094</v>
      </c>
      <c r="D217" t="n">
        <v>0</v>
      </c>
      <c r="E217" t="inlineStr">
        <is>
          <t>PIX</t>
        </is>
      </c>
    </row>
    <row r="218">
      <c r="A218" t="n">
        <v>176</v>
      </c>
      <c r="B218" t="inlineStr">
        <is>
          <t>The Cavern</t>
        </is>
      </c>
      <c r="C218" s="27" t="n">
        <v>46094</v>
      </c>
      <c r="D218" t="n">
        <v>0</v>
      </c>
      <c r="E218" t="inlineStr">
        <is>
          <t>RAPPI</t>
        </is>
      </c>
    </row>
    <row r="219">
      <c r="A219" t="n">
        <v>176</v>
      </c>
      <c r="B219" t="inlineStr">
        <is>
          <t>The Cavern</t>
        </is>
      </c>
      <c r="C219" s="27" t="n">
        <v>46094</v>
      </c>
      <c r="D219" t="n">
        <v>0</v>
      </c>
      <c r="E219" t="inlineStr">
        <is>
          <t>UBER</t>
        </is>
      </c>
    </row>
    <row r="220">
      <c r="A220" t="n">
        <v>176</v>
      </c>
      <c r="B220" t="inlineStr">
        <is>
          <t>The Cavern</t>
        </is>
      </c>
      <c r="C220" s="27" t="n">
        <v>46094</v>
      </c>
      <c r="D220" t="n">
        <v>0</v>
      </c>
      <c r="E220" t="inlineStr">
        <is>
          <t>ANTECIPADO</t>
        </is>
      </c>
    </row>
    <row r="221">
      <c r="A221" t="n">
        <v>176</v>
      </c>
      <c r="B221" t="inlineStr">
        <is>
          <t>The Cavern</t>
        </is>
      </c>
      <c r="C221" s="27" t="n">
        <v>46094</v>
      </c>
      <c r="D221" t="n">
        <v>200.9</v>
      </c>
      <c r="E221" t="inlineStr">
        <is>
          <t>VOUCHER</t>
        </is>
      </c>
    </row>
    <row r="222">
      <c r="A222" t="n">
        <v>176</v>
      </c>
      <c r="B222" t="inlineStr">
        <is>
          <t>The Cavern</t>
        </is>
      </c>
      <c r="C222" s="27" t="n">
        <v>46094</v>
      </c>
      <c r="D222" t="n">
        <v>0</v>
      </c>
      <c r="E222" t="inlineStr">
        <is>
          <t>BÔNUS</t>
        </is>
      </c>
    </row>
    <row r="223">
      <c r="A223" t="n">
        <v>176</v>
      </c>
      <c r="B223" t="inlineStr">
        <is>
          <t>The Cavern</t>
        </is>
      </c>
      <c r="C223" s="27" t="n">
        <v>46094</v>
      </c>
      <c r="D223" t="n">
        <v>0</v>
      </c>
      <c r="E223" t="inlineStr">
        <is>
          <t>ANTECIPADO</t>
        </is>
      </c>
    </row>
    <row r="224">
      <c r="A224" t="n">
        <v>176</v>
      </c>
      <c r="B224" t="inlineStr">
        <is>
          <t>The Cavern</t>
        </is>
      </c>
      <c r="C224" s="27" t="n">
        <v>46094</v>
      </c>
      <c r="D224" t="n">
        <v>0</v>
      </c>
      <c r="E224" t="inlineStr">
        <is>
          <t>OUTROS</t>
        </is>
      </c>
    </row>
    <row r="225">
      <c r="A225" t="n">
        <v>176</v>
      </c>
      <c r="B225" t="inlineStr">
        <is>
          <t>The Cavern</t>
        </is>
      </c>
      <c r="C225" s="27" t="n">
        <v>46094</v>
      </c>
      <c r="D225" t="n">
        <v>0</v>
      </c>
      <c r="E225" t="inlineStr">
        <is>
          <t>AME</t>
        </is>
      </c>
    </row>
    <row r="226">
      <c r="A226" t="n">
        <v>176</v>
      </c>
      <c r="B226" t="inlineStr">
        <is>
          <t>The Cavern</t>
        </is>
      </c>
      <c r="C226" s="27" t="n">
        <v>46094</v>
      </c>
      <c r="D226" t="n">
        <v>0</v>
      </c>
      <c r="E226" t="inlineStr">
        <is>
          <t>NOTAS MANUAIS + SERVIÇO</t>
        </is>
      </c>
    </row>
    <row r="227">
      <c r="A227" t="n">
        <v>176</v>
      </c>
      <c r="B227" t="inlineStr">
        <is>
          <t>The Cavern</t>
        </is>
      </c>
      <c r="C227" s="27" t="n">
        <v>46094</v>
      </c>
      <c r="D227" t="n">
        <v>0</v>
      </c>
      <c r="E227" t="inlineStr">
        <is>
          <t>RECARGAS DEVOLVIDAS</t>
        </is>
      </c>
    </row>
    <row r="228">
      <c r="A228" t="n">
        <v>176</v>
      </c>
      <c r="B228" t="inlineStr">
        <is>
          <t>The Cavern</t>
        </is>
      </c>
      <c r="C228" s="27" t="n">
        <v>46094</v>
      </c>
      <c r="D228" t="n">
        <v>0</v>
      </c>
      <c r="E228" t="inlineStr">
        <is>
          <t>VOUCHER INTEGRADO</t>
        </is>
      </c>
    </row>
    <row r="229">
      <c r="A229" t="n">
        <v>176</v>
      </c>
      <c r="B229" t="inlineStr">
        <is>
          <t>The Cavern</t>
        </is>
      </c>
      <c r="C229" s="27" t="n">
        <v>46094</v>
      </c>
      <c r="D229" t="n">
        <v>620.78</v>
      </c>
      <c r="E229" t="inlineStr">
        <is>
          <t>DÉBITO</t>
        </is>
      </c>
    </row>
    <row r="230">
      <c r="A230" t="n">
        <v>176</v>
      </c>
      <c r="B230" t="inlineStr">
        <is>
          <t>The Cavern</t>
        </is>
      </c>
      <c r="C230" s="27" t="n">
        <v>46093</v>
      </c>
      <c r="D230" t="n">
        <v>1166.24</v>
      </c>
      <c r="E230" t="inlineStr">
        <is>
          <t>DÉBITO</t>
        </is>
      </c>
    </row>
    <row r="231">
      <c r="A231" t="n">
        <v>176</v>
      </c>
      <c r="B231" t="inlineStr">
        <is>
          <t>The Cavern</t>
        </is>
      </c>
      <c r="C231" s="27" t="n">
        <v>46093</v>
      </c>
      <c r="D231" t="n">
        <v>0</v>
      </c>
      <c r="E231" t="inlineStr">
        <is>
          <t>BÔNUS</t>
        </is>
      </c>
    </row>
    <row r="232">
      <c r="A232" t="n">
        <v>176</v>
      </c>
      <c r="B232" t="inlineStr">
        <is>
          <t>The Cavern</t>
        </is>
      </c>
      <c r="C232" s="27" t="n">
        <v>46093</v>
      </c>
      <c r="D232" t="n">
        <v>0</v>
      </c>
      <c r="E232" t="inlineStr">
        <is>
          <t>ANTECIPADO</t>
        </is>
      </c>
    </row>
    <row r="233">
      <c r="A233" t="n">
        <v>176</v>
      </c>
      <c r="B233" t="inlineStr">
        <is>
          <t>The Cavern</t>
        </is>
      </c>
      <c r="C233" s="27" t="n">
        <v>46093</v>
      </c>
      <c r="D233" t="n">
        <v>0</v>
      </c>
      <c r="E233" t="inlineStr">
        <is>
          <t>OUTROS</t>
        </is>
      </c>
    </row>
    <row r="234">
      <c r="A234" t="n">
        <v>176</v>
      </c>
      <c r="B234" t="inlineStr">
        <is>
          <t>The Cavern</t>
        </is>
      </c>
      <c r="C234" s="27" t="n">
        <v>46093</v>
      </c>
      <c r="D234" t="n">
        <v>0</v>
      </c>
      <c r="E234" t="inlineStr">
        <is>
          <t>AME</t>
        </is>
      </c>
    </row>
    <row r="235">
      <c r="A235" t="n">
        <v>176</v>
      </c>
      <c r="B235" t="inlineStr">
        <is>
          <t>The Cavern</t>
        </is>
      </c>
      <c r="C235" s="27" t="n">
        <v>46093</v>
      </c>
      <c r="D235" t="n">
        <v>0</v>
      </c>
      <c r="E235" t="inlineStr">
        <is>
          <t>NOTAS MANUAIS + SERVIÇO</t>
        </is>
      </c>
    </row>
    <row r="236">
      <c r="A236" t="n">
        <v>176</v>
      </c>
      <c r="B236" t="inlineStr">
        <is>
          <t>The Cavern</t>
        </is>
      </c>
      <c r="C236" s="27" t="n">
        <v>46093</v>
      </c>
      <c r="D236" t="n">
        <v>0</v>
      </c>
      <c r="E236" t="inlineStr">
        <is>
          <t>RECARGAS DEVOLVIDAS</t>
        </is>
      </c>
    </row>
    <row r="237">
      <c r="A237" t="n">
        <v>176</v>
      </c>
      <c r="B237" t="inlineStr">
        <is>
          <t>The Cavern</t>
        </is>
      </c>
      <c r="C237" s="27" t="n">
        <v>46093</v>
      </c>
      <c r="D237" t="n">
        <v>0</v>
      </c>
      <c r="E237" t="inlineStr">
        <is>
          <t>VOUCHER INTEGRADO</t>
        </is>
      </c>
    </row>
    <row r="238">
      <c r="A238" t="n">
        <v>176</v>
      </c>
      <c r="B238" t="inlineStr">
        <is>
          <t>The Cavern</t>
        </is>
      </c>
      <c r="C238" s="27" t="n">
        <v>46093</v>
      </c>
      <c r="D238" t="n">
        <v>2178.64</v>
      </c>
      <c r="E238" t="inlineStr">
        <is>
          <t>CRÉDITO</t>
        </is>
      </c>
    </row>
    <row r="239">
      <c r="A239" t="n">
        <v>176</v>
      </c>
      <c r="B239" t="inlineStr">
        <is>
          <t>The Cavern</t>
        </is>
      </c>
      <c r="C239" s="27" t="n">
        <v>46093</v>
      </c>
      <c r="D239" t="n">
        <v>0</v>
      </c>
      <c r="E239" t="inlineStr">
        <is>
          <t>MBWAY</t>
        </is>
      </c>
    </row>
    <row r="240">
      <c r="A240" t="n">
        <v>176</v>
      </c>
      <c r="B240" t="inlineStr">
        <is>
          <t>The Cavern</t>
        </is>
      </c>
      <c r="C240" s="27" t="n">
        <v>46093</v>
      </c>
      <c r="D240" t="n">
        <v>773.52</v>
      </c>
      <c r="E240" t="inlineStr">
        <is>
          <t>VOUCHER</t>
        </is>
      </c>
    </row>
    <row r="241">
      <c r="A241" t="n">
        <v>176</v>
      </c>
      <c r="B241" t="inlineStr">
        <is>
          <t>The Cavern</t>
        </is>
      </c>
      <c r="C241" s="27" t="n">
        <v>46093</v>
      </c>
      <c r="D241" t="n">
        <v>0</v>
      </c>
      <c r="E241" t="inlineStr">
        <is>
          <t>ANTECIPADO</t>
        </is>
      </c>
    </row>
    <row r="242">
      <c r="A242" t="n">
        <v>176</v>
      </c>
      <c r="B242" t="inlineStr">
        <is>
          <t>The Cavern</t>
        </is>
      </c>
      <c r="C242" s="27" t="n">
        <v>46093</v>
      </c>
      <c r="D242" t="n">
        <v>0</v>
      </c>
      <c r="E242" t="inlineStr">
        <is>
          <t>UBER</t>
        </is>
      </c>
    </row>
    <row r="243">
      <c r="A243" t="n">
        <v>176</v>
      </c>
      <c r="B243" t="inlineStr">
        <is>
          <t>The Cavern</t>
        </is>
      </c>
      <c r="C243" s="27" t="n">
        <v>46093</v>
      </c>
      <c r="D243" t="n">
        <v>0</v>
      </c>
      <c r="E243" t="inlineStr">
        <is>
          <t>RAPPI</t>
        </is>
      </c>
    </row>
    <row r="244">
      <c r="A244" t="n">
        <v>176</v>
      </c>
      <c r="B244" t="inlineStr">
        <is>
          <t>The Cavern</t>
        </is>
      </c>
      <c r="C244" s="27" t="n">
        <v>46093</v>
      </c>
      <c r="D244" t="n">
        <v>297.76</v>
      </c>
      <c r="E244" t="inlineStr">
        <is>
          <t>PIX</t>
        </is>
      </c>
    </row>
    <row r="245">
      <c r="A245" t="n">
        <v>176</v>
      </c>
      <c r="B245" t="inlineStr">
        <is>
          <t>The Cavern</t>
        </is>
      </c>
      <c r="C245" s="27" t="n">
        <v>46093</v>
      </c>
      <c r="D245" t="n">
        <v>0</v>
      </c>
      <c r="E245" t="inlineStr">
        <is>
          <t>IFOOD</t>
        </is>
      </c>
    </row>
    <row r="246">
      <c r="A246" t="n">
        <v>176</v>
      </c>
      <c r="B246" t="inlineStr">
        <is>
          <t>The Cavern</t>
        </is>
      </c>
      <c r="C246" s="27" t="n">
        <v>46093</v>
      </c>
      <c r="D246" t="n">
        <v>0</v>
      </c>
      <c r="E246" t="inlineStr">
        <is>
          <t>DELIVERY ONLINE</t>
        </is>
      </c>
    </row>
    <row r="247">
      <c r="A247" t="n">
        <v>176</v>
      </c>
      <c r="B247" t="inlineStr">
        <is>
          <t>The Cavern</t>
        </is>
      </c>
      <c r="C247" s="27" t="n">
        <v>46093</v>
      </c>
      <c r="D247" t="n">
        <v>0</v>
      </c>
      <c r="E247" t="inlineStr">
        <is>
          <t>APP</t>
        </is>
      </c>
    </row>
    <row r="248">
      <c r="A248" t="n">
        <v>176</v>
      </c>
      <c r="B248" t="inlineStr">
        <is>
          <t>The Cavern</t>
        </is>
      </c>
      <c r="C248" s="27" t="n">
        <v>46093</v>
      </c>
      <c r="D248" t="n">
        <v>0</v>
      </c>
      <c r="E248" t="inlineStr">
        <is>
          <t>BÔNUS</t>
        </is>
      </c>
    </row>
    <row r="249">
      <c r="A249" t="n">
        <v>176</v>
      </c>
      <c r="B249" t="inlineStr">
        <is>
          <t>The Cavern</t>
        </is>
      </c>
      <c r="C249" s="27" t="n">
        <v>46093</v>
      </c>
      <c r="D249" t="n">
        <v>5583.03</v>
      </c>
      <c r="E249" t="inlineStr">
        <is>
          <t>CRÉDITO</t>
        </is>
      </c>
    </row>
    <row r="250">
      <c r="A250" t="n">
        <v>176</v>
      </c>
      <c r="B250" t="inlineStr">
        <is>
          <t>The Cavern</t>
        </is>
      </c>
      <c r="C250" s="27" t="n">
        <v>46093</v>
      </c>
      <c r="D250" t="n">
        <v>0</v>
      </c>
      <c r="E250" t="inlineStr">
        <is>
          <t>DINHEIRO</t>
        </is>
      </c>
    </row>
    <row r="251">
      <c r="A251" t="n">
        <v>176</v>
      </c>
      <c r="B251" t="inlineStr">
        <is>
          <t>The Cavern</t>
        </is>
      </c>
      <c r="C251" s="27" t="n">
        <v>46093</v>
      </c>
      <c r="D251" t="n">
        <v>0</v>
      </c>
      <c r="E251" t="inlineStr">
        <is>
          <t>APP</t>
        </is>
      </c>
    </row>
    <row r="252">
      <c r="A252" t="n">
        <v>176</v>
      </c>
      <c r="B252" t="inlineStr">
        <is>
          <t>The Cavern</t>
        </is>
      </c>
      <c r="C252" s="27" t="n">
        <v>46093</v>
      </c>
      <c r="D252" t="n">
        <v>0</v>
      </c>
      <c r="E252" t="inlineStr">
        <is>
          <t>MBWAY</t>
        </is>
      </c>
    </row>
    <row r="253">
      <c r="A253" t="n">
        <v>176</v>
      </c>
      <c r="B253" t="inlineStr">
        <is>
          <t>The Cavern</t>
        </is>
      </c>
      <c r="C253" s="27" t="n">
        <v>46093</v>
      </c>
      <c r="D253" t="n">
        <v>0</v>
      </c>
      <c r="E253" t="inlineStr">
        <is>
          <t>VOUCHER INTEGRADO</t>
        </is>
      </c>
    </row>
    <row r="254">
      <c r="A254" t="n">
        <v>176</v>
      </c>
      <c r="B254" t="inlineStr">
        <is>
          <t>The Cavern</t>
        </is>
      </c>
      <c r="C254" s="27" t="n">
        <v>46093</v>
      </c>
      <c r="D254" t="n">
        <v>0</v>
      </c>
      <c r="E254" t="inlineStr">
        <is>
          <t>RECARGAS DEVOLVIDAS</t>
        </is>
      </c>
    </row>
    <row r="255">
      <c r="A255" t="n">
        <v>176</v>
      </c>
      <c r="B255" t="inlineStr">
        <is>
          <t>The Cavern</t>
        </is>
      </c>
      <c r="C255" s="27" t="n">
        <v>46093</v>
      </c>
      <c r="D255" t="n">
        <v>0</v>
      </c>
      <c r="E255" t="inlineStr">
        <is>
          <t>NOTAS MANUAIS + SERVIÇO</t>
        </is>
      </c>
    </row>
    <row r="256">
      <c r="A256" t="n">
        <v>176</v>
      </c>
      <c r="B256" t="inlineStr">
        <is>
          <t>The Cavern</t>
        </is>
      </c>
      <c r="C256" s="27" t="n">
        <v>46093</v>
      </c>
      <c r="D256" t="n">
        <v>0</v>
      </c>
      <c r="E256" t="inlineStr">
        <is>
          <t>AME</t>
        </is>
      </c>
    </row>
    <row r="257">
      <c r="A257" t="n">
        <v>176</v>
      </c>
      <c r="B257" t="inlineStr">
        <is>
          <t>The Cavern</t>
        </is>
      </c>
      <c r="C257" s="27" t="n">
        <v>46093</v>
      </c>
      <c r="D257" t="n">
        <v>0</v>
      </c>
      <c r="E257" t="inlineStr">
        <is>
          <t>OUTROS</t>
        </is>
      </c>
    </row>
    <row r="258">
      <c r="A258" t="n">
        <v>176</v>
      </c>
      <c r="B258" t="inlineStr">
        <is>
          <t>The Cavern</t>
        </is>
      </c>
      <c r="C258" s="27" t="n">
        <v>46093</v>
      </c>
      <c r="D258" t="n">
        <v>0</v>
      </c>
      <c r="E258" t="inlineStr">
        <is>
          <t>ANTECIPADO</t>
        </is>
      </c>
    </row>
    <row r="259">
      <c r="A259" t="n">
        <v>176</v>
      </c>
      <c r="B259" t="inlineStr">
        <is>
          <t>The Cavern</t>
        </is>
      </c>
      <c r="C259" s="27" t="n">
        <v>46093</v>
      </c>
      <c r="D259" t="n">
        <v>0</v>
      </c>
      <c r="E259" t="inlineStr">
        <is>
          <t>DINHEIRO</t>
        </is>
      </c>
    </row>
    <row r="260">
      <c r="A260" t="n">
        <v>176</v>
      </c>
      <c r="B260" t="inlineStr">
        <is>
          <t>The Cavern</t>
        </is>
      </c>
      <c r="C260" s="27" t="n">
        <v>46093</v>
      </c>
      <c r="D260" t="n">
        <v>0</v>
      </c>
      <c r="E260" t="inlineStr">
        <is>
          <t>VOUCHER</t>
        </is>
      </c>
    </row>
    <row r="261">
      <c r="A261" t="n">
        <v>176</v>
      </c>
      <c r="B261" t="inlineStr">
        <is>
          <t>The Cavern</t>
        </is>
      </c>
      <c r="C261" s="27" t="n">
        <v>46093</v>
      </c>
      <c r="D261" t="n">
        <v>0</v>
      </c>
      <c r="E261" t="inlineStr">
        <is>
          <t>ANTECIPADO</t>
        </is>
      </c>
    </row>
    <row r="262">
      <c r="A262" t="n">
        <v>176</v>
      </c>
      <c r="B262" t="inlineStr">
        <is>
          <t>The Cavern</t>
        </is>
      </c>
      <c r="C262" s="27" t="n">
        <v>46093</v>
      </c>
      <c r="D262" t="n">
        <v>0</v>
      </c>
      <c r="E262" t="inlineStr">
        <is>
          <t>UBER</t>
        </is>
      </c>
    </row>
    <row r="263">
      <c r="A263" t="n">
        <v>176</v>
      </c>
      <c r="B263" t="inlineStr">
        <is>
          <t>The Cavern</t>
        </is>
      </c>
      <c r="C263" s="27" t="n">
        <v>46093</v>
      </c>
      <c r="D263" t="n">
        <v>0</v>
      </c>
      <c r="E263" t="inlineStr">
        <is>
          <t>RAPPI</t>
        </is>
      </c>
    </row>
    <row r="264">
      <c r="A264" t="n">
        <v>176</v>
      </c>
      <c r="B264" t="inlineStr">
        <is>
          <t>The Cavern</t>
        </is>
      </c>
      <c r="C264" s="27" t="n">
        <v>46093</v>
      </c>
      <c r="D264" t="n">
        <v>285.97</v>
      </c>
      <c r="E264" t="inlineStr">
        <is>
          <t>PIX</t>
        </is>
      </c>
    </row>
    <row r="265">
      <c r="A265" t="n">
        <v>176</v>
      </c>
      <c r="B265" t="inlineStr">
        <is>
          <t>The Cavern</t>
        </is>
      </c>
      <c r="C265" s="27" t="n">
        <v>46093</v>
      </c>
      <c r="D265" t="n">
        <v>0</v>
      </c>
      <c r="E265" t="inlineStr">
        <is>
          <t>IFOOD</t>
        </is>
      </c>
    </row>
    <row r="266">
      <c r="A266" t="n">
        <v>176</v>
      </c>
      <c r="B266" t="inlineStr">
        <is>
          <t>The Cavern</t>
        </is>
      </c>
      <c r="C266" s="27" t="n">
        <v>46093</v>
      </c>
      <c r="D266" t="n">
        <v>0</v>
      </c>
      <c r="E266" t="inlineStr">
        <is>
          <t>DELIVERY ONLINE</t>
        </is>
      </c>
    </row>
    <row r="267">
      <c r="A267" t="n">
        <v>176</v>
      </c>
      <c r="B267" t="inlineStr">
        <is>
          <t>The Cavern</t>
        </is>
      </c>
      <c r="C267" s="27" t="n">
        <v>46093</v>
      </c>
      <c r="D267" t="n">
        <v>204.53</v>
      </c>
      <c r="E267" t="inlineStr">
        <is>
          <t>DÉBITO</t>
        </is>
      </c>
    </row>
    <row r="268">
      <c r="A268" t="n">
        <v>176</v>
      </c>
      <c r="B268" t="inlineStr">
        <is>
          <t>The Cavern</t>
        </is>
      </c>
      <c r="C268" s="27" t="n">
        <v>46092</v>
      </c>
      <c r="D268" t="n">
        <v>0</v>
      </c>
      <c r="E268" t="inlineStr">
        <is>
          <t>ANTECIPADO</t>
        </is>
      </c>
    </row>
    <row r="269">
      <c r="A269" t="n">
        <v>176</v>
      </c>
      <c r="B269" t="inlineStr">
        <is>
          <t>The Cavern</t>
        </is>
      </c>
      <c r="C269" s="27" t="n">
        <v>46092</v>
      </c>
      <c r="D269" t="n">
        <v>0</v>
      </c>
      <c r="E269" t="inlineStr">
        <is>
          <t>VOUCHER</t>
        </is>
      </c>
    </row>
    <row r="270">
      <c r="A270" t="n">
        <v>176</v>
      </c>
      <c r="B270" t="inlineStr">
        <is>
          <t>The Cavern</t>
        </is>
      </c>
      <c r="C270" s="27" t="n">
        <v>46092</v>
      </c>
      <c r="D270" t="n">
        <v>543.53</v>
      </c>
      <c r="E270" t="inlineStr">
        <is>
          <t>DÉBITO</t>
        </is>
      </c>
    </row>
    <row r="271">
      <c r="A271" t="n">
        <v>176</v>
      </c>
      <c r="B271" t="inlineStr">
        <is>
          <t>The Cavern</t>
        </is>
      </c>
      <c r="C271" s="27" t="n">
        <v>46092</v>
      </c>
      <c r="D271" t="n">
        <v>0</v>
      </c>
      <c r="E271" t="inlineStr">
        <is>
          <t>BÔNUS</t>
        </is>
      </c>
    </row>
    <row r="272">
      <c r="A272" t="n">
        <v>176</v>
      </c>
      <c r="B272" t="inlineStr">
        <is>
          <t>The Cavern</t>
        </is>
      </c>
      <c r="C272" s="27" t="n">
        <v>46092</v>
      </c>
      <c r="D272" t="n">
        <v>0</v>
      </c>
      <c r="E272" t="inlineStr">
        <is>
          <t>ANTECIPADO</t>
        </is>
      </c>
    </row>
    <row r="273">
      <c r="A273" t="n">
        <v>176</v>
      </c>
      <c r="B273" t="inlineStr">
        <is>
          <t>The Cavern</t>
        </is>
      </c>
      <c r="C273" s="27" t="n">
        <v>46092</v>
      </c>
      <c r="D273" t="n">
        <v>0</v>
      </c>
      <c r="E273" t="inlineStr">
        <is>
          <t>OUTROS</t>
        </is>
      </c>
    </row>
    <row r="274">
      <c r="A274" t="n">
        <v>176</v>
      </c>
      <c r="B274" t="inlineStr">
        <is>
          <t>The Cavern</t>
        </is>
      </c>
      <c r="C274" s="27" t="n">
        <v>46092</v>
      </c>
      <c r="D274" t="n">
        <v>0</v>
      </c>
      <c r="E274" t="inlineStr">
        <is>
          <t>AME</t>
        </is>
      </c>
    </row>
    <row r="275">
      <c r="A275" t="n">
        <v>176</v>
      </c>
      <c r="B275" t="inlineStr">
        <is>
          <t>The Cavern</t>
        </is>
      </c>
      <c r="C275" s="27" t="n">
        <v>46092</v>
      </c>
      <c r="D275" t="n">
        <v>0</v>
      </c>
      <c r="E275" t="inlineStr">
        <is>
          <t>NOTAS MANUAIS + SERVIÇO</t>
        </is>
      </c>
    </row>
    <row r="276">
      <c r="A276" t="n">
        <v>176</v>
      </c>
      <c r="B276" t="inlineStr">
        <is>
          <t>The Cavern</t>
        </is>
      </c>
      <c r="C276" s="27" t="n">
        <v>46092</v>
      </c>
      <c r="D276" t="n">
        <v>0</v>
      </c>
      <c r="E276" t="inlineStr">
        <is>
          <t>RECARGAS DEVOLVIDAS</t>
        </is>
      </c>
    </row>
    <row r="277">
      <c r="A277" t="n">
        <v>176</v>
      </c>
      <c r="B277" t="inlineStr">
        <is>
          <t>The Cavern</t>
        </is>
      </c>
      <c r="C277" s="27" t="n">
        <v>46092</v>
      </c>
      <c r="D277" t="n">
        <v>0</v>
      </c>
      <c r="E277" t="inlineStr">
        <is>
          <t>NOTAS MANUAIS + SERVIÇO</t>
        </is>
      </c>
    </row>
    <row r="278">
      <c r="A278" t="n">
        <v>176</v>
      </c>
      <c r="B278" t="inlineStr">
        <is>
          <t>The Cavern</t>
        </is>
      </c>
      <c r="C278" s="27" t="n">
        <v>46092</v>
      </c>
      <c r="D278" t="n">
        <v>0</v>
      </c>
      <c r="E278" t="inlineStr">
        <is>
          <t>VOUCHER INTEGRADO</t>
        </is>
      </c>
    </row>
    <row r="279">
      <c r="A279" t="n">
        <v>176</v>
      </c>
      <c r="B279" t="inlineStr">
        <is>
          <t>The Cavern</t>
        </is>
      </c>
      <c r="C279" s="27" t="n">
        <v>46092</v>
      </c>
      <c r="D279" t="n">
        <v>0</v>
      </c>
      <c r="E279" t="inlineStr">
        <is>
          <t>UBER</t>
        </is>
      </c>
    </row>
    <row r="280">
      <c r="A280" t="n">
        <v>176</v>
      </c>
      <c r="B280" t="inlineStr">
        <is>
          <t>The Cavern</t>
        </is>
      </c>
      <c r="C280" s="27" t="n">
        <v>46092</v>
      </c>
      <c r="D280" t="n">
        <v>0</v>
      </c>
      <c r="E280" t="inlineStr">
        <is>
          <t>RAPPI</t>
        </is>
      </c>
    </row>
    <row r="281">
      <c r="A281" t="n">
        <v>176</v>
      </c>
      <c r="B281" t="inlineStr">
        <is>
          <t>The Cavern</t>
        </is>
      </c>
      <c r="C281" s="27" t="n">
        <v>46092</v>
      </c>
      <c r="D281" t="n">
        <v>104.33</v>
      </c>
      <c r="E281" t="inlineStr">
        <is>
          <t>PIX</t>
        </is>
      </c>
    </row>
    <row r="282">
      <c r="A282" t="n">
        <v>176</v>
      </c>
      <c r="B282" t="inlineStr">
        <is>
          <t>The Cavern</t>
        </is>
      </c>
      <c r="C282" s="27" t="n">
        <v>46092</v>
      </c>
      <c r="D282" t="n">
        <v>0</v>
      </c>
      <c r="E282" t="inlineStr">
        <is>
          <t>IFOOD</t>
        </is>
      </c>
    </row>
    <row r="283">
      <c r="A283" t="n">
        <v>176</v>
      </c>
      <c r="B283" t="inlineStr">
        <is>
          <t>The Cavern</t>
        </is>
      </c>
      <c r="C283" s="27" t="n">
        <v>46092</v>
      </c>
      <c r="D283" t="n">
        <v>0</v>
      </c>
      <c r="E283" t="inlineStr">
        <is>
          <t>DELIVERY ONLINE</t>
        </is>
      </c>
    </row>
    <row r="284">
      <c r="A284" t="n">
        <v>176</v>
      </c>
      <c r="B284" t="inlineStr">
        <is>
          <t>The Cavern</t>
        </is>
      </c>
      <c r="C284" s="27" t="n">
        <v>46092</v>
      </c>
      <c r="D284" t="n">
        <v>0</v>
      </c>
      <c r="E284" t="inlineStr">
        <is>
          <t>APP</t>
        </is>
      </c>
    </row>
    <row r="285">
      <c r="A285" t="n">
        <v>176</v>
      </c>
      <c r="B285" t="inlineStr">
        <is>
          <t>The Cavern</t>
        </is>
      </c>
      <c r="C285" s="27" t="n">
        <v>46092</v>
      </c>
      <c r="D285" t="n">
        <v>0</v>
      </c>
      <c r="E285" t="inlineStr">
        <is>
          <t>DINHEIRO</t>
        </is>
      </c>
    </row>
    <row r="286">
      <c r="A286" t="n">
        <v>176</v>
      </c>
      <c r="B286" t="inlineStr">
        <is>
          <t>The Cavern</t>
        </is>
      </c>
      <c r="C286" s="27" t="n">
        <v>46092</v>
      </c>
      <c r="D286" t="n">
        <v>1529.65</v>
      </c>
      <c r="E286" t="inlineStr">
        <is>
          <t>CRÉDITO</t>
        </is>
      </c>
    </row>
    <row r="287">
      <c r="A287" t="n">
        <v>176</v>
      </c>
      <c r="B287" t="inlineStr">
        <is>
          <t>The Cavern</t>
        </is>
      </c>
      <c r="C287" s="27" t="n">
        <v>46092</v>
      </c>
      <c r="D287" t="n">
        <v>0</v>
      </c>
      <c r="E287" t="inlineStr">
        <is>
          <t>MBWAY</t>
        </is>
      </c>
    </row>
    <row r="288">
      <c r="A288" t="n">
        <v>176</v>
      </c>
      <c r="B288" t="inlineStr">
        <is>
          <t>The Cavern</t>
        </is>
      </c>
      <c r="C288" s="27" t="n">
        <v>46092</v>
      </c>
      <c r="D288" t="n">
        <v>0</v>
      </c>
      <c r="E288" t="inlineStr">
        <is>
          <t>VOUCHER INTEGRADO</t>
        </is>
      </c>
    </row>
    <row r="289">
      <c r="A289" t="n">
        <v>176</v>
      </c>
      <c r="B289" t="inlineStr">
        <is>
          <t>The Cavern</t>
        </is>
      </c>
      <c r="C289" s="27" t="n">
        <v>46092</v>
      </c>
      <c r="D289" t="n">
        <v>0</v>
      </c>
      <c r="E289" t="inlineStr">
        <is>
          <t>RECARGAS DEVOLVIDAS</t>
        </is>
      </c>
    </row>
    <row r="290">
      <c r="A290" t="n">
        <v>176</v>
      </c>
      <c r="B290" t="inlineStr">
        <is>
          <t>The Cavern</t>
        </is>
      </c>
      <c r="C290" s="27" t="n">
        <v>46092</v>
      </c>
      <c r="D290" t="n">
        <v>0</v>
      </c>
      <c r="E290" t="inlineStr">
        <is>
          <t>AME</t>
        </is>
      </c>
    </row>
    <row r="291">
      <c r="A291" t="n">
        <v>176</v>
      </c>
      <c r="B291" t="inlineStr">
        <is>
          <t>The Cavern</t>
        </is>
      </c>
      <c r="C291" s="27" t="n">
        <v>46092</v>
      </c>
      <c r="D291" t="n">
        <v>5655.85</v>
      </c>
      <c r="E291" t="inlineStr">
        <is>
          <t>CRÉDITO</t>
        </is>
      </c>
    </row>
    <row r="292">
      <c r="A292" t="n">
        <v>176</v>
      </c>
      <c r="B292" t="inlineStr">
        <is>
          <t>The Cavern</t>
        </is>
      </c>
      <c r="C292" s="27" t="n">
        <v>46092</v>
      </c>
      <c r="D292" t="n">
        <v>0</v>
      </c>
      <c r="E292" t="inlineStr">
        <is>
          <t>DINHEIRO</t>
        </is>
      </c>
    </row>
    <row r="293">
      <c r="A293" t="n">
        <v>176</v>
      </c>
      <c r="B293" t="inlineStr">
        <is>
          <t>The Cavern</t>
        </is>
      </c>
      <c r="C293" s="27" t="n">
        <v>46092</v>
      </c>
      <c r="D293" t="n">
        <v>0</v>
      </c>
      <c r="E293" t="inlineStr">
        <is>
          <t>APP</t>
        </is>
      </c>
    </row>
    <row r="294">
      <c r="A294" t="n">
        <v>176</v>
      </c>
      <c r="B294" t="inlineStr">
        <is>
          <t>The Cavern</t>
        </is>
      </c>
      <c r="C294" s="27" t="n">
        <v>46092</v>
      </c>
      <c r="D294" t="n">
        <v>0</v>
      </c>
      <c r="E294" t="inlineStr">
        <is>
          <t>DELIVERY ONLINE</t>
        </is>
      </c>
    </row>
    <row r="295">
      <c r="A295" t="n">
        <v>176</v>
      </c>
      <c r="B295" t="inlineStr">
        <is>
          <t>The Cavern</t>
        </is>
      </c>
      <c r="C295" s="27" t="n">
        <v>46092</v>
      </c>
      <c r="D295" t="n">
        <v>0</v>
      </c>
      <c r="E295" t="inlineStr">
        <is>
          <t>IFOOD</t>
        </is>
      </c>
    </row>
    <row r="296">
      <c r="A296" t="n">
        <v>176</v>
      </c>
      <c r="B296" t="inlineStr">
        <is>
          <t>The Cavern</t>
        </is>
      </c>
      <c r="C296" s="27" t="n">
        <v>46092</v>
      </c>
      <c r="D296" t="n">
        <v>270.84</v>
      </c>
      <c r="E296" t="inlineStr">
        <is>
          <t>PIX</t>
        </is>
      </c>
    </row>
    <row r="297">
      <c r="A297" t="n">
        <v>176</v>
      </c>
      <c r="B297" t="inlineStr">
        <is>
          <t>The Cavern</t>
        </is>
      </c>
      <c r="C297" s="27" t="n">
        <v>46092</v>
      </c>
      <c r="D297" t="n">
        <v>0</v>
      </c>
      <c r="E297" t="inlineStr">
        <is>
          <t>RAPPI</t>
        </is>
      </c>
    </row>
    <row r="298">
      <c r="A298" t="n">
        <v>176</v>
      </c>
      <c r="B298" t="inlineStr">
        <is>
          <t>The Cavern</t>
        </is>
      </c>
      <c r="C298" s="27" t="n">
        <v>46092</v>
      </c>
      <c r="D298" t="n">
        <v>0</v>
      </c>
      <c r="E298" t="inlineStr">
        <is>
          <t>UBER</t>
        </is>
      </c>
    </row>
    <row r="299">
      <c r="A299" t="n">
        <v>176</v>
      </c>
      <c r="B299" t="inlineStr">
        <is>
          <t>The Cavern</t>
        </is>
      </c>
      <c r="C299" s="27" t="n">
        <v>46092</v>
      </c>
      <c r="D299" t="n">
        <v>0</v>
      </c>
      <c r="E299" t="inlineStr">
        <is>
          <t>ANTECIPADO</t>
        </is>
      </c>
    </row>
    <row r="300">
      <c r="A300" t="n">
        <v>176</v>
      </c>
      <c r="B300" t="inlineStr">
        <is>
          <t>The Cavern</t>
        </is>
      </c>
      <c r="C300" s="27" t="n">
        <v>46092</v>
      </c>
      <c r="D300" t="n">
        <v>1265.18</v>
      </c>
      <c r="E300" t="inlineStr">
        <is>
          <t>VOUCHER</t>
        </is>
      </c>
    </row>
    <row r="301">
      <c r="A301" t="n">
        <v>176</v>
      </c>
      <c r="B301" t="inlineStr">
        <is>
          <t>The Cavern</t>
        </is>
      </c>
      <c r="C301" s="27" t="n">
        <v>46092</v>
      </c>
      <c r="D301" t="n">
        <v>611.73</v>
      </c>
      <c r="E301" t="inlineStr">
        <is>
          <t>DÉBITO</t>
        </is>
      </c>
    </row>
    <row r="302">
      <c r="A302" t="n">
        <v>176</v>
      </c>
      <c r="B302" t="inlineStr">
        <is>
          <t>The Cavern</t>
        </is>
      </c>
      <c r="C302" s="27" t="n">
        <v>46092</v>
      </c>
      <c r="D302" t="n">
        <v>0</v>
      </c>
      <c r="E302" t="inlineStr">
        <is>
          <t>BÔNUS</t>
        </is>
      </c>
    </row>
    <row r="303">
      <c r="A303" t="n">
        <v>176</v>
      </c>
      <c r="B303" t="inlineStr">
        <is>
          <t>The Cavern</t>
        </is>
      </c>
      <c r="C303" s="27" t="n">
        <v>46092</v>
      </c>
      <c r="D303" t="n">
        <v>0</v>
      </c>
      <c r="E303" t="inlineStr">
        <is>
          <t>ANTECIPADO</t>
        </is>
      </c>
    </row>
    <row r="304">
      <c r="A304" t="n">
        <v>176</v>
      </c>
      <c r="B304" t="inlineStr">
        <is>
          <t>The Cavern</t>
        </is>
      </c>
      <c r="C304" s="27" t="n">
        <v>46092</v>
      </c>
      <c r="D304" t="n">
        <v>0</v>
      </c>
      <c r="E304" t="inlineStr">
        <is>
          <t>OUTROS</t>
        </is>
      </c>
    </row>
    <row r="305">
      <c r="A305" t="n">
        <v>176</v>
      </c>
      <c r="B305" t="inlineStr">
        <is>
          <t>The Cavern</t>
        </is>
      </c>
      <c r="C305" s="27" t="n">
        <v>46092</v>
      </c>
      <c r="D305" t="n">
        <v>0</v>
      </c>
      <c r="E305" t="inlineStr">
        <is>
          <t>MBWAY</t>
        </is>
      </c>
    </row>
    <row r="306">
      <c r="A306" t="n">
        <v>176</v>
      </c>
      <c r="B306" t="inlineStr">
        <is>
          <t>The Cavern</t>
        </is>
      </c>
      <c r="C306" s="27" t="n">
        <v>46091</v>
      </c>
      <c r="D306" t="n">
        <v>0</v>
      </c>
      <c r="E306" t="inlineStr">
        <is>
          <t>ANTECIPADO</t>
        </is>
      </c>
    </row>
    <row r="307">
      <c r="A307" t="n">
        <v>176</v>
      </c>
      <c r="B307" t="inlineStr">
        <is>
          <t>The Cavern</t>
        </is>
      </c>
      <c r="C307" s="27" t="n">
        <v>46091</v>
      </c>
      <c r="D307" t="n">
        <v>0</v>
      </c>
      <c r="E307" t="inlineStr">
        <is>
          <t>IFOOD</t>
        </is>
      </c>
    </row>
    <row r="308">
      <c r="A308" t="n">
        <v>176</v>
      </c>
      <c r="B308" t="inlineStr">
        <is>
          <t>The Cavern</t>
        </is>
      </c>
      <c r="C308" s="27" t="n">
        <v>46091</v>
      </c>
      <c r="D308" t="n">
        <v>0</v>
      </c>
      <c r="E308" t="inlineStr">
        <is>
          <t>VOUCHER INTEGRADO</t>
        </is>
      </c>
    </row>
    <row r="309">
      <c r="A309" t="n">
        <v>176</v>
      </c>
      <c r="B309" t="inlineStr">
        <is>
          <t>The Cavern</t>
        </is>
      </c>
      <c r="C309" s="27" t="n">
        <v>46091</v>
      </c>
      <c r="D309" t="n">
        <v>582.36</v>
      </c>
      <c r="E309" t="inlineStr">
        <is>
          <t>DÉBITO</t>
        </is>
      </c>
    </row>
    <row r="310">
      <c r="A310" t="n">
        <v>176</v>
      </c>
      <c r="B310" t="inlineStr">
        <is>
          <t>The Cavern</t>
        </is>
      </c>
      <c r="C310" s="27" t="n">
        <v>46091</v>
      </c>
      <c r="D310" t="n">
        <v>0</v>
      </c>
      <c r="E310" t="inlineStr">
        <is>
          <t>UBER</t>
        </is>
      </c>
    </row>
    <row r="311">
      <c r="A311" t="n">
        <v>176</v>
      </c>
      <c r="B311" t="inlineStr">
        <is>
          <t>The Cavern</t>
        </is>
      </c>
      <c r="C311" s="27" t="n">
        <v>46091</v>
      </c>
      <c r="D311" t="n">
        <v>0</v>
      </c>
      <c r="E311" t="inlineStr">
        <is>
          <t>RAPPI</t>
        </is>
      </c>
    </row>
    <row r="312">
      <c r="A312" t="n">
        <v>176</v>
      </c>
      <c r="B312" t="inlineStr">
        <is>
          <t>The Cavern</t>
        </is>
      </c>
      <c r="C312" s="27" t="n">
        <v>46091</v>
      </c>
      <c r="D312" t="n">
        <v>39.68</v>
      </c>
      <c r="E312" t="inlineStr">
        <is>
          <t>PIX</t>
        </is>
      </c>
    </row>
    <row r="313">
      <c r="A313" t="n">
        <v>176</v>
      </c>
      <c r="B313" t="inlineStr">
        <is>
          <t>The Cavern</t>
        </is>
      </c>
      <c r="C313" s="27" t="n">
        <v>46091</v>
      </c>
      <c r="D313" t="n">
        <v>0</v>
      </c>
      <c r="E313" t="inlineStr">
        <is>
          <t>VOUCHER INTEGRADO</t>
        </is>
      </c>
    </row>
    <row r="314">
      <c r="A314" t="n">
        <v>176</v>
      </c>
      <c r="B314" t="inlineStr">
        <is>
          <t>The Cavern</t>
        </is>
      </c>
      <c r="C314" s="27" t="n">
        <v>46091</v>
      </c>
      <c r="D314" t="n">
        <v>0</v>
      </c>
      <c r="E314" t="inlineStr">
        <is>
          <t>VOUCHER</t>
        </is>
      </c>
    </row>
    <row r="315">
      <c r="A315" t="n">
        <v>176</v>
      </c>
      <c r="B315" t="inlineStr">
        <is>
          <t>The Cavern</t>
        </is>
      </c>
      <c r="C315" s="27" t="n">
        <v>46091</v>
      </c>
      <c r="D315" t="n">
        <v>120.91</v>
      </c>
      <c r="E315" t="inlineStr">
        <is>
          <t>DÉBITO</t>
        </is>
      </c>
    </row>
    <row r="316">
      <c r="A316" t="n">
        <v>176</v>
      </c>
      <c r="B316" t="inlineStr">
        <is>
          <t>The Cavern</t>
        </is>
      </c>
      <c r="C316" s="27" t="n">
        <v>46091</v>
      </c>
      <c r="D316" t="n">
        <v>0</v>
      </c>
      <c r="E316" t="inlineStr">
        <is>
          <t>BÔNUS</t>
        </is>
      </c>
    </row>
    <row r="317">
      <c r="A317" t="n">
        <v>176</v>
      </c>
      <c r="B317" t="inlineStr">
        <is>
          <t>The Cavern</t>
        </is>
      </c>
      <c r="C317" s="27" t="n">
        <v>46091</v>
      </c>
      <c r="D317" t="n">
        <v>0</v>
      </c>
      <c r="E317" t="inlineStr">
        <is>
          <t>ANTECIPADO</t>
        </is>
      </c>
    </row>
    <row r="318">
      <c r="A318" t="n">
        <v>176</v>
      </c>
      <c r="B318" t="inlineStr">
        <is>
          <t>The Cavern</t>
        </is>
      </c>
      <c r="C318" s="27" t="n">
        <v>46091</v>
      </c>
      <c r="D318" t="n">
        <v>0</v>
      </c>
      <c r="E318" t="inlineStr">
        <is>
          <t>OUTROS</t>
        </is>
      </c>
    </row>
    <row r="319">
      <c r="A319" t="n">
        <v>176</v>
      </c>
      <c r="B319" t="inlineStr">
        <is>
          <t>The Cavern</t>
        </is>
      </c>
      <c r="C319" s="27" t="n">
        <v>46091</v>
      </c>
      <c r="D319" t="n">
        <v>0</v>
      </c>
      <c r="E319" t="inlineStr">
        <is>
          <t>AME</t>
        </is>
      </c>
    </row>
    <row r="320">
      <c r="A320" t="n">
        <v>176</v>
      </c>
      <c r="B320" t="inlineStr">
        <is>
          <t>The Cavern</t>
        </is>
      </c>
      <c r="C320" s="27" t="n">
        <v>46091</v>
      </c>
      <c r="D320" t="n">
        <v>0</v>
      </c>
      <c r="E320" t="inlineStr">
        <is>
          <t>NOTAS MANUAIS + SERVIÇO</t>
        </is>
      </c>
    </row>
    <row r="321">
      <c r="A321" t="n">
        <v>176</v>
      </c>
      <c r="B321" t="inlineStr">
        <is>
          <t>The Cavern</t>
        </is>
      </c>
      <c r="C321" s="27" t="n">
        <v>46091</v>
      </c>
      <c r="D321" t="n">
        <v>0</v>
      </c>
      <c r="E321" t="inlineStr">
        <is>
          <t>RECARGAS DEVOLVIDAS</t>
        </is>
      </c>
    </row>
    <row r="322">
      <c r="A322" t="n">
        <v>176</v>
      </c>
      <c r="B322" t="inlineStr">
        <is>
          <t>The Cavern</t>
        </is>
      </c>
      <c r="C322" s="27" t="n">
        <v>46091</v>
      </c>
      <c r="D322" t="n">
        <v>0</v>
      </c>
      <c r="E322" t="inlineStr">
        <is>
          <t>DELIVERY ONLINE</t>
        </is>
      </c>
    </row>
    <row r="323">
      <c r="A323" t="n">
        <v>176</v>
      </c>
      <c r="B323" t="inlineStr">
        <is>
          <t>The Cavern</t>
        </is>
      </c>
      <c r="C323" s="27" t="n">
        <v>46091</v>
      </c>
      <c r="D323" t="n">
        <v>0</v>
      </c>
      <c r="E323" t="inlineStr">
        <is>
          <t>MBWAY</t>
        </is>
      </c>
    </row>
    <row r="324">
      <c r="A324" t="n">
        <v>176</v>
      </c>
      <c r="B324" t="inlineStr">
        <is>
          <t>The Cavern</t>
        </is>
      </c>
      <c r="C324" s="27" t="n">
        <v>46091</v>
      </c>
      <c r="D324" t="n">
        <v>0</v>
      </c>
      <c r="E324" t="inlineStr">
        <is>
          <t>MBWAY</t>
        </is>
      </c>
    </row>
    <row r="325">
      <c r="A325" t="n">
        <v>176</v>
      </c>
      <c r="B325" t="inlineStr">
        <is>
          <t>The Cavern</t>
        </is>
      </c>
      <c r="C325" s="27" t="n">
        <v>46091</v>
      </c>
      <c r="D325" t="n">
        <v>422.62</v>
      </c>
      <c r="E325" t="inlineStr">
        <is>
          <t>CRÉDITO</t>
        </is>
      </c>
    </row>
    <row r="326">
      <c r="A326" t="n">
        <v>176</v>
      </c>
      <c r="B326" t="inlineStr">
        <is>
          <t>The Cavern</t>
        </is>
      </c>
      <c r="C326" s="27" t="n">
        <v>46091</v>
      </c>
      <c r="D326" t="n">
        <v>0</v>
      </c>
      <c r="E326" t="inlineStr">
        <is>
          <t>RECARGAS DEVOLVIDAS</t>
        </is>
      </c>
    </row>
    <row r="327">
      <c r="A327" t="n">
        <v>176</v>
      </c>
      <c r="B327" t="inlineStr">
        <is>
          <t>The Cavern</t>
        </is>
      </c>
      <c r="C327" s="27" t="n">
        <v>46091</v>
      </c>
      <c r="D327" t="n">
        <v>0</v>
      </c>
      <c r="E327" t="inlineStr">
        <is>
          <t>NOTAS MANUAIS + SERVIÇO</t>
        </is>
      </c>
    </row>
    <row r="328">
      <c r="A328" t="n">
        <v>176</v>
      </c>
      <c r="B328" t="inlineStr">
        <is>
          <t>The Cavern</t>
        </is>
      </c>
      <c r="C328" s="27" t="n">
        <v>46091</v>
      </c>
      <c r="D328" t="n">
        <v>0</v>
      </c>
      <c r="E328" t="inlineStr">
        <is>
          <t>DINHEIRO</t>
        </is>
      </c>
    </row>
    <row r="329">
      <c r="A329" t="n">
        <v>176</v>
      </c>
      <c r="B329" t="inlineStr">
        <is>
          <t>The Cavern</t>
        </is>
      </c>
      <c r="C329" s="27" t="n">
        <v>46091</v>
      </c>
      <c r="D329" t="n">
        <v>0</v>
      </c>
      <c r="E329" t="inlineStr">
        <is>
          <t>APP</t>
        </is>
      </c>
    </row>
    <row r="330">
      <c r="A330" t="n">
        <v>176</v>
      </c>
      <c r="B330" t="inlineStr">
        <is>
          <t>The Cavern</t>
        </is>
      </c>
      <c r="C330" s="27" t="n">
        <v>46091</v>
      </c>
      <c r="D330" t="n">
        <v>0</v>
      </c>
      <c r="E330" t="inlineStr">
        <is>
          <t>OUTROS</t>
        </is>
      </c>
    </row>
    <row r="331">
      <c r="A331" t="n">
        <v>176</v>
      </c>
      <c r="B331" t="inlineStr">
        <is>
          <t>The Cavern</t>
        </is>
      </c>
      <c r="C331" s="27" t="n">
        <v>46091</v>
      </c>
      <c r="D331" t="n">
        <v>3513.18</v>
      </c>
      <c r="E331" t="inlineStr">
        <is>
          <t>CRÉDITO</t>
        </is>
      </c>
    </row>
    <row r="332">
      <c r="A332" t="n">
        <v>176</v>
      </c>
      <c r="B332" t="inlineStr">
        <is>
          <t>The Cavern</t>
        </is>
      </c>
      <c r="C332" s="27" t="n">
        <v>46091</v>
      </c>
      <c r="D332" t="n">
        <v>0</v>
      </c>
      <c r="E332" t="inlineStr">
        <is>
          <t>DINHEIRO</t>
        </is>
      </c>
    </row>
    <row r="333">
      <c r="A333" t="n">
        <v>176</v>
      </c>
      <c r="B333" t="inlineStr">
        <is>
          <t>The Cavern</t>
        </is>
      </c>
      <c r="C333" s="27" t="n">
        <v>46091</v>
      </c>
      <c r="D333" t="n">
        <v>0</v>
      </c>
      <c r="E333" t="inlineStr">
        <is>
          <t>APP</t>
        </is>
      </c>
    </row>
    <row r="334">
      <c r="A334" t="n">
        <v>176</v>
      </c>
      <c r="B334" t="inlineStr">
        <is>
          <t>The Cavern</t>
        </is>
      </c>
      <c r="C334" s="27" t="n">
        <v>46091</v>
      </c>
      <c r="D334" t="n">
        <v>0</v>
      </c>
      <c r="E334" t="inlineStr">
        <is>
          <t>DELIVERY ONLINE</t>
        </is>
      </c>
    </row>
    <row r="335">
      <c r="A335" t="n">
        <v>176</v>
      </c>
      <c r="B335" t="inlineStr">
        <is>
          <t>The Cavern</t>
        </is>
      </c>
      <c r="C335" s="27" t="n">
        <v>46091</v>
      </c>
      <c r="D335" t="n">
        <v>0</v>
      </c>
      <c r="E335" t="inlineStr">
        <is>
          <t>IFOOD</t>
        </is>
      </c>
    </row>
    <row r="336">
      <c r="A336" t="n">
        <v>176</v>
      </c>
      <c r="B336" t="inlineStr">
        <is>
          <t>The Cavern</t>
        </is>
      </c>
      <c r="C336" s="27" t="n">
        <v>46091</v>
      </c>
      <c r="D336" t="n">
        <v>270.63</v>
      </c>
      <c r="E336" t="inlineStr">
        <is>
          <t>PIX</t>
        </is>
      </c>
    </row>
    <row r="337">
      <c r="A337" t="n">
        <v>176</v>
      </c>
      <c r="B337" t="inlineStr">
        <is>
          <t>The Cavern</t>
        </is>
      </c>
      <c r="C337" s="27" t="n">
        <v>46091</v>
      </c>
      <c r="D337" t="n">
        <v>0</v>
      </c>
      <c r="E337" t="inlineStr">
        <is>
          <t>RAPPI</t>
        </is>
      </c>
    </row>
    <row r="338">
      <c r="A338" t="n">
        <v>176</v>
      </c>
      <c r="B338" t="inlineStr">
        <is>
          <t>The Cavern</t>
        </is>
      </c>
      <c r="C338" s="27" t="n">
        <v>46091</v>
      </c>
      <c r="D338" t="n">
        <v>0</v>
      </c>
      <c r="E338" t="inlineStr">
        <is>
          <t>UBER</t>
        </is>
      </c>
    </row>
    <row r="339">
      <c r="A339" t="n">
        <v>176</v>
      </c>
      <c r="B339" t="inlineStr">
        <is>
          <t>The Cavern</t>
        </is>
      </c>
      <c r="C339" s="27" t="n">
        <v>46091</v>
      </c>
      <c r="D339" t="n">
        <v>0</v>
      </c>
      <c r="E339" t="inlineStr">
        <is>
          <t>ANTECIPADO</t>
        </is>
      </c>
    </row>
    <row r="340">
      <c r="A340" t="n">
        <v>176</v>
      </c>
      <c r="B340" t="inlineStr">
        <is>
          <t>The Cavern</t>
        </is>
      </c>
      <c r="C340" s="27" t="n">
        <v>46091</v>
      </c>
      <c r="D340" t="n">
        <v>0</v>
      </c>
      <c r="E340" t="inlineStr">
        <is>
          <t>AME</t>
        </is>
      </c>
    </row>
    <row r="341">
      <c r="A341" t="n">
        <v>176</v>
      </c>
      <c r="B341" t="inlineStr">
        <is>
          <t>The Cavern</t>
        </is>
      </c>
      <c r="C341" s="27" t="n">
        <v>46091</v>
      </c>
      <c r="D341" t="n">
        <v>0</v>
      </c>
      <c r="E341" t="inlineStr">
        <is>
          <t>ANTECIPADO</t>
        </is>
      </c>
    </row>
    <row r="342">
      <c r="A342" t="n">
        <v>176</v>
      </c>
      <c r="B342" t="inlineStr">
        <is>
          <t>The Cavern</t>
        </is>
      </c>
      <c r="C342" s="27" t="n">
        <v>46091</v>
      </c>
      <c r="D342" t="n">
        <v>0</v>
      </c>
      <c r="E342" t="inlineStr">
        <is>
          <t>BÔNUS</t>
        </is>
      </c>
    </row>
    <row r="343">
      <c r="A343" t="n">
        <v>176</v>
      </c>
      <c r="B343" t="inlineStr">
        <is>
          <t>The Cavern</t>
        </is>
      </c>
      <c r="C343" s="27" t="n">
        <v>46091</v>
      </c>
      <c r="D343" t="n">
        <v>2174.68</v>
      </c>
      <c r="E343" t="inlineStr">
        <is>
          <t>VOUCHER</t>
        </is>
      </c>
    </row>
    <row r="344">
      <c r="A344" t="n">
        <v>176</v>
      </c>
      <c r="B344" t="inlineStr">
        <is>
          <t>The Cavern</t>
        </is>
      </c>
      <c r="C344" s="27" t="n">
        <v>46090</v>
      </c>
      <c r="D344" t="n">
        <v>0</v>
      </c>
      <c r="E344" t="inlineStr">
        <is>
          <t>ANTECIPADO</t>
        </is>
      </c>
    </row>
    <row r="345">
      <c r="A345" t="n">
        <v>176</v>
      </c>
      <c r="B345" t="inlineStr">
        <is>
          <t>The Cavern</t>
        </is>
      </c>
      <c r="C345" s="27" t="n">
        <v>46090</v>
      </c>
      <c r="D345" t="n">
        <v>0</v>
      </c>
      <c r="E345" t="inlineStr">
        <is>
          <t>DINHEIRO</t>
        </is>
      </c>
    </row>
    <row r="346">
      <c r="A346" t="n">
        <v>176</v>
      </c>
      <c r="B346" t="inlineStr">
        <is>
          <t>The Cavern</t>
        </is>
      </c>
      <c r="C346" s="27" t="n">
        <v>46090</v>
      </c>
      <c r="D346" t="n">
        <v>0</v>
      </c>
      <c r="E346" t="inlineStr">
        <is>
          <t>APP</t>
        </is>
      </c>
    </row>
    <row r="347">
      <c r="A347" t="n">
        <v>176</v>
      </c>
      <c r="B347" t="inlineStr">
        <is>
          <t>The Cavern</t>
        </is>
      </c>
      <c r="C347" s="27" t="n">
        <v>46090</v>
      </c>
      <c r="D347" t="n">
        <v>0</v>
      </c>
      <c r="E347" t="inlineStr">
        <is>
          <t>DELIVERY ONLINE</t>
        </is>
      </c>
    </row>
    <row r="348">
      <c r="A348" t="n">
        <v>176</v>
      </c>
      <c r="B348" t="inlineStr">
        <is>
          <t>The Cavern</t>
        </is>
      </c>
      <c r="C348" s="27" t="n">
        <v>46090</v>
      </c>
      <c r="D348" t="n">
        <v>0</v>
      </c>
      <c r="E348" t="inlineStr">
        <is>
          <t>IFOOD</t>
        </is>
      </c>
    </row>
    <row r="349">
      <c r="A349" t="n">
        <v>176</v>
      </c>
      <c r="B349" t="inlineStr">
        <is>
          <t>The Cavern</t>
        </is>
      </c>
      <c r="C349" s="27" t="n">
        <v>46090</v>
      </c>
      <c r="D349" t="n">
        <v>303.61</v>
      </c>
      <c r="E349" t="inlineStr">
        <is>
          <t>PIX</t>
        </is>
      </c>
    </row>
    <row r="350">
      <c r="A350" t="n">
        <v>176</v>
      </c>
      <c r="B350" t="inlineStr">
        <is>
          <t>The Cavern</t>
        </is>
      </c>
      <c r="C350" s="27" t="n">
        <v>46090</v>
      </c>
      <c r="D350" t="n">
        <v>0</v>
      </c>
      <c r="E350" t="inlineStr">
        <is>
          <t>RAPPI</t>
        </is>
      </c>
    </row>
    <row r="351">
      <c r="A351" t="n">
        <v>176</v>
      </c>
      <c r="B351" t="inlineStr">
        <is>
          <t>The Cavern</t>
        </is>
      </c>
      <c r="C351" s="27" t="n">
        <v>46090</v>
      </c>
      <c r="D351" t="n">
        <v>0</v>
      </c>
      <c r="E351" t="inlineStr">
        <is>
          <t>UBER</t>
        </is>
      </c>
    </row>
    <row r="352">
      <c r="A352" t="n">
        <v>176</v>
      </c>
      <c r="B352" t="inlineStr">
        <is>
          <t>The Cavern</t>
        </is>
      </c>
      <c r="C352" s="27" t="n">
        <v>46090</v>
      </c>
      <c r="D352" t="n">
        <v>0</v>
      </c>
      <c r="E352" t="inlineStr">
        <is>
          <t>ANTECIPADO</t>
        </is>
      </c>
    </row>
    <row r="353">
      <c r="A353" t="n">
        <v>176</v>
      </c>
      <c r="B353" t="inlineStr">
        <is>
          <t>The Cavern</t>
        </is>
      </c>
      <c r="C353" s="27" t="n">
        <v>46090</v>
      </c>
      <c r="D353" t="n">
        <v>1976.82</v>
      </c>
      <c r="E353" t="inlineStr">
        <is>
          <t>VOUCHER</t>
        </is>
      </c>
    </row>
    <row r="354">
      <c r="A354" t="n">
        <v>176</v>
      </c>
      <c r="B354" t="inlineStr">
        <is>
          <t>The Cavern</t>
        </is>
      </c>
      <c r="C354" s="27" t="n">
        <v>46090</v>
      </c>
      <c r="D354" t="n">
        <v>1382.27</v>
      </c>
      <c r="E354" t="inlineStr">
        <is>
          <t>DÉBITO</t>
        </is>
      </c>
    </row>
    <row r="355">
      <c r="A355" t="n">
        <v>176</v>
      </c>
      <c r="B355" t="inlineStr">
        <is>
          <t>The Cavern</t>
        </is>
      </c>
      <c r="C355" s="27" t="n">
        <v>46090</v>
      </c>
      <c r="D355" t="n">
        <v>0</v>
      </c>
      <c r="E355" t="inlineStr">
        <is>
          <t>BÔNUS</t>
        </is>
      </c>
    </row>
    <row r="356">
      <c r="A356" t="n">
        <v>176</v>
      </c>
      <c r="B356" t="inlineStr">
        <is>
          <t>The Cavern</t>
        </is>
      </c>
      <c r="C356" s="27" t="n">
        <v>46090</v>
      </c>
      <c r="D356" t="n">
        <v>0</v>
      </c>
      <c r="E356" t="inlineStr">
        <is>
          <t>ANTECIPADO</t>
        </is>
      </c>
    </row>
    <row r="357">
      <c r="A357" t="n">
        <v>176</v>
      </c>
      <c r="B357" t="inlineStr">
        <is>
          <t>The Cavern</t>
        </is>
      </c>
      <c r="C357" s="27" t="n">
        <v>46090</v>
      </c>
      <c r="D357" t="n">
        <v>0</v>
      </c>
      <c r="E357" t="inlineStr">
        <is>
          <t>OUTROS</t>
        </is>
      </c>
    </row>
    <row r="358">
      <c r="A358" t="n">
        <v>176</v>
      </c>
      <c r="B358" t="inlineStr">
        <is>
          <t>The Cavern</t>
        </is>
      </c>
      <c r="C358" s="27" t="n">
        <v>46090</v>
      </c>
      <c r="D358" t="n">
        <v>0</v>
      </c>
      <c r="E358" t="inlineStr">
        <is>
          <t>AME</t>
        </is>
      </c>
    </row>
    <row r="359">
      <c r="A359" t="n">
        <v>176</v>
      </c>
      <c r="B359" t="inlineStr">
        <is>
          <t>The Cavern</t>
        </is>
      </c>
      <c r="C359" s="27" t="n">
        <v>46090</v>
      </c>
      <c r="D359" t="n">
        <v>0</v>
      </c>
      <c r="E359" t="inlineStr">
        <is>
          <t>NOTAS MANUAIS + SERVIÇO</t>
        </is>
      </c>
    </row>
    <row r="360">
      <c r="A360" t="n">
        <v>176</v>
      </c>
      <c r="B360" t="inlineStr">
        <is>
          <t>The Cavern</t>
        </is>
      </c>
      <c r="C360" s="27" t="n">
        <v>46090</v>
      </c>
      <c r="D360" t="n">
        <v>0</v>
      </c>
      <c r="E360" t="inlineStr">
        <is>
          <t>RECARGAS DEVOLVIDAS</t>
        </is>
      </c>
    </row>
    <row r="361">
      <c r="A361" t="n">
        <v>176</v>
      </c>
      <c r="B361" t="inlineStr">
        <is>
          <t>The Cavern</t>
        </is>
      </c>
      <c r="C361" s="27" t="n">
        <v>46090</v>
      </c>
      <c r="D361" t="n">
        <v>0</v>
      </c>
      <c r="E361" t="inlineStr">
        <is>
          <t>VOUCHER INTEGRADO</t>
        </is>
      </c>
    </row>
    <row r="362">
      <c r="A362" t="n">
        <v>176</v>
      </c>
      <c r="B362" t="inlineStr">
        <is>
          <t>The Cavern</t>
        </is>
      </c>
      <c r="C362" s="27" t="n">
        <v>46090</v>
      </c>
      <c r="D362" t="n">
        <v>0</v>
      </c>
      <c r="E362" t="inlineStr">
        <is>
          <t>MBWAY</t>
        </is>
      </c>
    </row>
    <row r="363">
      <c r="A363" t="n">
        <v>176</v>
      </c>
      <c r="B363" t="inlineStr">
        <is>
          <t>The Cavern</t>
        </is>
      </c>
      <c r="C363" s="27" t="n">
        <v>46090</v>
      </c>
      <c r="D363" t="n">
        <v>0</v>
      </c>
      <c r="E363" t="inlineStr">
        <is>
          <t>MBWAY</t>
        </is>
      </c>
    </row>
    <row r="364">
      <c r="A364" t="n">
        <v>176</v>
      </c>
      <c r="B364" t="inlineStr">
        <is>
          <t>The Cavern</t>
        </is>
      </c>
      <c r="C364" s="27" t="n">
        <v>46090</v>
      </c>
      <c r="D364" t="n">
        <v>0</v>
      </c>
      <c r="E364" t="inlineStr">
        <is>
          <t>OUTROS</t>
        </is>
      </c>
    </row>
    <row r="365">
      <c r="A365" t="n">
        <v>176</v>
      </c>
      <c r="B365" t="inlineStr">
        <is>
          <t>The Cavern</t>
        </is>
      </c>
      <c r="C365" s="27" t="n">
        <v>46090</v>
      </c>
      <c r="D365" t="n">
        <v>0</v>
      </c>
      <c r="E365" t="inlineStr">
        <is>
          <t>BÔNUS</t>
        </is>
      </c>
    </row>
    <row r="366">
      <c r="A366" t="n">
        <v>176</v>
      </c>
      <c r="B366" t="inlineStr">
        <is>
          <t>The Cavern</t>
        </is>
      </c>
      <c r="C366" s="27" t="n">
        <v>46090</v>
      </c>
      <c r="D366" t="n">
        <v>156.16</v>
      </c>
      <c r="E366" t="inlineStr">
        <is>
          <t>DÉBITO</t>
        </is>
      </c>
    </row>
    <row r="367">
      <c r="A367" t="n">
        <v>176</v>
      </c>
      <c r="B367" t="inlineStr">
        <is>
          <t>The Cavern</t>
        </is>
      </c>
      <c r="C367" s="27" t="n">
        <v>46090</v>
      </c>
      <c r="D367" t="n">
        <v>0</v>
      </c>
      <c r="E367" t="inlineStr">
        <is>
          <t>VOUCHER</t>
        </is>
      </c>
    </row>
    <row r="368">
      <c r="A368" t="n">
        <v>176</v>
      </c>
      <c r="B368" t="inlineStr">
        <is>
          <t>The Cavern</t>
        </is>
      </c>
      <c r="C368" s="27" t="n">
        <v>46090</v>
      </c>
      <c r="D368" t="n">
        <v>0</v>
      </c>
      <c r="E368" t="inlineStr">
        <is>
          <t>ANTECIPADO</t>
        </is>
      </c>
    </row>
    <row r="369">
      <c r="A369" t="n">
        <v>176</v>
      </c>
      <c r="B369" t="inlineStr">
        <is>
          <t>The Cavern</t>
        </is>
      </c>
      <c r="C369" s="27" t="n">
        <v>46090</v>
      </c>
      <c r="D369" t="n">
        <v>0</v>
      </c>
      <c r="E369" t="inlineStr">
        <is>
          <t>UBER</t>
        </is>
      </c>
    </row>
    <row r="370">
      <c r="A370" t="n">
        <v>176</v>
      </c>
      <c r="B370" t="inlineStr">
        <is>
          <t>The Cavern</t>
        </is>
      </c>
      <c r="C370" s="27" t="n">
        <v>46090</v>
      </c>
      <c r="D370" t="n">
        <v>0</v>
      </c>
      <c r="E370" t="inlineStr">
        <is>
          <t>RAPPI</t>
        </is>
      </c>
    </row>
    <row r="371">
      <c r="A371" t="n">
        <v>176</v>
      </c>
      <c r="B371" t="inlineStr">
        <is>
          <t>The Cavern</t>
        </is>
      </c>
      <c r="C371" s="27" t="n">
        <v>46090</v>
      </c>
      <c r="D371" t="n">
        <v>0</v>
      </c>
      <c r="E371" t="inlineStr">
        <is>
          <t>PIX</t>
        </is>
      </c>
    </row>
    <row r="372">
      <c r="A372" t="n">
        <v>176</v>
      </c>
      <c r="B372" t="inlineStr">
        <is>
          <t>The Cavern</t>
        </is>
      </c>
      <c r="C372" s="27" t="n">
        <v>46090</v>
      </c>
      <c r="D372" t="n">
        <v>0</v>
      </c>
      <c r="E372" t="inlineStr">
        <is>
          <t>IFOOD</t>
        </is>
      </c>
    </row>
    <row r="373">
      <c r="A373" t="n">
        <v>176</v>
      </c>
      <c r="B373" t="inlineStr">
        <is>
          <t>The Cavern</t>
        </is>
      </c>
      <c r="C373" s="27" t="n">
        <v>46090</v>
      </c>
      <c r="D373" t="n">
        <v>0</v>
      </c>
      <c r="E373" t="inlineStr">
        <is>
          <t>DELIVERY ONLINE</t>
        </is>
      </c>
    </row>
    <row r="374">
      <c r="A374" t="n">
        <v>176</v>
      </c>
      <c r="B374" t="inlineStr">
        <is>
          <t>The Cavern</t>
        </is>
      </c>
      <c r="C374" s="27" t="n">
        <v>46090</v>
      </c>
      <c r="D374" t="n">
        <v>0</v>
      </c>
      <c r="E374" t="inlineStr">
        <is>
          <t>APP</t>
        </is>
      </c>
    </row>
    <row r="375">
      <c r="A375" t="n">
        <v>176</v>
      </c>
      <c r="B375" t="inlineStr">
        <is>
          <t>The Cavern</t>
        </is>
      </c>
      <c r="C375" s="27" t="n">
        <v>46090</v>
      </c>
      <c r="D375" t="n">
        <v>0</v>
      </c>
      <c r="E375" t="inlineStr">
        <is>
          <t>DINHEIRO</t>
        </is>
      </c>
    </row>
    <row r="376">
      <c r="A376" t="n">
        <v>176</v>
      </c>
      <c r="B376" t="inlineStr">
        <is>
          <t>The Cavern</t>
        </is>
      </c>
      <c r="C376" s="27" t="n">
        <v>46090</v>
      </c>
      <c r="D376" t="n">
        <v>264.42</v>
      </c>
      <c r="E376" t="inlineStr">
        <is>
          <t>CRÉDITO</t>
        </is>
      </c>
    </row>
    <row r="377">
      <c r="A377" t="n">
        <v>176</v>
      </c>
      <c r="B377" t="inlineStr">
        <is>
          <t>The Cavern</t>
        </is>
      </c>
      <c r="C377" s="27" t="n">
        <v>46090</v>
      </c>
      <c r="D377" t="n">
        <v>0</v>
      </c>
      <c r="E377" t="inlineStr">
        <is>
          <t>AME</t>
        </is>
      </c>
    </row>
    <row r="378">
      <c r="A378" t="n">
        <v>176</v>
      </c>
      <c r="B378" t="inlineStr">
        <is>
          <t>The Cavern</t>
        </is>
      </c>
      <c r="C378" s="27" t="n">
        <v>46090</v>
      </c>
      <c r="D378" t="n">
        <v>0</v>
      </c>
      <c r="E378" t="inlineStr">
        <is>
          <t>NOTAS MANUAIS + SERVIÇO</t>
        </is>
      </c>
    </row>
    <row r="379">
      <c r="A379" t="n">
        <v>176</v>
      </c>
      <c r="B379" t="inlineStr">
        <is>
          <t>The Cavern</t>
        </is>
      </c>
      <c r="C379" s="27" t="n">
        <v>46090</v>
      </c>
      <c r="D379" t="n">
        <v>0</v>
      </c>
      <c r="E379" t="inlineStr">
        <is>
          <t>RECARGAS DEVOLVIDAS</t>
        </is>
      </c>
    </row>
    <row r="380">
      <c r="A380" t="n">
        <v>176</v>
      </c>
      <c r="B380" t="inlineStr">
        <is>
          <t>The Cavern</t>
        </is>
      </c>
      <c r="C380" s="27" t="n">
        <v>46090</v>
      </c>
      <c r="D380" t="n">
        <v>0</v>
      </c>
      <c r="E380" t="inlineStr">
        <is>
          <t>VOUCHER INTEGRADO</t>
        </is>
      </c>
    </row>
    <row r="381">
      <c r="A381" t="n">
        <v>176</v>
      </c>
      <c r="B381" t="inlineStr">
        <is>
          <t>The Cavern</t>
        </is>
      </c>
      <c r="C381" s="27" t="n">
        <v>46090</v>
      </c>
      <c r="D381" t="n">
        <v>3543.95</v>
      </c>
      <c r="E381" t="inlineStr">
        <is>
          <t>CRÉDITO</t>
        </is>
      </c>
    </row>
    <row r="382">
      <c r="A382" t="n">
        <v>176</v>
      </c>
      <c r="B382" t="inlineStr">
        <is>
          <t>The Cavern</t>
        </is>
      </c>
      <c r="C382" s="27" t="n">
        <v>46089</v>
      </c>
      <c r="D382" t="n">
        <v>0</v>
      </c>
      <c r="E382" t="inlineStr">
        <is>
          <t>AME</t>
        </is>
      </c>
    </row>
    <row r="383">
      <c r="A383" t="n">
        <v>176</v>
      </c>
      <c r="B383" t="inlineStr">
        <is>
          <t>The Cavern</t>
        </is>
      </c>
      <c r="C383" s="27" t="n">
        <v>46089</v>
      </c>
      <c r="D383" t="n">
        <v>428.27</v>
      </c>
      <c r="E383" t="inlineStr">
        <is>
          <t>CRÉDITO</t>
        </is>
      </c>
    </row>
    <row r="384">
      <c r="A384" t="n">
        <v>176</v>
      </c>
      <c r="B384" t="inlineStr">
        <is>
          <t>The Cavern</t>
        </is>
      </c>
      <c r="C384" s="27" t="n">
        <v>46089</v>
      </c>
      <c r="D384" t="n">
        <v>0</v>
      </c>
      <c r="E384" t="inlineStr">
        <is>
          <t>DINHEIRO</t>
        </is>
      </c>
    </row>
    <row r="385">
      <c r="A385" t="n">
        <v>176</v>
      </c>
      <c r="B385" t="inlineStr">
        <is>
          <t>The Cavern</t>
        </is>
      </c>
      <c r="C385" s="27" t="n">
        <v>46089</v>
      </c>
      <c r="D385" t="n">
        <v>183.26</v>
      </c>
      <c r="E385" t="inlineStr">
        <is>
          <t>DÉBITO</t>
        </is>
      </c>
    </row>
    <row r="386">
      <c r="A386" t="n">
        <v>176</v>
      </c>
      <c r="B386" t="inlineStr">
        <is>
          <t>The Cavern</t>
        </is>
      </c>
      <c r="C386" s="27" t="n">
        <v>46089</v>
      </c>
      <c r="D386" t="n">
        <v>0</v>
      </c>
      <c r="E386" t="inlineStr">
        <is>
          <t>APP</t>
        </is>
      </c>
    </row>
    <row r="387">
      <c r="A387" t="n">
        <v>176</v>
      </c>
      <c r="B387" t="inlineStr">
        <is>
          <t>The Cavern</t>
        </is>
      </c>
      <c r="C387" s="27" t="n">
        <v>46089</v>
      </c>
      <c r="D387" t="n">
        <v>0</v>
      </c>
      <c r="E387" t="inlineStr">
        <is>
          <t>DELIVERY ONLINE</t>
        </is>
      </c>
    </row>
    <row r="388">
      <c r="A388" t="n">
        <v>176</v>
      </c>
      <c r="B388" t="inlineStr">
        <is>
          <t>The Cavern</t>
        </is>
      </c>
      <c r="C388" s="27" t="n">
        <v>46089</v>
      </c>
      <c r="D388" t="n">
        <v>0</v>
      </c>
      <c r="E388" t="inlineStr">
        <is>
          <t>IFOOD</t>
        </is>
      </c>
    </row>
    <row r="389">
      <c r="A389" t="n">
        <v>176</v>
      </c>
      <c r="B389" t="inlineStr">
        <is>
          <t>The Cavern</t>
        </is>
      </c>
      <c r="C389" s="27" t="n">
        <v>46089</v>
      </c>
      <c r="D389" t="n">
        <v>0</v>
      </c>
      <c r="E389" t="inlineStr">
        <is>
          <t>PIX</t>
        </is>
      </c>
    </row>
    <row r="390">
      <c r="A390" t="n">
        <v>176</v>
      </c>
      <c r="B390" t="inlineStr">
        <is>
          <t>The Cavern</t>
        </is>
      </c>
      <c r="C390" s="27" t="n">
        <v>46089</v>
      </c>
      <c r="D390" t="n">
        <v>0</v>
      </c>
      <c r="E390" t="inlineStr">
        <is>
          <t>RAPPI</t>
        </is>
      </c>
    </row>
    <row r="391">
      <c r="A391" t="n">
        <v>176</v>
      </c>
      <c r="B391" t="inlineStr">
        <is>
          <t>The Cavern</t>
        </is>
      </c>
      <c r="C391" s="27" t="n">
        <v>46089</v>
      </c>
      <c r="D391" t="n">
        <v>0</v>
      </c>
      <c r="E391" t="inlineStr">
        <is>
          <t>UBER</t>
        </is>
      </c>
    </row>
    <row r="392">
      <c r="A392" t="n">
        <v>176</v>
      </c>
      <c r="B392" t="inlineStr">
        <is>
          <t>The Cavern</t>
        </is>
      </c>
      <c r="C392" s="27" t="n">
        <v>46089</v>
      </c>
      <c r="D392" t="n">
        <v>0</v>
      </c>
      <c r="E392" t="inlineStr">
        <is>
          <t>ANTECIPADO</t>
        </is>
      </c>
    </row>
    <row r="393">
      <c r="A393" t="n">
        <v>176</v>
      </c>
      <c r="B393" t="inlineStr">
        <is>
          <t>The Cavern</t>
        </is>
      </c>
      <c r="C393" s="27" t="n">
        <v>46089</v>
      </c>
      <c r="D393" t="n">
        <v>0</v>
      </c>
      <c r="E393" t="inlineStr">
        <is>
          <t>VOUCHER</t>
        </is>
      </c>
    </row>
    <row r="394">
      <c r="A394" t="n">
        <v>176</v>
      </c>
      <c r="B394" t="inlineStr">
        <is>
          <t>The Cavern</t>
        </is>
      </c>
      <c r="C394" s="27" t="n">
        <v>46089</v>
      </c>
      <c r="D394" t="n">
        <v>0</v>
      </c>
      <c r="E394" t="inlineStr">
        <is>
          <t>DELIVERY ONLINE</t>
        </is>
      </c>
    </row>
    <row r="395">
      <c r="A395" t="n">
        <v>176</v>
      </c>
      <c r="B395" t="inlineStr">
        <is>
          <t>The Cavern</t>
        </is>
      </c>
      <c r="C395" s="27" t="n">
        <v>46089</v>
      </c>
      <c r="D395" t="n">
        <v>0</v>
      </c>
      <c r="E395" t="inlineStr">
        <is>
          <t>BÔNUS</t>
        </is>
      </c>
    </row>
    <row r="396">
      <c r="A396" t="n">
        <v>176</v>
      </c>
      <c r="B396" t="inlineStr">
        <is>
          <t>The Cavern</t>
        </is>
      </c>
      <c r="C396" s="27" t="n">
        <v>46089</v>
      </c>
      <c r="D396" t="n">
        <v>0</v>
      </c>
      <c r="E396" t="inlineStr">
        <is>
          <t>ANTECIPADO</t>
        </is>
      </c>
    </row>
    <row r="397">
      <c r="A397" t="n">
        <v>176</v>
      </c>
      <c r="B397" t="inlineStr">
        <is>
          <t>The Cavern</t>
        </is>
      </c>
      <c r="C397" s="27" t="n">
        <v>46089</v>
      </c>
      <c r="D397" t="n">
        <v>0</v>
      </c>
      <c r="E397" t="inlineStr">
        <is>
          <t>OUTROS</t>
        </is>
      </c>
    </row>
    <row r="398">
      <c r="A398" t="n">
        <v>176</v>
      </c>
      <c r="B398" t="inlineStr">
        <is>
          <t>The Cavern</t>
        </is>
      </c>
      <c r="C398" s="27" t="n">
        <v>46089</v>
      </c>
      <c r="D398" t="n">
        <v>0</v>
      </c>
      <c r="E398" t="inlineStr">
        <is>
          <t>AME</t>
        </is>
      </c>
    </row>
    <row r="399">
      <c r="A399" t="n">
        <v>176</v>
      </c>
      <c r="B399" t="inlineStr">
        <is>
          <t>The Cavern</t>
        </is>
      </c>
      <c r="C399" s="27" t="n">
        <v>46089</v>
      </c>
      <c r="D399" t="n">
        <v>0</v>
      </c>
      <c r="E399" t="inlineStr">
        <is>
          <t>NOTAS MANUAIS + SERVIÇO</t>
        </is>
      </c>
    </row>
    <row r="400">
      <c r="A400" t="n">
        <v>176</v>
      </c>
      <c r="B400" t="inlineStr">
        <is>
          <t>The Cavern</t>
        </is>
      </c>
      <c r="C400" s="27" t="n">
        <v>46089</v>
      </c>
      <c r="D400" t="n">
        <v>0</v>
      </c>
      <c r="E400" t="inlineStr">
        <is>
          <t>RECARGAS DEVOLVIDAS</t>
        </is>
      </c>
    </row>
    <row r="401">
      <c r="A401" t="n">
        <v>176</v>
      </c>
      <c r="B401" t="inlineStr">
        <is>
          <t>The Cavern</t>
        </is>
      </c>
      <c r="C401" s="27" t="n">
        <v>46089</v>
      </c>
      <c r="D401" t="n">
        <v>0</v>
      </c>
      <c r="E401" t="inlineStr">
        <is>
          <t>VOUCHER INTEGRADO</t>
        </is>
      </c>
    </row>
    <row r="402">
      <c r="A402" t="n">
        <v>176</v>
      </c>
      <c r="B402" t="inlineStr">
        <is>
          <t>The Cavern</t>
        </is>
      </c>
      <c r="C402" s="27" t="n">
        <v>46089</v>
      </c>
      <c r="D402" t="n">
        <v>0</v>
      </c>
      <c r="E402" t="inlineStr">
        <is>
          <t>MBWAY</t>
        </is>
      </c>
    </row>
    <row r="403">
      <c r="A403" t="n">
        <v>176</v>
      </c>
      <c r="B403" t="inlineStr">
        <is>
          <t>The Cavern</t>
        </is>
      </c>
      <c r="C403" s="27" t="n">
        <v>46089</v>
      </c>
      <c r="D403" t="n">
        <v>1692.4</v>
      </c>
      <c r="E403" t="inlineStr">
        <is>
          <t>CRÉDITO</t>
        </is>
      </c>
    </row>
    <row r="404">
      <c r="A404" t="n">
        <v>176</v>
      </c>
      <c r="B404" t="inlineStr">
        <is>
          <t>The Cavern</t>
        </is>
      </c>
      <c r="C404" s="27" t="n">
        <v>46089</v>
      </c>
      <c r="D404" t="n">
        <v>0</v>
      </c>
      <c r="E404" t="inlineStr">
        <is>
          <t>DINHEIRO</t>
        </is>
      </c>
    </row>
    <row r="405">
      <c r="A405" t="n">
        <v>176</v>
      </c>
      <c r="B405" t="inlineStr">
        <is>
          <t>The Cavern</t>
        </is>
      </c>
      <c r="C405" s="27" t="n">
        <v>46089</v>
      </c>
      <c r="D405" t="n">
        <v>0</v>
      </c>
      <c r="E405" t="inlineStr">
        <is>
          <t>IFOOD</t>
        </is>
      </c>
    </row>
    <row r="406">
      <c r="A406" t="n">
        <v>176</v>
      </c>
      <c r="B406" t="inlineStr">
        <is>
          <t>The Cavern</t>
        </is>
      </c>
      <c r="C406" s="27" t="n">
        <v>46089</v>
      </c>
      <c r="D406" t="n">
        <v>20.34</v>
      </c>
      <c r="E406" t="inlineStr">
        <is>
          <t>PIX</t>
        </is>
      </c>
    </row>
    <row r="407">
      <c r="A407" t="n">
        <v>176</v>
      </c>
      <c r="B407" t="inlineStr">
        <is>
          <t>The Cavern</t>
        </is>
      </c>
      <c r="C407" s="27" t="n">
        <v>46089</v>
      </c>
      <c r="D407" t="n">
        <v>0</v>
      </c>
      <c r="E407" t="inlineStr">
        <is>
          <t>RAPPI</t>
        </is>
      </c>
    </row>
    <row r="408">
      <c r="A408" t="n">
        <v>176</v>
      </c>
      <c r="B408" t="inlineStr">
        <is>
          <t>The Cavern</t>
        </is>
      </c>
      <c r="C408" s="27" t="n">
        <v>46089</v>
      </c>
      <c r="D408" t="n">
        <v>0</v>
      </c>
      <c r="E408" t="inlineStr">
        <is>
          <t>UBER</t>
        </is>
      </c>
    </row>
    <row r="409">
      <c r="A409" t="n">
        <v>176</v>
      </c>
      <c r="B409" t="inlineStr">
        <is>
          <t>The Cavern</t>
        </is>
      </c>
      <c r="C409" s="27" t="n">
        <v>46089</v>
      </c>
      <c r="D409" t="n">
        <v>0</v>
      </c>
      <c r="E409" t="inlineStr">
        <is>
          <t>ANTECIPADO</t>
        </is>
      </c>
    </row>
    <row r="410">
      <c r="A410" t="n">
        <v>176</v>
      </c>
      <c r="B410" t="inlineStr">
        <is>
          <t>The Cavern</t>
        </is>
      </c>
      <c r="C410" s="27" t="n">
        <v>46089</v>
      </c>
      <c r="D410" t="n">
        <v>0</v>
      </c>
      <c r="E410" t="inlineStr">
        <is>
          <t>VOUCHER</t>
        </is>
      </c>
    </row>
    <row r="411">
      <c r="A411" t="n">
        <v>176</v>
      </c>
      <c r="B411" t="inlineStr">
        <is>
          <t>The Cavern</t>
        </is>
      </c>
      <c r="C411" s="27" t="n">
        <v>46089</v>
      </c>
      <c r="D411" t="n">
        <v>462.17</v>
      </c>
      <c r="E411" t="inlineStr">
        <is>
          <t>DÉBITO</t>
        </is>
      </c>
    </row>
    <row r="412">
      <c r="A412" t="n">
        <v>176</v>
      </c>
      <c r="B412" t="inlineStr">
        <is>
          <t>The Cavern</t>
        </is>
      </c>
      <c r="C412" s="27" t="n">
        <v>46089</v>
      </c>
      <c r="D412" t="n">
        <v>0</v>
      </c>
      <c r="E412" t="inlineStr">
        <is>
          <t>ANTECIPADO</t>
        </is>
      </c>
    </row>
    <row r="413">
      <c r="A413" t="n">
        <v>176</v>
      </c>
      <c r="B413" t="inlineStr">
        <is>
          <t>The Cavern</t>
        </is>
      </c>
      <c r="C413" s="27" t="n">
        <v>46089</v>
      </c>
      <c r="D413" t="n">
        <v>0</v>
      </c>
      <c r="E413" t="inlineStr">
        <is>
          <t>OUTROS</t>
        </is>
      </c>
    </row>
    <row r="414">
      <c r="A414" t="n">
        <v>176</v>
      </c>
      <c r="B414" t="inlineStr">
        <is>
          <t>The Cavern</t>
        </is>
      </c>
      <c r="C414" s="27" t="n">
        <v>46089</v>
      </c>
      <c r="D414" t="n">
        <v>0</v>
      </c>
      <c r="E414" t="inlineStr">
        <is>
          <t>APP</t>
        </is>
      </c>
    </row>
    <row r="415">
      <c r="A415" t="n">
        <v>176</v>
      </c>
      <c r="B415" t="inlineStr">
        <is>
          <t>The Cavern</t>
        </is>
      </c>
      <c r="C415" s="27" t="n">
        <v>46089</v>
      </c>
      <c r="D415" t="n">
        <v>0</v>
      </c>
      <c r="E415" t="inlineStr">
        <is>
          <t>NOTAS MANUAIS + SERVIÇO</t>
        </is>
      </c>
    </row>
    <row r="416">
      <c r="A416" t="n">
        <v>176</v>
      </c>
      <c r="B416" t="inlineStr">
        <is>
          <t>The Cavern</t>
        </is>
      </c>
      <c r="C416" s="27" t="n">
        <v>46089</v>
      </c>
      <c r="D416" t="n">
        <v>0</v>
      </c>
      <c r="E416" t="inlineStr">
        <is>
          <t>RECARGAS DEVOLVIDAS</t>
        </is>
      </c>
    </row>
    <row r="417">
      <c r="A417" t="n">
        <v>176</v>
      </c>
      <c r="B417" t="inlineStr">
        <is>
          <t>The Cavern</t>
        </is>
      </c>
      <c r="C417" s="27" t="n">
        <v>46089</v>
      </c>
      <c r="D417" t="n">
        <v>0</v>
      </c>
      <c r="E417" t="inlineStr">
        <is>
          <t>VOUCHER INTEGRADO</t>
        </is>
      </c>
    </row>
    <row r="418">
      <c r="A418" t="n">
        <v>176</v>
      </c>
      <c r="B418" t="inlineStr">
        <is>
          <t>The Cavern</t>
        </is>
      </c>
      <c r="C418" s="27" t="n">
        <v>46089</v>
      </c>
      <c r="D418" t="n">
        <v>0</v>
      </c>
      <c r="E418" t="inlineStr">
        <is>
          <t>MBWAY</t>
        </is>
      </c>
    </row>
    <row r="419">
      <c r="A419" t="n">
        <v>176</v>
      </c>
      <c r="B419" t="inlineStr">
        <is>
          <t>The Cavern</t>
        </is>
      </c>
      <c r="C419" s="27" t="n">
        <v>46089</v>
      </c>
      <c r="D419" t="n">
        <v>0</v>
      </c>
      <c r="E419" t="inlineStr">
        <is>
          <t>BÔNUS</t>
        </is>
      </c>
    </row>
    <row r="420">
      <c r="A420" t="n">
        <v>176</v>
      </c>
      <c r="B420" t="inlineStr">
        <is>
          <t>The Cavern</t>
        </is>
      </c>
      <c r="C420" s="27" t="n">
        <v>46088</v>
      </c>
      <c r="D420" t="n">
        <v>8960.27</v>
      </c>
      <c r="E420" t="inlineStr">
        <is>
          <t>DÉBITO</t>
        </is>
      </c>
    </row>
    <row r="421">
      <c r="A421" t="n">
        <v>176</v>
      </c>
      <c r="B421" t="inlineStr">
        <is>
          <t>The Cavern</t>
        </is>
      </c>
      <c r="C421" s="27" t="n">
        <v>46088</v>
      </c>
      <c r="D421" t="n">
        <v>0</v>
      </c>
      <c r="E421" t="inlineStr">
        <is>
          <t>BÔNUS</t>
        </is>
      </c>
    </row>
    <row r="422">
      <c r="A422" t="n">
        <v>176</v>
      </c>
      <c r="B422" t="inlineStr">
        <is>
          <t>The Cavern</t>
        </is>
      </c>
      <c r="C422" s="27" t="n">
        <v>46088</v>
      </c>
      <c r="D422" t="n">
        <v>0</v>
      </c>
      <c r="E422" t="inlineStr">
        <is>
          <t>ANTECIPADO</t>
        </is>
      </c>
    </row>
    <row r="423">
      <c r="A423" t="n">
        <v>176</v>
      </c>
      <c r="B423" t="inlineStr">
        <is>
          <t>The Cavern</t>
        </is>
      </c>
      <c r="C423" s="27" t="n">
        <v>46088</v>
      </c>
      <c r="D423" t="n">
        <v>0</v>
      </c>
      <c r="E423" t="inlineStr">
        <is>
          <t>OUTROS</t>
        </is>
      </c>
    </row>
    <row r="424">
      <c r="A424" t="n">
        <v>176</v>
      </c>
      <c r="B424" t="inlineStr">
        <is>
          <t>The Cavern</t>
        </is>
      </c>
      <c r="C424" s="27" t="n">
        <v>46088</v>
      </c>
      <c r="D424" t="n">
        <v>0</v>
      </c>
      <c r="E424" t="inlineStr">
        <is>
          <t>AME</t>
        </is>
      </c>
    </row>
    <row r="425">
      <c r="A425" t="n">
        <v>176</v>
      </c>
      <c r="B425" t="inlineStr">
        <is>
          <t>The Cavern</t>
        </is>
      </c>
      <c r="C425" s="27" t="n">
        <v>46088</v>
      </c>
      <c r="D425" t="n">
        <v>0</v>
      </c>
      <c r="E425" t="inlineStr">
        <is>
          <t>NOTAS MANUAIS + SERVIÇO</t>
        </is>
      </c>
    </row>
    <row r="426">
      <c r="A426" t="n">
        <v>176</v>
      </c>
      <c r="B426" t="inlineStr">
        <is>
          <t>The Cavern</t>
        </is>
      </c>
      <c r="C426" s="27" t="n">
        <v>46088</v>
      </c>
      <c r="D426" t="n">
        <v>0</v>
      </c>
      <c r="E426" t="inlineStr">
        <is>
          <t>RECARGAS DEVOLVIDAS</t>
        </is>
      </c>
    </row>
    <row r="427">
      <c r="A427" t="n">
        <v>176</v>
      </c>
      <c r="B427" t="inlineStr">
        <is>
          <t>The Cavern</t>
        </is>
      </c>
      <c r="C427" s="27" t="n">
        <v>46088</v>
      </c>
      <c r="D427" t="n">
        <v>0</v>
      </c>
      <c r="E427" t="inlineStr">
        <is>
          <t>VOUCHER INTEGRADO</t>
        </is>
      </c>
    </row>
    <row r="428">
      <c r="A428" t="n">
        <v>176</v>
      </c>
      <c r="B428" t="inlineStr">
        <is>
          <t>The Cavern</t>
        </is>
      </c>
      <c r="C428" s="27" t="n">
        <v>46088</v>
      </c>
      <c r="D428" t="n">
        <v>0</v>
      </c>
      <c r="E428" t="inlineStr">
        <is>
          <t>AME</t>
        </is>
      </c>
    </row>
    <row r="429">
      <c r="A429" t="n">
        <v>176</v>
      </c>
      <c r="B429" t="inlineStr">
        <is>
          <t>The Cavern</t>
        </is>
      </c>
      <c r="C429" s="27" t="n">
        <v>46088</v>
      </c>
      <c r="D429" t="n">
        <v>0</v>
      </c>
      <c r="E429" t="inlineStr">
        <is>
          <t>OUTROS</t>
        </is>
      </c>
    </row>
    <row r="430">
      <c r="A430" t="n">
        <v>176</v>
      </c>
      <c r="B430" t="inlineStr">
        <is>
          <t>The Cavern</t>
        </is>
      </c>
      <c r="C430" s="27" t="n">
        <v>46088</v>
      </c>
      <c r="D430" t="n">
        <v>0</v>
      </c>
      <c r="E430" t="inlineStr">
        <is>
          <t>ANTECIPADO</t>
        </is>
      </c>
    </row>
    <row r="431">
      <c r="A431" t="n">
        <v>176</v>
      </c>
      <c r="B431" t="inlineStr">
        <is>
          <t>The Cavern</t>
        </is>
      </c>
      <c r="C431" s="27" t="n">
        <v>46088</v>
      </c>
      <c r="D431" t="n">
        <v>0</v>
      </c>
      <c r="E431" t="inlineStr">
        <is>
          <t>BÔNUS</t>
        </is>
      </c>
    </row>
    <row r="432">
      <c r="A432" t="n">
        <v>176</v>
      </c>
      <c r="B432" t="inlineStr">
        <is>
          <t>The Cavern</t>
        </is>
      </c>
      <c r="C432" s="27" t="n">
        <v>46088</v>
      </c>
      <c r="D432" t="n">
        <v>246.34</v>
      </c>
      <c r="E432" t="inlineStr">
        <is>
          <t>DÉBITO</t>
        </is>
      </c>
    </row>
    <row r="433">
      <c r="A433" t="n">
        <v>176</v>
      </c>
      <c r="B433" t="inlineStr">
        <is>
          <t>The Cavern</t>
        </is>
      </c>
      <c r="C433" s="27" t="n">
        <v>46088</v>
      </c>
      <c r="D433" t="n">
        <v>177.41</v>
      </c>
      <c r="E433" t="inlineStr">
        <is>
          <t>VOUCHER</t>
        </is>
      </c>
    </row>
    <row r="434">
      <c r="A434" t="n">
        <v>176</v>
      </c>
      <c r="B434" t="inlineStr">
        <is>
          <t>The Cavern</t>
        </is>
      </c>
      <c r="C434" s="27" t="n">
        <v>46088</v>
      </c>
      <c r="D434" t="n">
        <v>210.18</v>
      </c>
      <c r="E434" t="inlineStr">
        <is>
          <t>VOUCHER</t>
        </is>
      </c>
    </row>
    <row r="435">
      <c r="A435" t="n">
        <v>176</v>
      </c>
      <c r="B435" t="inlineStr">
        <is>
          <t>The Cavern</t>
        </is>
      </c>
      <c r="C435" s="27" t="n">
        <v>46088</v>
      </c>
      <c r="D435" t="n">
        <v>0</v>
      </c>
      <c r="E435" t="inlineStr">
        <is>
          <t>ANTECIPADO</t>
        </is>
      </c>
    </row>
    <row r="436">
      <c r="A436" t="n">
        <v>176</v>
      </c>
      <c r="B436" t="inlineStr">
        <is>
          <t>The Cavern</t>
        </is>
      </c>
      <c r="C436" s="27" t="n">
        <v>46088</v>
      </c>
      <c r="D436" t="n">
        <v>0</v>
      </c>
      <c r="E436" t="inlineStr">
        <is>
          <t>UBER</t>
        </is>
      </c>
    </row>
    <row r="437">
      <c r="A437" t="n">
        <v>176</v>
      </c>
      <c r="B437" t="inlineStr">
        <is>
          <t>The Cavern</t>
        </is>
      </c>
      <c r="C437" s="27" t="n">
        <v>46088</v>
      </c>
      <c r="D437" t="n">
        <v>0</v>
      </c>
      <c r="E437" t="inlineStr">
        <is>
          <t>RAPPI</t>
        </is>
      </c>
    </row>
    <row r="438">
      <c r="A438" t="n">
        <v>176</v>
      </c>
      <c r="B438" t="inlineStr">
        <is>
          <t>The Cavern</t>
        </is>
      </c>
      <c r="C438" s="27" t="n">
        <v>46088</v>
      </c>
      <c r="D438" t="n">
        <v>1491.04</v>
      </c>
      <c r="E438" t="inlineStr">
        <is>
          <t>PIX</t>
        </is>
      </c>
    </row>
    <row r="439">
      <c r="A439" t="n">
        <v>176</v>
      </c>
      <c r="B439" t="inlineStr">
        <is>
          <t>The Cavern</t>
        </is>
      </c>
      <c r="C439" s="27" t="n">
        <v>46088</v>
      </c>
      <c r="D439" t="n">
        <v>0</v>
      </c>
      <c r="E439" t="inlineStr">
        <is>
          <t>NOTAS MANUAIS + SERVIÇO</t>
        </is>
      </c>
    </row>
    <row r="440">
      <c r="A440" t="n">
        <v>176</v>
      </c>
      <c r="B440" t="inlineStr">
        <is>
          <t>The Cavern</t>
        </is>
      </c>
      <c r="C440" s="27" t="n">
        <v>46088</v>
      </c>
      <c r="D440" t="n">
        <v>0</v>
      </c>
      <c r="E440" t="inlineStr">
        <is>
          <t>RECARGAS DEVOLVIDAS</t>
        </is>
      </c>
    </row>
    <row r="441">
      <c r="A441" t="n">
        <v>176</v>
      </c>
      <c r="B441" t="inlineStr">
        <is>
          <t>The Cavern</t>
        </is>
      </c>
      <c r="C441" s="27" t="n">
        <v>46088</v>
      </c>
      <c r="D441" t="n">
        <v>0</v>
      </c>
      <c r="E441" t="inlineStr">
        <is>
          <t>VOUCHER INTEGRADO</t>
        </is>
      </c>
    </row>
    <row r="442">
      <c r="A442" t="n">
        <v>176</v>
      </c>
      <c r="B442" t="inlineStr">
        <is>
          <t>The Cavern</t>
        </is>
      </c>
      <c r="C442" s="27" t="n">
        <v>46088</v>
      </c>
      <c r="D442" t="n">
        <v>0</v>
      </c>
      <c r="E442" t="inlineStr">
        <is>
          <t>MBWAY</t>
        </is>
      </c>
    </row>
    <row r="443">
      <c r="A443" t="n">
        <v>176</v>
      </c>
      <c r="B443" t="inlineStr">
        <is>
          <t>The Cavern</t>
        </is>
      </c>
      <c r="C443" s="27" t="n">
        <v>46088</v>
      </c>
      <c r="D443" t="n">
        <v>0</v>
      </c>
      <c r="E443" t="inlineStr">
        <is>
          <t>IFOOD</t>
        </is>
      </c>
    </row>
    <row r="444">
      <c r="A444" t="n">
        <v>176</v>
      </c>
      <c r="B444" t="inlineStr">
        <is>
          <t>The Cavern</t>
        </is>
      </c>
      <c r="C444" s="27" t="n">
        <v>46088</v>
      </c>
      <c r="D444" t="n">
        <v>0</v>
      </c>
      <c r="E444" t="inlineStr">
        <is>
          <t>DELIVERY ONLINE</t>
        </is>
      </c>
    </row>
    <row r="445">
      <c r="A445" t="n">
        <v>176</v>
      </c>
      <c r="B445" t="inlineStr">
        <is>
          <t>The Cavern</t>
        </is>
      </c>
      <c r="C445" s="27" t="n">
        <v>46088</v>
      </c>
      <c r="D445" t="n">
        <v>13.6</v>
      </c>
      <c r="E445" t="inlineStr">
        <is>
          <t>APP</t>
        </is>
      </c>
    </row>
    <row r="446">
      <c r="A446" t="n">
        <v>176</v>
      </c>
      <c r="B446" t="inlineStr">
        <is>
          <t>The Cavern</t>
        </is>
      </c>
      <c r="C446" s="27" t="n">
        <v>46088</v>
      </c>
      <c r="D446" t="n">
        <v>77.94</v>
      </c>
      <c r="E446" t="inlineStr">
        <is>
          <t>DINHEIRO</t>
        </is>
      </c>
    </row>
    <row r="447">
      <c r="A447" t="n">
        <v>176</v>
      </c>
      <c r="B447" t="inlineStr">
        <is>
          <t>The Cavern</t>
        </is>
      </c>
      <c r="C447" s="27" t="n">
        <v>46088</v>
      </c>
      <c r="D447" t="n">
        <v>32667.5</v>
      </c>
      <c r="E447" t="inlineStr">
        <is>
          <t>CRÉDITO</t>
        </is>
      </c>
    </row>
    <row r="448">
      <c r="A448" t="n">
        <v>176</v>
      </c>
      <c r="B448" t="inlineStr">
        <is>
          <t>The Cavern</t>
        </is>
      </c>
      <c r="C448" s="27" t="n">
        <v>46088</v>
      </c>
      <c r="D448" t="n">
        <v>0</v>
      </c>
      <c r="E448" t="inlineStr">
        <is>
          <t>UBER</t>
        </is>
      </c>
    </row>
    <row r="449">
      <c r="A449" t="n">
        <v>176</v>
      </c>
      <c r="B449" t="inlineStr">
        <is>
          <t>The Cavern</t>
        </is>
      </c>
      <c r="C449" s="27" t="n">
        <v>46088</v>
      </c>
      <c r="D449" t="n">
        <v>0</v>
      </c>
      <c r="E449" t="inlineStr">
        <is>
          <t>MBWAY</t>
        </is>
      </c>
    </row>
    <row r="450">
      <c r="A450" t="n">
        <v>176</v>
      </c>
      <c r="B450" t="inlineStr">
        <is>
          <t>The Cavern</t>
        </is>
      </c>
      <c r="C450" s="27" t="n">
        <v>46088</v>
      </c>
      <c r="D450" t="n">
        <v>0</v>
      </c>
      <c r="E450" t="inlineStr">
        <is>
          <t>ANTECIPADO</t>
        </is>
      </c>
    </row>
    <row r="451">
      <c r="A451" t="n">
        <v>176</v>
      </c>
      <c r="B451" t="inlineStr">
        <is>
          <t>The Cavern</t>
        </is>
      </c>
      <c r="C451" s="27" t="n">
        <v>46088</v>
      </c>
      <c r="D451" t="n">
        <v>807.95</v>
      </c>
      <c r="E451" t="inlineStr">
        <is>
          <t>CRÉDITO</t>
        </is>
      </c>
    </row>
    <row r="452">
      <c r="A452" t="n">
        <v>176</v>
      </c>
      <c r="B452" t="inlineStr">
        <is>
          <t>The Cavern</t>
        </is>
      </c>
      <c r="C452" s="27" t="n">
        <v>46088</v>
      </c>
      <c r="D452" t="n">
        <v>0</v>
      </c>
      <c r="E452" t="inlineStr">
        <is>
          <t>DINHEIRO</t>
        </is>
      </c>
    </row>
    <row r="453">
      <c r="A453" t="n">
        <v>176</v>
      </c>
      <c r="B453" t="inlineStr">
        <is>
          <t>The Cavern</t>
        </is>
      </c>
      <c r="C453" s="27" t="n">
        <v>46088</v>
      </c>
      <c r="D453" t="n">
        <v>0</v>
      </c>
      <c r="E453" t="inlineStr">
        <is>
          <t>APP</t>
        </is>
      </c>
    </row>
    <row r="454">
      <c r="A454" t="n">
        <v>176</v>
      </c>
      <c r="B454" t="inlineStr">
        <is>
          <t>The Cavern</t>
        </is>
      </c>
      <c r="C454" s="27" t="n">
        <v>46088</v>
      </c>
      <c r="D454" t="n">
        <v>0</v>
      </c>
      <c r="E454" t="inlineStr">
        <is>
          <t>DELIVERY ONLINE</t>
        </is>
      </c>
    </row>
    <row r="455">
      <c r="A455" t="n">
        <v>176</v>
      </c>
      <c r="B455" t="inlineStr">
        <is>
          <t>The Cavern</t>
        </is>
      </c>
      <c r="C455" s="27" t="n">
        <v>46088</v>
      </c>
      <c r="D455" t="n">
        <v>0</v>
      </c>
      <c r="E455" t="inlineStr">
        <is>
          <t>IFOOD</t>
        </is>
      </c>
    </row>
    <row r="456">
      <c r="A456" t="n">
        <v>176</v>
      </c>
      <c r="B456" t="inlineStr">
        <is>
          <t>The Cavern</t>
        </is>
      </c>
      <c r="C456" s="27" t="n">
        <v>46088</v>
      </c>
      <c r="D456" t="n">
        <v>205.66</v>
      </c>
      <c r="E456" t="inlineStr">
        <is>
          <t>PIX</t>
        </is>
      </c>
    </row>
    <row r="457">
      <c r="A457" t="n">
        <v>176</v>
      </c>
      <c r="B457" t="inlineStr">
        <is>
          <t>The Cavern</t>
        </is>
      </c>
      <c r="C457" s="27" t="n">
        <v>46088</v>
      </c>
      <c r="D457" t="n">
        <v>0</v>
      </c>
      <c r="E457" t="inlineStr">
        <is>
          <t>RAPPI</t>
        </is>
      </c>
    </row>
    <row r="458">
      <c r="A458" t="n">
        <v>176</v>
      </c>
      <c r="B458" t="inlineStr">
        <is>
          <t>The Cavern</t>
        </is>
      </c>
      <c r="C458" s="27" t="n">
        <v>46087</v>
      </c>
      <c r="D458" t="n">
        <v>0</v>
      </c>
      <c r="E458" t="inlineStr">
        <is>
          <t>DELIVERY ONLINE</t>
        </is>
      </c>
    </row>
    <row r="459">
      <c r="A459" t="n">
        <v>176</v>
      </c>
      <c r="B459" t="inlineStr">
        <is>
          <t>The Cavern</t>
        </is>
      </c>
      <c r="C459" s="27" t="n">
        <v>46087</v>
      </c>
      <c r="D459" t="n">
        <v>0</v>
      </c>
      <c r="E459" t="inlineStr">
        <is>
          <t>AME</t>
        </is>
      </c>
    </row>
    <row r="460">
      <c r="A460" t="n">
        <v>176</v>
      </c>
      <c r="B460" t="inlineStr">
        <is>
          <t>The Cavern</t>
        </is>
      </c>
      <c r="C460" s="27" t="n">
        <v>46087</v>
      </c>
      <c r="D460" t="n">
        <v>0</v>
      </c>
      <c r="E460" t="inlineStr">
        <is>
          <t>APP</t>
        </is>
      </c>
    </row>
    <row r="461">
      <c r="A461" t="n">
        <v>176</v>
      </c>
      <c r="B461" t="inlineStr">
        <is>
          <t>The Cavern</t>
        </is>
      </c>
      <c r="C461" s="27" t="n">
        <v>46087</v>
      </c>
      <c r="D461" t="n">
        <v>458.78</v>
      </c>
      <c r="E461" t="inlineStr">
        <is>
          <t>DINHEIRO</t>
        </is>
      </c>
    </row>
    <row r="462">
      <c r="A462" t="n">
        <v>176</v>
      </c>
      <c r="B462" t="inlineStr">
        <is>
          <t>The Cavern</t>
        </is>
      </c>
      <c r="C462" s="27" t="n">
        <v>46087</v>
      </c>
      <c r="D462" t="n">
        <v>398.23</v>
      </c>
      <c r="E462" t="inlineStr">
        <is>
          <t>APP</t>
        </is>
      </c>
    </row>
    <row r="463">
      <c r="A463" t="n">
        <v>176</v>
      </c>
      <c r="B463" t="inlineStr">
        <is>
          <t>The Cavern</t>
        </is>
      </c>
      <c r="C463" s="27" t="n">
        <v>46087</v>
      </c>
      <c r="D463" t="n">
        <v>0</v>
      </c>
      <c r="E463" t="inlineStr">
        <is>
          <t>DELIVERY ONLINE</t>
        </is>
      </c>
    </row>
    <row r="464">
      <c r="A464" t="n">
        <v>176</v>
      </c>
      <c r="B464" t="inlineStr">
        <is>
          <t>The Cavern</t>
        </is>
      </c>
      <c r="C464" s="27" t="n">
        <v>46087</v>
      </c>
      <c r="D464" t="n">
        <v>0</v>
      </c>
      <c r="E464" t="inlineStr">
        <is>
          <t>IFOOD</t>
        </is>
      </c>
    </row>
    <row r="465">
      <c r="A465" t="n">
        <v>176</v>
      </c>
      <c r="B465" t="inlineStr">
        <is>
          <t>The Cavern</t>
        </is>
      </c>
      <c r="C465" s="27" t="n">
        <v>46087</v>
      </c>
      <c r="D465" t="n">
        <v>280.24</v>
      </c>
      <c r="E465" t="inlineStr">
        <is>
          <t>PIX</t>
        </is>
      </c>
    </row>
    <row r="466">
      <c r="A466" t="n">
        <v>176</v>
      </c>
      <c r="B466" t="inlineStr">
        <is>
          <t>The Cavern</t>
        </is>
      </c>
      <c r="C466" s="27" t="n">
        <v>46087</v>
      </c>
      <c r="D466" t="n">
        <v>0</v>
      </c>
      <c r="E466" t="inlineStr">
        <is>
          <t>RAPPI</t>
        </is>
      </c>
    </row>
    <row r="467">
      <c r="A467" t="n">
        <v>176</v>
      </c>
      <c r="B467" t="inlineStr">
        <is>
          <t>The Cavern</t>
        </is>
      </c>
      <c r="C467" s="27" t="n">
        <v>46087</v>
      </c>
      <c r="D467" t="n">
        <v>0</v>
      </c>
      <c r="E467" t="inlineStr">
        <is>
          <t>UBER</t>
        </is>
      </c>
    </row>
    <row r="468">
      <c r="A468" t="n">
        <v>176</v>
      </c>
      <c r="B468" t="inlineStr">
        <is>
          <t>The Cavern</t>
        </is>
      </c>
      <c r="C468" s="27" t="n">
        <v>46087</v>
      </c>
      <c r="D468" t="n">
        <v>0</v>
      </c>
      <c r="E468" t="inlineStr">
        <is>
          <t>ANTECIPADO</t>
        </is>
      </c>
    </row>
    <row r="469">
      <c r="A469" t="n">
        <v>176</v>
      </c>
      <c r="B469" t="inlineStr">
        <is>
          <t>The Cavern</t>
        </is>
      </c>
      <c r="C469" s="27" t="n">
        <v>46087</v>
      </c>
      <c r="D469" t="n">
        <v>0</v>
      </c>
      <c r="E469" t="inlineStr">
        <is>
          <t>VOUCHER</t>
        </is>
      </c>
    </row>
    <row r="470">
      <c r="A470" t="n">
        <v>176</v>
      </c>
      <c r="B470" t="inlineStr">
        <is>
          <t>The Cavern</t>
        </is>
      </c>
      <c r="C470" s="27" t="n">
        <v>46087</v>
      </c>
      <c r="D470" t="n">
        <v>4865.31</v>
      </c>
      <c r="E470" t="inlineStr">
        <is>
          <t>DÉBITO</t>
        </is>
      </c>
    </row>
    <row r="471">
      <c r="A471" t="n">
        <v>176</v>
      </c>
      <c r="B471" t="inlineStr">
        <is>
          <t>The Cavern</t>
        </is>
      </c>
      <c r="C471" s="27" t="n">
        <v>46087</v>
      </c>
      <c r="D471" t="n">
        <v>0</v>
      </c>
      <c r="E471" t="inlineStr">
        <is>
          <t>BÔNUS</t>
        </is>
      </c>
    </row>
    <row r="472">
      <c r="A472" t="n">
        <v>176</v>
      </c>
      <c r="B472" t="inlineStr">
        <is>
          <t>The Cavern</t>
        </is>
      </c>
      <c r="C472" s="27" t="n">
        <v>46087</v>
      </c>
      <c r="D472" t="n">
        <v>0</v>
      </c>
      <c r="E472" t="inlineStr">
        <is>
          <t>ANTECIPADO</t>
        </is>
      </c>
    </row>
    <row r="473">
      <c r="A473" t="n">
        <v>176</v>
      </c>
      <c r="B473" t="inlineStr">
        <is>
          <t>The Cavern</t>
        </is>
      </c>
      <c r="C473" s="27" t="n">
        <v>46087</v>
      </c>
      <c r="D473" t="n">
        <v>0</v>
      </c>
      <c r="E473" t="inlineStr">
        <is>
          <t>OUTROS</t>
        </is>
      </c>
    </row>
    <row r="474">
      <c r="A474" t="n">
        <v>176</v>
      </c>
      <c r="B474" t="inlineStr">
        <is>
          <t>The Cavern</t>
        </is>
      </c>
      <c r="C474" s="27" t="n">
        <v>46087</v>
      </c>
      <c r="D474" t="n">
        <v>0</v>
      </c>
      <c r="E474" t="inlineStr">
        <is>
          <t>BÔNUS</t>
        </is>
      </c>
    </row>
    <row r="475">
      <c r="A475" t="n">
        <v>176</v>
      </c>
      <c r="B475" t="inlineStr">
        <is>
          <t>The Cavern</t>
        </is>
      </c>
      <c r="C475" s="27" t="n">
        <v>46087</v>
      </c>
      <c r="D475" t="n">
        <v>102.79</v>
      </c>
      <c r="E475" t="inlineStr">
        <is>
          <t>DINHEIRO</t>
        </is>
      </c>
    </row>
    <row r="476">
      <c r="A476" t="n">
        <v>176</v>
      </c>
      <c r="B476" t="inlineStr">
        <is>
          <t>The Cavern</t>
        </is>
      </c>
      <c r="C476" s="27" t="n">
        <v>46087</v>
      </c>
      <c r="D476" t="n">
        <v>0</v>
      </c>
      <c r="E476" t="inlineStr">
        <is>
          <t>MBWAY</t>
        </is>
      </c>
    </row>
    <row r="477">
      <c r="A477" t="n">
        <v>176</v>
      </c>
      <c r="B477" t="inlineStr">
        <is>
          <t>The Cavern</t>
        </is>
      </c>
      <c r="C477" s="27" t="n">
        <v>46087</v>
      </c>
      <c r="D477" t="n">
        <v>0</v>
      </c>
      <c r="E477" t="inlineStr">
        <is>
          <t>VOUCHER INTEGRADO</t>
        </is>
      </c>
    </row>
    <row r="478">
      <c r="A478" t="n">
        <v>176</v>
      </c>
      <c r="B478" t="inlineStr">
        <is>
          <t>The Cavern</t>
        </is>
      </c>
      <c r="C478" s="27" t="n">
        <v>46087</v>
      </c>
      <c r="D478" t="n">
        <v>0</v>
      </c>
      <c r="E478" t="inlineStr">
        <is>
          <t>RECARGAS DEVOLVIDAS</t>
        </is>
      </c>
    </row>
    <row r="479">
      <c r="A479" t="n">
        <v>176</v>
      </c>
      <c r="B479" t="inlineStr">
        <is>
          <t>The Cavern</t>
        </is>
      </c>
      <c r="C479" s="27" t="n">
        <v>46087</v>
      </c>
      <c r="D479" t="n">
        <v>0</v>
      </c>
      <c r="E479" t="inlineStr">
        <is>
          <t>NOTAS MANUAIS + SERVIÇO</t>
        </is>
      </c>
    </row>
    <row r="480">
      <c r="A480" t="n">
        <v>176</v>
      </c>
      <c r="B480" t="inlineStr">
        <is>
          <t>The Cavern</t>
        </is>
      </c>
      <c r="C480" s="27" t="n">
        <v>46087</v>
      </c>
      <c r="D480" t="n">
        <v>0</v>
      </c>
      <c r="E480" t="inlineStr">
        <is>
          <t>AME</t>
        </is>
      </c>
    </row>
    <row r="481">
      <c r="A481" t="n">
        <v>176</v>
      </c>
      <c r="B481" t="inlineStr">
        <is>
          <t>The Cavern</t>
        </is>
      </c>
      <c r="C481" s="27" t="n">
        <v>46087</v>
      </c>
      <c r="D481" t="n">
        <v>0</v>
      </c>
      <c r="E481" t="inlineStr">
        <is>
          <t>OUTROS</t>
        </is>
      </c>
    </row>
    <row r="482">
      <c r="A482" t="n">
        <v>176</v>
      </c>
      <c r="B482" t="inlineStr">
        <is>
          <t>The Cavern</t>
        </is>
      </c>
      <c r="C482" s="27" t="n">
        <v>46087</v>
      </c>
      <c r="D482" t="n">
        <v>0</v>
      </c>
      <c r="E482" t="inlineStr">
        <is>
          <t>ANTECIPADO</t>
        </is>
      </c>
    </row>
    <row r="483">
      <c r="A483" t="n">
        <v>176</v>
      </c>
      <c r="B483" t="inlineStr">
        <is>
          <t>The Cavern</t>
        </is>
      </c>
      <c r="C483" s="27" t="n">
        <v>46087</v>
      </c>
      <c r="D483" t="n">
        <v>0</v>
      </c>
      <c r="E483" t="inlineStr">
        <is>
          <t>IFOOD</t>
        </is>
      </c>
    </row>
    <row r="484">
      <c r="A484" t="n">
        <v>176</v>
      </c>
      <c r="B484" t="inlineStr">
        <is>
          <t>The Cavern</t>
        </is>
      </c>
      <c r="C484" s="27" t="n">
        <v>46087</v>
      </c>
      <c r="D484" t="n">
        <v>23756.54</v>
      </c>
      <c r="E484" t="inlineStr">
        <is>
          <t>CRÉDITO</t>
        </is>
      </c>
    </row>
    <row r="485">
      <c r="A485" t="n">
        <v>176</v>
      </c>
      <c r="B485" t="inlineStr">
        <is>
          <t>The Cavern</t>
        </is>
      </c>
      <c r="C485" s="27" t="n">
        <v>46087</v>
      </c>
      <c r="D485" t="n">
        <v>2505.83</v>
      </c>
      <c r="E485" t="inlineStr">
        <is>
          <t>DÉBITO</t>
        </is>
      </c>
    </row>
    <row r="486">
      <c r="A486" t="n">
        <v>176</v>
      </c>
      <c r="B486" t="inlineStr">
        <is>
          <t>The Cavern</t>
        </is>
      </c>
      <c r="C486" s="27" t="n">
        <v>46087</v>
      </c>
      <c r="D486" t="n">
        <v>1486.65</v>
      </c>
      <c r="E486" t="inlineStr">
        <is>
          <t>VOUCHER</t>
        </is>
      </c>
    </row>
    <row r="487">
      <c r="A487" t="n">
        <v>176</v>
      </c>
      <c r="B487" t="inlineStr">
        <is>
          <t>The Cavern</t>
        </is>
      </c>
      <c r="C487" s="27" t="n">
        <v>46087</v>
      </c>
      <c r="D487" t="n">
        <v>0</v>
      </c>
      <c r="E487" t="inlineStr">
        <is>
          <t>ANTECIPADO</t>
        </is>
      </c>
    </row>
    <row r="488">
      <c r="A488" t="n">
        <v>176</v>
      </c>
      <c r="B488" t="inlineStr">
        <is>
          <t>The Cavern</t>
        </is>
      </c>
      <c r="C488" s="27" t="n">
        <v>46087</v>
      </c>
      <c r="D488" t="n">
        <v>0</v>
      </c>
      <c r="E488" t="inlineStr">
        <is>
          <t>UBER</t>
        </is>
      </c>
    </row>
    <row r="489">
      <c r="A489" t="n">
        <v>176</v>
      </c>
      <c r="B489" t="inlineStr">
        <is>
          <t>The Cavern</t>
        </is>
      </c>
      <c r="C489" s="27" t="n">
        <v>46087</v>
      </c>
      <c r="D489" t="n">
        <v>0</v>
      </c>
      <c r="E489" t="inlineStr">
        <is>
          <t>RAPPI</t>
        </is>
      </c>
    </row>
    <row r="490">
      <c r="A490" t="n">
        <v>176</v>
      </c>
      <c r="B490" t="inlineStr">
        <is>
          <t>The Cavern</t>
        </is>
      </c>
      <c r="C490" s="27" t="n">
        <v>46087</v>
      </c>
      <c r="D490" t="n">
        <v>345.28</v>
      </c>
      <c r="E490" t="inlineStr">
        <is>
          <t>PIX</t>
        </is>
      </c>
    </row>
    <row r="491">
      <c r="A491" t="n">
        <v>176</v>
      </c>
      <c r="B491" t="inlineStr">
        <is>
          <t>The Cavern</t>
        </is>
      </c>
      <c r="C491" s="27" t="n">
        <v>46087</v>
      </c>
      <c r="D491" t="n">
        <v>4142.68</v>
      </c>
      <c r="E491" t="inlineStr">
        <is>
          <t>CRÉDITO</t>
        </is>
      </c>
    </row>
    <row r="492">
      <c r="A492" t="n">
        <v>176</v>
      </c>
      <c r="B492" t="inlineStr">
        <is>
          <t>The Cavern</t>
        </is>
      </c>
      <c r="C492" s="27" t="n">
        <v>46087</v>
      </c>
      <c r="D492" t="n">
        <v>0</v>
      </c>
      <c r="E492" t="inlineStr">
        <is>
          <t>MBWAY</t>
        </is>
      </c>
    </row>
    <row r="493">
      <c r="A493" t="n">
        <v>176</v>
      </c>
      <c r="B493" t="inlineStr">
        <is>
          <t>The Cavern</t>
        </is>
      </c>
      <c r="C493" s="27" t="n">
        <v>46087</v>
      </c>
      <c r="D493" t="n">
        <v>0</v>
      </c>
      <c r="E493" t="inlineStr">
        <is>
          <t>VOUCHER INTEGRADO</t>
        </is>
      </c>
    </row>
    <row r="494">
      <c r="A494" t="n">
        <v>176</v>
      </c>
      <c r="B494" t="inlineStr">
        <is>
          <t>The Cavern</t>
        </is>
      </c>
      <c r="C494" s="27" t="n">
        <v>46087</v>
      </c>
      <c r="D494" t="n">
        <v>0</v>
      </c>
      <c r="E494" t="inlineStr">
        <is>
          <t>RECARGAS DEVOLVIDAS</t>
        </is>
      </c>
    </row>
    <row r="495">
      <c r="A495" t="n">
        <v>176</v>
      </c>
      <c r="B495" t="inlineStr">
        <is>
          <t>The Cavern</t>
        </is>
      </c>
      <c r="C495" s="27" t="n">
        <v>46087</v>
      </c>
      <c r="D495" t="n">
        <v>0</v>
      </c>
      <c r="E495" t="inlineStr">
        <is>
          <t>NOTAS MANUAIS + SERVIÇO</t>
        </is>
      </c>
    </row>
    <row r="496">
      <c r="A496" t="n">
        <v>176</v>
      </c>
      <c r="B496" t="inlineStr">
        <is>
          <t>The Cavern</t>
        </is>
      </c>
      <c r="C496" s="27" t="n">
        <v>46086</v>
      </c>
      <c r="D496" t="n">
        <v>0</v>
      </c>
      <c r="E496" t="inlineStr">
        <is>
          <t>ANTECIPADO</t>
        </is>
      </c>
    </row>
    <row r="497">
      <c r="A497" t="n">
        <v>176</v>
      </c>
      <c r="B497" t="inlineStr">
        <is>
          <t>The Cavern</t>
        </is>
      </c>
      <c r="C497" s="27" t="n">
        <v>46086</v>
      </c>
      <c r="D497" t="n">
        <v>0</v>
      </c>
      <c r="E497" t="inlineStr">
        <is>
          <t>ANTECIPADO</t>
        </is>
      </c>
    </row>
    <row r="498">
      <c r="A498" t="n">
        <v>176</v>
      </c>
      <c r="B498" t="inlineStr">
        <is>
          <t>The Cavern</t>
        </is>
      </c>
      <c r="C498" s="27" t="n">
        <v>46086</v>
      </c>
      <c r="D498" t="n">
        <v>0</v>
      </c>
      <c r="E498" t="inlineStr">
        <is>
          <t>OUTROS</t>
        </is>
      </c>
    </row>
    <row r="499">
      <c r="A499" t="n">
        <v>176</v>
      </c>
      <c r="B499" t="inlineStr">
        <is>
          <t>The Cavern</t>
        </is>
      </c>
      <c r="C499" s="27" t="n">
        <v>46086</v>
      </c>
      <c r="D499" t="n">
        <v>5599.15</v>
      </c>
      <c r="E499" t="inlineStr">
        <is>
          <t>DÉBITO</t>
        </is>
      </c>
    </row>
    <row r="500">
      <c r="A500" t="n">
        <v>176</v>
      </c>
      <c r="B500" t="inlineStr">
        <is>
          <t>The Cavern</t>
        </is>
      </c>
      <c r="C500" s="27" t="n">
        <v>46086</v>
      </c>
      <c r="D500" t="n">
        <v>0</v>
      </c>
      <c r="E500" t="inlineStr">
        <is>
          <t>VOUCHER</t>
        </is>
      </c>
    </row>
    <row r="501">
      <c r="A501" t="n">
        <v>176</v>
      </c>
      <c r="B501" t="inlineStr">
        <is>
          <t>The Cavern</t>
        </is>
      </c>
      <c r="C501" s="27" t="n">
        <v>46086</v>
      </c>
      <c r="D501" t="n">
        <v>0</v>
      </c>
      <c r="E501" t="inlineStr">
        <is>
          <t>ANTECIPADO</t>
        </is>
      </c>
    </row>
    <row r="502">
      <c r="A502" t="n">
        <v>176</v>
      </c>
      <c r="B502" t="inlineStr">
        <is>
          <t>The Cavern</t>
        </is>
      </c>
      <c r="C502" s="27" t="n">
        <v>46086</v>
      </c>
      <c r="D502" t="n">
        <v>0</v>
      </c>
      <c r="E502" t="inlineStr">
        <is>
          <t>UBER</t>
        </is>
      </c>
    </row>
    <row r="503">
      <c r="A503" t="n">
        <v>176</v>
      </c>
      <c r="B503" t="inlineStr">
        <is>
          <t>The Cavern</t>
        </is>
      </c>
      <c r="C503" s="27" t="n">
        <v>46086</v>
      </c>
      <c r="D503" t="n">
        <v>0</v>
      </c>
      <c r="E503" t="inlineStr">
        <is>
          <t>RAPPI</t>
        </is>
      </c>
    </row>
    <row r="504">
      <c r="A504" t="n">
        <v>176</v>
      </c>
      <c r="B504" t="inlineStr">
        <is>
          <t>The Cavern</t>
        </is>
      </c>
      <c r="C504" s="27" t="n">
        <v>46086</v>
      </c>
      <c r="D504" t="n">
        <v>965.02</v>
      </c>
      <c r="E504" t="inlineStr">
        <is>
          <t>PIX</t>
        </is>
      </c>
    </row>
    <row r="505">
      <c r="A505" t="n">
        <v>176</v>
      </c>
      <c r="B505" t="inlineStr">
        <is>
          <t>The Cavern</t>
        </is>
      </c>
      <c r="C505" s="27" t="n">
        <v>46086</v>
      </c>
      <c r="D505" t="n">
        <v>0</v>
      </c>
      <c r="E505" t="inlineStr">
        <is>
          <t>IFOOD</t>
        </is>
      </c>
    </row>
    <row r="506">
      <c r="A506" t="n">
        <v>176</v>
      </c>
      <c r="B506" t="inlineStr">
        <is>
          <t>The Cavern</t>
        </is>
      </c>
      <c r="C506" s="27" t="n">
        <v>46086</v>
      </c>
      <c r="D506" t="n">
        <v>0</v>
      </c>
      <c r="E506" t="inlineStr">
        <is>
          <t>DELIVERY ONLINE</t>
        </is>
      </c>
    </row>
    <row r="507">
      <c r="A507" t="n">
        <v>176</v>
      </c>
      <c r="B507" t="inlineStr">
        <is>
          <t>The Cavern</t>
        </is>
      </c>
      <c r="C507" s="27" t="n">
        <v>46086</v>
      </c>
      <c r="D507" t="n">
        <v>0.9</v>
      </c>
      <c r="E507" t="inlineStr">
        <is>
          <t>APP</t>
        </is>
      </c>
    </row>
    <row r="508">
      <c r="A508" t="n">
        <v>176</v>
      </c>
      <c r="B508" t="inlineStr">
        <is>
          <t>The Cavern</t>
        </is>
      </c>
      <c r="C508" s="27" t="n">
        <v>46086</v>
      </c>
      <c r="D508" t="n">
        <v>81.36</v>
      </c>
      <c r="E508" t="inlineStr">
        <is>
          <t>DINHEIRO</t>
        </is>
      </c>
    </row>
    <row r="509">
      <c r="A509" t="n">
        <v>176</v>
      </c>
      <c r="B509" t="inlineStr">
        <is>
          <t>The Cavern</t>
        </is>
      </c>
      <c r="C509" s="27" t="n">
        <v>46086</v>
      </c>
      <c r="D509" t="n">
        <v>27081.04</v>
      </c>
      <c r="E509" t="inlineStr">
        <is>
          <t>CRÉDITO</t>
        </is>
      </c>
    </row>
    <row r="510">
      <c r="A510" t="n">
        <v>176</v>
      </c>
      <c r="B510" t="inlineStr">
        <is>
          <t>The Cavern</t>
        </is>
      </c>
      <c r="C510" s="27" t="n">
        <v>46086</v>
      </c>
      <c r="D510" t="n">
        <v>0</v>
      </c>
      <c r="E510" t="inlineStr">
        <is>
          <t>BÔNUS</t>
        </is>
      </c>
    </row>
    <row r="511">
      <c r="A511" t="n">
        <v>176</v>
      </c>
      <c r="B511" t="inlineStr">
        <is>
          <t>The Cavern</t>
        </is>
      </c>
      <c r="C511" s="27" t="n">
        <v>46086</v>
      </c>
      <c r="D511" t="n">
        <v>0</v>
      </c>
      <c r="E511" t="inlineStr">
        <is>
          <t>OUTROS</t>
        </is>
      </c>
    </row>
    <row r="512">
      <c r="A512" t="n">
        <v>176</v>
      </c>
      <c r="B512" t="inlineStr">
        <is>
          <t>The Cavern</t>
        </is>
      </c>
      <c r="C512" s="27" t="n">
        <v>46086</v>
      </c>
      <c r="D512" t="n">
        <v>0</v>
      </c>
      <c r="E512" t="inlineStr">
        <is>
          <t>AME</t>
        </is>
      </c>
    </row>
    <row r="513">
      <c r="A513" t="n">
        <v>176</v>
      </c>
      <c r="B513" t="inlineStr">
        <is>
          <t>The Cavern</t>
        </is>
      </c>
      <c r="C513" s="27" t="n">
        <v>46086</v>
      </c>
      <c r="D513" t="n">
        <v>0</v>
      </c>
      <c r="E513" t="inlineStr">
        <is>
          <t>NOTAS MANUAIS + SERVIÇO</t>
        </is>
      </c>
    </row>
    <row r="514">
      <c r="A514" t="n">
        <v>176</v>
      </c>
      <c r="B514" t="inlineStr">
        <is>
          <t>The Cavern</t>
        </is>
      </c>
      <c r="C514" s="27" t="n">
        <v>46086</v>
      </c>
      <c r="D514" t="n">
        <v>0</v>
      </c>
      <c r="E514" t="inlineStr">
        <is>
          <t>RECARGAS DEVOLVIDAS</t>
        </is>
      </c>
    </row>
    <row r="515">
      <c r="A515" t="n">
        <v>176</v>
      </c>
      <c r="B515" t="inlineStr">
        <is>
          <t>The Cavern</t>
        </is>
      </c>
      <c r="C515" s="27" t="n">
        <v>46086</v>
      </c>
      <c r="D515" t="n">
        <v>0</v>
      </c>
      <c r="E515" t="inlineStr">
        <is>
          <t>VOUCHER INTEGRADO</t>
        </is>
      </c>
    </row>
    <row r="516">
      <c r="A516" t="n">
        <v>176</v>
      </c>
      <c r="B516" t="inlineStr">
        <is>
          <t>The Cavern</t>
        </is>
      </c>
      <c r="C516" s="27" t="n">
        <v>46086</v>
      </c>
      <c r="D516" t="n">
        <v>0</v>
      </c>
      <c r="E516" t="inlineStr">
        <is>
          <t>MBWAY</t>
        </is>
      </c>
    </row>
    <row r="517">
      <c r="A517" t="n">
        <v>176</v>
      </c>
      <c r="B517" t="inlineStr">
        <is>
          <t>The Cavern</t>
        </is>
      </c>
      <c r="C517" s="27" t="n">
        <v>46086</v>
      </c>
      <c r="D517" t="n">
        <v>0</v>
      </c>
      <c r="E517" t="inlineStr">
        <is>
          <t>UBER</t>
        </is>
      </c>
    </row>
    <row r="518">
      <c r="A518" t="n">
        <v>176</v>
      </c>
      <c r="B518" t="inlineStr">
        <is>
          <t>The Cavern</t>
        </is>
      </c>
      <c r="C518" s="27" t="n">
        <v>46086</v>
      </c>
      <c r="D518" t="n">
        <v>0</v>
      </c>
      <c r="E518" t="inlineStr">
        <is>
          <t>RAPPI</t>
        </is>
      </c>
    </row>
    <row r="519">
      <c r="A519" t="n">
        <v>176</v>
      </c>
      <c r="B519" t="inlineStr">
        <is>
          <t>The Cavern</t>
        </is>
      </c>
      <c r="C519" s="27" t="n">
        <v>46086</v>
      </c>
      <c r="D519" t="n">
        <v>404.15</v>
      </c>
      <c r="E519" t="inlineStr">
        <is>
          <t>PIX</t>
        </is>
      </c>
    </row>
    <row r="520">
      <c r="A520" t="n">
        <v>176</v>
      </c>
      <c r="B520" t="inlineStr">
        <is>
          <t>The Cavern</t>
        </is>
      </c>
      <c r="C520" s="27" t="n">
        <v>46086</v>
      </c>
      <c r="D520" t="n">
        <v>0</v>
      </c>
      <c r="E520" t="inlineStr">
        <is>
          <t>IFOOD</t>
        </is>
      </c>
    </row>
    <row r="521">
      <c r="A521" t="n">
        <v>176</v>
      </c>
      <c r="B521" t="inlineStr">
        <is>
          <t>The Cavern</t>
        </is>
      </c>
      <c r="C521" s="27" t="n">
        <v>46086</v>
      </c>
      <c r="D521" t="n">
        <v>0</v>
      </c>
      <c r="E521" t="inlineStr">
        <is>
          <t>DELIVERY ONLINE</t>
        </is>
      </c>
    </row>
    <row r="522">
      <c r="A522" t="n">
        <v>176</v>
      </c>
      <c r="B522" t="inlineStr">
        <is>
          <t>The Cavern</t>
        </is>
      </c>
      <c r="C522" s="27" t="n">
        <v>46086</v>
      </c>
      <c r="D522" t="n">
        <v>0</v>
      </c>
      <c r="E522" t="inlineStr">
        <is>
          <t>APP</t>
        </is>
      </c>
    </row>
    <row r="523">
      <c r="A523" t="n">
        <v>176</v>
      </c>
      <c r="B523" t="inlineStr">
        <is>
          <t>The Cavern</t>
        </is>
      </c>
      <c r="C523" s="27" t="n">
        <v>46086</v>
      </c>
      <c r="D523" t="n">
        <v>0</v>
      </c>
      <c r="E523" t="inlineStr">
        <is>
          <t>DINHEIRO</t>
        </is>
      </c>
    </row>
    <row r="524">
      <c r="A524" t="n">
        <v>176</v>
      </c>
      <c r="B524" t="inlineStr">
        <is>
          <t>The Cavern</t>
        </is>
      </c>
      <c r="C524" s="27" t="n">
        <v>46086</v>
      </c>
      <c r="D524" t="n">
        <v>4589.33</v>
      </c>
      <c r="E524" t="inlineStr">
        <is>
          <t>CRÉDITO</t>
        </is>
      </c>
    </row>
    <row r="525">
      <c r="A525" t="n">
        <v>176</v>
      </c>
      <c r="B525" t="inlineStr">
        <is>
          <t>The Cavern</t>
        </is>
      </c>
      <c r="C525" s="27" t="n">
        <v>46086</v>
      </c>
      <c r="D525" t="n">
        <v>0</v>
      </c>
      <c r="E525" t="inlineStr">
        <is>
          <t>AME</t>
        </is>
      </c>
    </row>
    <row r="526">
      <c r="A526" t="n">
        <v>176</v>
      </c>
      <c r="B526" t="inlineStr">
        <is>
          <t>The Cavern</t>
        </is>
      </c>
      <c r="C526" s="27" t="n">
        <v>46086</v>
      </c>
      <c r="D526" t="n">
        <v>1476.25</v>
      </c>
      <c r="E526" t="inlineStr">
        <is>
          <t>VOUCHER</t>
        </is>
      </c>
    </row>
    <row r="527">
      <c r="A527" t="n">
        <v>176</v>
      </c>
      <c r="B527" t="inlineStr">
        <is>
          <t>The Cavern</t>
        </is>
      </c>
      <c r="C527" s="27" t="n">
        <v>46086</v>
      </c>
      <c r="D527" t="n">
        <v>981.78</v>
      </c>
      <c r="E527" t="inlineStr">
        <is>
          <t>DÉBITO</t>
        </is>
      </c>
    </row>
    <row r="528">
      <c r="A528" t="n">
        <v>176</v>
      </c>
      <c r="B528" t="inlineStr">
        <is>
          <t>The Cavern</t>
        </is>
      </c>
      <c r="C528" s="27" t="n">
        <v>46086</v>
      </c>
      <c r="D528" t="n">
        <v>0</v>
      </c>
      <c r="E528" t="inlineStr">
        <is>
          <t>BÔNUS</t>
        </is>
      </c>
    </row>
    <row r="529">
      <c r="A529" t="n">
        <v>176</v>
      </c>
      <c r="B529" t="inlineStr">
        <is>
          <t>The Cavern</t>
        </is>
      </c>
      <c r="C529" s="27" t="n">
        <v>46086</v>
      </c>
      <c r="D529" t="n">
        <v>0</v>
      </c>
      <c r="E529" t="inlineStr">
        <is>
          <t>ANTECIPADO</t>
        </is>
      </c>
    </row>
    <row r="530">
      <c r="A530" t="n">
        <v>176</v>
      </c>
      <c r="B530" t="inlineStr">
        <is>
          <t>The Cavern</t>
        </is>
      </c>
      <c r="C530" s="27" t="n">
        <v>46086</v>
      </c>
      <c r="D530" t="n">
        <v>0</v>
      </c>
      <c r="E530" t="inlineStr">
        <is>
          <t>MBWAY</t>
        </is>
      </c>
    </row>
    <row r="531">
      <c r="A531" t="n">
        <v>176</v>
      </c>
      <c r="B531" t="inlineStr">
        <is>
          <t>The Cavern</t>
        </is>
      </c>
      <c r="C531" s="27" t="n">
        <v>46086</v>
      </c>
      <c r="D531" t="n">
        <v>0</v>
      </c>
      <c r="E531" t="inlineStr">
        <is>
          <t>VOUCHER INTEGRADO</t>
        </is>
      </c>
    </row>
    <row r="532">
      <c r="A532" t="n">
        <v>176</v>
      </c>
      <c r="B532" t="inlineStr">
        <is>
          <t>The Cavern</t>
        </is>
      </c>
      <c r="C532" s="27" t="n">
        <v>46086</v>
      </c>
      <c r="D532" t="n">
        <v>0</v>
      </c>
      <c r="E532" t="inlineStr">
        <is>
          <t>RECARGAS DEVOLVIDAS</t>
        </is>
      </c>
    </row>
    <row r="533">
      <c r="A533" t="n">
        <v>176</v>
      </c>
      <c r="B533" t="inlineStr">
        <is>
          <t>The Cavern</t>
        </is>
      </c>
      <c r="C533" s="27" t="n">
        <v>46086</v>
      </c>
      <c r="D533" t="n">
        <v>0</v>
      </c>
      <c r="E533" t="inlineStr">
        <is>
          <t>NOTAS MANUAIS + SERVIÇO</t>
        </is>
      </c>
    </row>
    <row r="534">
      <c r="A534" t="n">
        <v>176</v>
      </c>
      <c r="B534" t="inlineStr">
        <is>
          <t>The Cavern</t>
        </is>
      </c>
      <c r="C534" s="27" t="n">
        <v>46085</v>
      </c>
      <c r="D534" t="n">
        <v>0</v>
      </c>
      <c r="E534" t="inlineStr">
        <is>
          <t>ANTECIPADO</t>
        </is>
      </c>
    </row>
    <row r="535">
      <c r="A535" t="n">
        <v>176</v>
      </c>
      <c r="B535" t="inlineStr">
        <is>
          <t>The Cavern</t>
        </is>
      </c>
      <c r="C535" s="27" t="n">
        <v>46085</v>
      </c>
      <c r="D535" t="n">
        <v>0</v>
      </c>
      <c r="E535" t="inlineStr">
        <is>
          <t>UBER</t>
        </is>
      </c>
    </row>
    <row r="536">
      <c r="A536" t="n">
        <v>176</v>
      </c>
      <c r="B536" t="inlineStr">
        <is>
          <t>The Cavern</t>
        </is>
      </c>
      <c r="C536" s="27" t="n">
        <v>46085</v>
      </c>
      <c r="D536" t="n">
        <v>732.24</v>
      </c>
      <c r="E536" t="inlineStr">
        <is>
          <t>VOUCHER</t>
        </is>
      </c>
    </row>
    <row r="537">
      <c r="A537" t="n">
        <v>176</v>
      </c>
      <c r="B537" t="inlineStr">
        <is>
          <t>The Cavern</t>
        </is>
      </c>
      <c r="C537" s="27" t="n">
        <v>46085</v>
      </c>
      <c r="D537" t="n">
        <v>682.8099999999999</v>
      </c>
      <c r="E537" t="inlineStr">
        <is>
          <t>DÉBITO</t>
        </is>
      </c>
    </row>
    <row r="538">
      <c r="A538" t="n">
        <v>176</v>
      </c>
      <c r="B538" t="inlineStr">
        <is>
          <t>The Cavern</t>
        </is>
      </c>
      <c r="C538" s="27" t="n">
        <v>46085</v>
      </c>
      <c r="D538" t="n">
        <v>0</v>
      </c>
      <c r="E538" t="inlineStr">
        <is>
          <t>DELIVERY ONLINE</t>
        </is>
      </c>
    </row>
    <row r="539">
      <c r="A539" t="n">
        <v>176</v>
      </c>
      <c r="B539" t="inlineStr">
        <is>
          <t>The Cavern</t>
        </is>
      </c>
      <c r="C539" s="27" t="n">
        <v>46085</v>
      </c>
      <c r="D539" t="n">
        <v>0</v>
      </c>
      <c r="E539" t="inlineStr">
        <is>
          <t>BÔNUS</t>
        </is>
      </c>
    </row>
    <row r="540">
      <c r="A540" t="n">
        <v>176</v>
      </c>
      <c r="B540" t="inlineStr">
        <is>
          <t>The Cavern</t>
        </is>
      </c>
      <c r="C540" s="27" t="n">
        <v>46085</v>
      </c>
      <c r="D540" t="n">
        <v>0</v>
      </c>
      <c r="E540" t="inlineStr">
        <is>
          <t>RAPPI</t>
        </is>
      </c>
    </row>
    <row r="541">
      <c r="A541" t="n">
        <v>176</v>
      </c>
      <c r="B541" t="inlineStr">
        <is>
          <t>The Cavern</t>
        </is>
      </c>
      <c r="C541" s="27" t="n">
        <v>46085</v>
      </c>
      <c r="D541" t="n">
        <v>190.74</v>
      </c>
      <c r="E541" t="inlineStr">
        <is>
          <t>PIX</t>
        </is>
      </c>
    </row>
    <row r="542">
      <c r="A542" t="n">
        <v>176</v>
      </c>
      <c r="B542" t="inlineStr">
        <is>
          <t>The Cavern</t>
        </is>
      </c>
      <c r="C542" s="27" t="n">
        <v>46085</v>
      </c>
      <c r="D542" t="n">
        <v>0</v>
      </c>
      <c r="E542" t="inlineStr">
        <is>
          <t>BÔNUS</t>
        </is>
      </c>
    </row>
    <row r="543">
      <c r="A543" t="n">
        <v>176</v>
      </c>
      <c r="B543" t="inlineStr">
        <is>
          <t>The Cavern</t>
        </is>
      </c>
      <c r="C543" s="27" t="n">
        <v>46085</v>
      </c>
      <c r="D543" t="n">
        <v>0</v>
      </c>
      <c r="E543" t="inlineStr">
        <is>
          <t>ANTECIPADO</t>
        </is>
      </c>
    </row>
    <row r="544">
      <c r="A544" t="n">
        <v>176</v>
      </c>
      <c r="B544" t="inlineStr">
        <is>
          <t>The Cavern</t>
        </is>
      </c>
      <c r="C544" s="27" t="n">
        <v>46085</v>
      </c>
      <c r="D544" t="n">
        <v>0</v>
      </c>
      <c r="E544" t="inlineStr">
        <is>
          <t>OUTROS</t>
        </is>
      </c>
    </row>
    <row r="545">
      <c r="A545" t="n">
        <v>176</v>
      </c>
      <c r="B545" t="inlineStr">
        <is>
          <t>The Cavern</t>
        </is>
      </c>
      <c r="C545" s="27" t="n">
        <v>46085</v>
      </c>
      <c r="D545" t="n">
        <v>0</v>
      </c>
      <c r="E545" t="inlineStr">
        <is>
          <t>AME</t>
        </is>
      </c>
    </row>
    <row r="546">
      <c r="A546" t="n">
        <v>176</v>
      </c>
      <c r="B546" t="inlineStr">
        <is>
          <t>The Cavern</t>
        </is>
      </c>
      <c r="C546" s="27" t="n">
        <v>46085</v>
      </c>
      <c r="D546" t="n">
        <v>0</v>
      </c>
      <c r="E546" t="inlineStr">
        <is>
          <t>NOTAS MANUAIS + SERVIÇO</t>
        </is>
      </c>
    </row>
    <row r="547">
      <c r="A547" t="n">
        <v>176</v>
      </c>
      <c r="B547" t="inlineStr">
        <is>
          <t>The Cavern</t>
        </is>
      </c>
      <c r="C547" s="27" t="n">
        <v>46085</v>
      </c>
      <c r="D547" t="n">
        <v>0</v>
      </c>
      <c r="E547" t="inlineStr">
        <is>
          <t>RECARGAS DEVOLVIDAS</t>
        </is>
      </c>
    </row>
    <row r="548">
      <c r="A548" t="n">
        <v>176</v>
      </c>
      <c r="B548" t="inlineStr">
        <is>
          <t>The Cavern</t>
        </is>
      </c>
      <c r="C548" s="27" t="n">
        <v>46085</v>
      </c>
      <c r="D548" t="n">
        <v>0</v>
      </c>
      <c r="E548" t="inlineStr">
        <is>
          <t>VOUCHER INTEGRADO</t>
        </is>
      </c>
    </row>
    <row r="549">
      <c r="A549" t="n">
        <v>176</v>
      </c>
      <c r="B549" t="inlineStr">
        <is>
          <t>The Cavern</t>
        </is>
      </c>
      <c r="C549" s="27" t="n">
        <v>46085</v>
      </c>
      <c r="D549" t="n">
        <v>0</v>
      </c>
      <c r="E549" t="inlineStr">
        <is>
          <t>MBWAY</t>
        </is>
      </c>
    </row>
    <row r="550">
      <c r="A550" t="n">
        <v>176</v>
      </c>
      <c r="B550" t="inlineStr">
        <is>
          <t>The Cavern</t>
        </is>
      </c>
      <c r="C550" s="27" t="n">
        <v>46085</v>
      </c>
      <c r="D550" t="n">
        <v>0</v>
      </c>
      <c r="E550" t="inlineStr">
        <is>
          <t>IFOOD</t>
        </is>
      </c>
    </row>
    <row r="551">
      <c r="A551" t="n">
        <v>176</v>
      </c>
      <c r="B551" t="inlineStr">
        <is>
          <t>The Cavern</t>
        </is>
      </c>
      <c r="C551" s="27" t="n">
        <v>46085</v>
      </c>
      <c r="D551" t="n">
        <v>0</v>
      </c>
      <c r="E551" t="inlineStr">
        <is>
          <t>DELIVERY ONLINE</t>
        </is>
      </c>
    </row>
    <row r="552">
      <c r="A552" t="n">
        <v>176</v>
      </c>
      <c r="B552" t="inlineStr">
        <is>
          <t>The Cavern</t>
        </is>
      </c>
      <c r="C552" s="27" t="n">
        <v>46085</v>
      </c>
      <c r="D552" t="n">
        <v>0</v>
      </c>
      <c r="E552" t="inlineStr">
        <is>
          <t>APP</t>
        </is>
      </c>
    </row>
    <row r="553">
      <c r="A553" t="n">
        <v>176</v>
      </c>
      <c r="B553" t="inlineStr">
        <is>
          <t>The Cavern</t>
        </is>
      </c>
      <c r="C553" s="27" t="n">
        <v>46085</v>
      </c>
      <c r="D553" t="n">
        <v>0</v>
      </c>
      <c r="E553" t="inlineStr">
        <is>
          <t>DINHEIRO</t>
        </is>
      </c>
    </row>
    <row r="554">
      <c r="A554" t="n">
        <v>176</v>
      </c>
      <c r="B554" t="inlineStr">
        <is>
          <t>The Cavern</t>
        </is>
      </c>
      <c r="C554" s="27" t="n">
        <v>46085</v>
      </c>
      <c r="D554" t="n">
        <v>5745.6</v>
      </c>
      <c r="E554" t="inlineStr">
        <is>
          <t>CRÉDITO</t>
        </is>
      </c>
    </row>
    <row r="555">
      <c r="A555" t="n">
        <v>176</v>
      </c>
      <c r="B555" t="inlineStr">
        <is>
          <t>The Cavern</t>
        </is>
      </c>
      <c r="C555" s="27" t="n">
        <v>46085</v>
      </c>
      <c r="D555" t="n">
        <v>0</v>
      </c>
      <c r="E555" t="inlineStr">
        <is>
          <t>OUTROS</t>
        </is>
      </c>
    </row>
    <row r="556">
      <c r="A556" t="n">
        <v>176</v>
      </c>
      <c r="B556" t="inlineStr">
        <is>
          <t>The Cavern</t>
        </is>
      </c>
      <c r="C556" s="27" t="n">
        <v>46085</v>
      </c>
      <c r="D556" t="n">
        <v>0</v>
      </c>
      <c r="E556" t="inlineStr">
        <is>
          <t>IFOOD</t>
        </is>
      </c>
    </row>
    <row r="557">
      <c r="A557" t="n">
        <v>176</v>
      </c>
      <c r="B557" t="inlineStr">
        <is>
          <t>The Cavern</t>
        </is>
      </c>
      <c r="C557" s="27" t="n">
        <v>46085</v>
      </c>
      <c r="D557" t="n">
        <v>0</v>
      </c>
      <c r="E557" t="inlineStr">
        <is>
          <t>APP</t>
        </is>
      </c>
    </row>
    <row r="558">
      <c r="A558" t="n">
        <v>176</v>
      </c>
      <c r="B558" t="inlineStr">
        <is>
          <t>The Cavern</t>
        </is>
      </c>
      <c r="C558" s="27" t="n">
        <v>46085</v>
      </c>
      <c r="D558" t="n">
        <v>0</v>
      </c>
      <c r="E558" t="inlineStr">
        <is>
          <t>DINHEIRO</t>
        </is>
      </c>
    </row>
    <row r="559">
      <c r="A559" t="n">
        <v>176</v>
      </c>
      <c r="B559" t="inlineStr">
        <is>
          <t>The Cavern</t>
        </is>
      </c>
      <c r="C559" s="27" t="n">
        <v>46085</v>
      </c>
      <c r="D559" t="n">
        <v>567.26</v>
      </c>
      <c r="E559" t="inlineStr">
        <is>
          <t>CRÉDITO</t>
        </is>
      </c>
    </row>
    <row r="560">
      <c r="A560" t="n">
        <v>176</v>
      </c>
      <c r="B560" t="inlineStr">
        <is>
          <t>The Cavern</t>
        </is>
      </c>
      <c r="C560" s="27" t="n">
        <v>46085</v>
      </c>
      <c r="D560" t="n">
        <v>128.82</v>
      </c>
      <c r="E560" t="inlineStr">
        <is>
          <t>PIX</t>
        </is>
      </c>
    </row>
    <row r="561">
      <c r="A561" t="n">
        <v>176</v>
      </c>
      <c r="B561" t="inlineStr">
        <is>
          <t>The Cavern</t>
        </is>
      </c>
      <c r="C561" s="27" t="n">
        <v>46085</v>
      </c>
      <c r="D561" t="n">
        <v>0</v>
      </c>
      <c r="E561" t="inlineStr">
        <is>
          <t>RAPPI</t>
        </is>
      </c>
    </row>
    <row r="562">
      <c r="A562" t="n">
        <v>176</v>
      </c>
      <c r="B562" t="inlineStr">
        <is>
          <t>The Cavern</t>
        </is>
      </c>
      <c r="C562" s="27" t="n">
        <v>46085</v>
      </c>
      <c r="D562" t="n">
        <v>0</v>
      </c>
      <c r="E562" t="inlineStr">
        <is>
          <t>UBER</t>
        </is>
      </c>
    </row>
    <row r="563">
      <c r="A563" t="n">
        <v>176</v>
      </c>
      <c r="B563" t="inlineStr">
        <is>
          <t>The Cavern</t>
        </is>
      </c>
      <c r="C563" s="27" t="n">
        <v>46085</v>
      </c>
      <c r="D563" t="n">
        <v>0</v>
      </c>
      <c r="E563" t="inlineStr">
        <is>
          <t>ANTECIPADO</t>
        </is>
      </c>
    </row>
    <row r="564">
      <c r="A564" t="n">
        <v>176</v>
      </c>
      <c r="B564" t="inlineStr">
        <is>
          <t>The Cavern</t>
        </is>
      </c>
      <c r="C564" s="27" t="n">
        <v>46085</v>
      </c>
      <c r="D564" t="n">
        <v>0</v>
      </c>
      <c r="E564" t="inlineStr">
        <is>
          <t>NOTAS MANUAIS + SERVIÇO</t>
        </is>
      </c>
    </row>
    <row r="565">
      <c r="A565" t="n">
        <v>176</v>
      </c>
      <c r="B565" t="inlineStr">
        <is>
          <t>The Cavern</t>
        </is>
      </c>
      <c r="C565" s="27" t="n">
        <v>46085</v>
      </c>
      <c r="D565" t="n">
        <v>0</v>
      </c>
      <c r="E565" t="inlineStr">
        <is>
          <t>ANTECIPADO</t>
        </is>
      </c>
    </row>
    <row r="566">
      <c r="A566" t="n">
        <v>176</v>
      </c>
      <c r="B566" t="inlineStr">
        <is>
          <t>The Cavern</t>
        </is>
      </c>
      <c r="C566" s="27" t="n">
        <v>46085</v>
      </c>
      <c r="D566" t="n">
        <v>0</v>
      </c>
      <c r="E566" t="inlineStr">
        <is>
          <t>AME</t>
        </is>
      </c>
    </row>
    <row r="567">
      <c r="A567" t="n">
        <v>176</v>
      </c>
      <c r="B567" t="inlineStr">
        <is>
          <t>The Cavern</t>
        </is>
      </c>
      <c r="C567" s="27" t="n">
        <v>46085</v>
      </c>
      <c r="D567" t="n">
        <v>0</v>
      </c>
      <c r="E567" t="inlineStr">
        <is>
          <t>VOUCHER</t>
        </is>
      </c>
    </row>
    <row r="568">
      <c r="A568" t="n">
        <v>176</v>
      </c>
      <c r="B568" t="inlineStr">
        <is>
          <t>The Cavern</t>
        </is>
      </c>
      <c r="C568" s="27" t="n">
        <v>46085</v>
      </c>
      <c r="D568" t="n">
        <v>0</v>
      </c>
      <c r="E568" t="inlineStr">
        <is>
          <t>RECARGAS DEVOLVIDAS</t>
        </is>
      </c>
    </row>
    <row r="569">
      <c r="A569" t="n">
        <v>176</v>
      </c>
      <c r="B569" t="inlineStr">
        <is>
          <t>The Cavern</t>
        </is>
      </c>
      <c r="C569" s="27" t="n">
        <v>46085</v>
      </c>
      <c r="D569" t="n">
        <v>0</v>
      </c>
      <c r="E569" t="inlineStr">
        <is>
          <t>VOUCHER INTEGRADO</t>
        </is>
      </c>
    </row>
    <row r="570">
      <c r="A570" t="n">
        <v>176</v>
      </c>
      <c r="B570" t="inlineStr">
        <is>
          <t>The Cavern</t>
        </is>
      </c>
      <c r="C570" s="27" t="n">
        <v>46085</v>
      </c>
      <c r="D570" t="n">
        <v>0</v>
      </c>
      <c r="E570" t="inlineStr">
        <is>
          <t>DÉBITO</t>
        </is>
      </c>
    </row>
    <row r="571">
      <c r="A571" t="n">
        <v>176</v>
      </c>
      <c r="B571" t="inlineStr">
        <is>
          <t>The Cavern</t>
        </is>
      </c>
      <c r="C571" s="27" t="n">
        <v>46085</v>
      </c>
      <c r="D571" t="n">
        <v>0</v>
      </c>
      <c r="E571" t="inlineStr">
        <is>
          <t>MBWAY</t>
        </is>
      </c>
    </row>
    <row r="572">
      <c r="A572" t="n">
        <v>176</v>
      </c>
      <c r="B572" t="inlineStr">
        <is>
          <t>The Cavern</t>
        </is>
      </c>
      <c r="C572" s="27" t="n">
        <v>46084</v>
      </c>
      <c r="D572" t="n">
        <v>162.72</v>
      </c>
      <c r="E572" t="inlineStr">
        <is>
          <t>PIX</t>
        </is>
      </c>
    </row>
    <row r="573">
      <c r="A573" t="n">
        <v>176</v>
      </c>
      <c r="B573" t="inlineStr">
        <is>
          <t>The Cavern</t>
        </is>
      </c>
      <c r="C573" s="27" t="n">
        <v>46084</v>
      </c>
      <c r="D573" t="n">
        <v>0</v>
      </c>
      <c r="E573" t="inlineStr">
        <is>
          <t>APP</t>
        </is>
      </c>
    </row>
    <row r="574">
      <c r="A574" t="n">
        <v>176</v>
      </c>
      <c r="B574" t="inlineStr">
        <is>
          <t>The Cavern</t>
        </is>
      </c>
      <c r="C574" s="27" t="n">
        <v>46084</v>
      </c>
      <c r="D574" t="n">
        <v>0</v>
      </c>
      <c r="E574" t="inlineStr">
        <is>
          <t>IFOOD</t>
        </is>
      </c>
    </row>
    <row r="575">
      <c r="A575" t="n">
        <v>176</v>
      </c>
      <c r="B575" t="inlineStr">
        <is>
          <t>The Cavern</t>
        </is>
      </c>
      <c r="C575" s="27" t="n">
        <v>46084</v>
      </c>
      <c r="D575" t="n">
        <v>0</v>
      </c>
      <c r="E575" t="inlineStr">
        <is>
          <t>RAPPI</t>
        </is>
      </c>
    </row>
    <row r="576">
      <c r="A576" t="n">
        <v>176</v>
      </c>
      <c r="B576" t="inlineStr">
        <is>
          <t>The Cavern</t>
        </is>
      </c>
      <c r="C576" s="27" t="n">
        <v>46084</v>
      </c>
      <c r="D576" t="n">
        <v>0</v>
      </c>
      <c r="E576" t="inlineStr">
        <is>
          <t>DINHEIRO</t>
        </is>
      </c>
    </row>
    <row r="577">
      <c r="A577" t="n">
        <v>176</v>
      </c>
      <c r="B577" t="inlineStr">
        <is>
          <t>The Cavern</t>
        </is>
      </c>
      <c r="C577" s="27" t="n">
        <v>46084</v>
      </c>
      <c r="D577" t="n">
        <v>4269.54</v>
      </c>
      <c r="E577" t="inlineStr">
        <is>
          <t>CRÉDITO</t>
        </is>
      </c>
    </row>
    <row r="578">
      <c r="A578" t="n">
        <v>176</v>
      </c>
      <c r="B578" t="inlineStr">
        <is>
          <t>The Cavern</t>
        </is>
      </c>
      <c r="C578" s="27" t="n">
        <v>46084</v>
      </c>
      <c r="D578" t="n">
        <v>0</v>
      </c>
      <c r="E578" t="inlineStr">
        <is>
          <t>UBER</t>
        </is>
      </c>
    </row>
    <row r="579">
      <c r="A579" t="n">
        <v>176</v>
      </c>
      <c r="B579" t="inlineStr">
        <is>
          <t>The Cavern</t>
        </is>
      </c>
      <c r="C579" s="27" t="n">
        <v>46084</v>
      </c>
      <c r="D579" t="n">
        <v>0</v>
      </c>
      <c r="E579" t="inlineStr">
        <is>
          <t>ANTECIPADO</t>
        </is>
      </c>
    </row>
    <row r="580">
      <c r="A580" t="n">
        <v>176</v>
      </c>
      <c r="B580" t="inlineStr">
        <is>
          <t>The Cavern</t>
        </is>
      </c>
      <c r="C580" s="27" t="n">
        <v>46084</v>
      </c>
      <c r="D580" t="n">
        <v>0</v>
      </c>
      <c r="E580" t="inlineStr">
        <is>
          <t>VOUCHER</t>
        </is>
      </c>
    </row>
    <row r="581">
      <c r="A581" t="n">
        <v>176</v>
      </c>
      <c r="B581" t="inlineStr">
        <is>
          <t>The Cavern</t>
        </is>
      </c>
      <c r="C581" s="27" t="n">
        <v>46084</v>
      </c>
      <c r="D581" t="n">
        <v>312.33</v>
      </c>
      <c r="E581" t="inlineStr">
        <is>
          <t>DÉBITO</t>
        </is>
      </c>
    </row>
    <row r="582">
      <c r="A582" t="n">
        <v>176</v>
      </c>
      <c r="B582" t="inlineStr">
        <is>
          <t>The Cavern</t>
        </is>
      </c>
      <c r="C582" s="27" t="n">
        <v>46084</v>
      </c>
      <c r="D582" t="n">
        <v>1131.13</v>
      </c>
      <c r="E582" t="inlineStr">
        <is>
          <t>CRÉDITO</t>
        </is>
      </c>
    </row>
    <row r="583">
      <c r="A583" t="n">
        <v>176</v>
      </c>
      <c r="B583" t="inlineStr">
        <is>
          <t>The Cavern</t>
        </is>
      </c>
      <c r="C583" s="27" t="n">
        <v>46084</v>
      </c>
      <c r="D583" t="n">
        <v>0</v>
      </c>
      <c r="E583" t="inlineStr">
        <is>
          <t>DINHEIRO</t>
        </is>
      </c>
    </row>
    <row r="584">
      <c r="A584" t="n">
        <v>176</v>
      </c>
      <c r="B584" t="inlineStr">
        <is>
          <t>The Cavern</t>
        </is>
      </c>
      <c r="C584" s="27" t="n">
        <v>46084</v>
      </c>
      <c r="D584" t="n">
        <v>0</v>
      </c>
      <c r="E584" t="inlineStr">
        <is>
          <t>VOUCHER INTEGRADO</t>
        </is>
      </c>
    </row>
    <row r="585">
      <c r="A585" t="n">
        <v>176</v>
      </c>
      <c r="B585" t="inlineStr">
        <is>
          <t>The Cavern</t>
        </is>
      </c>
      <c r="C585" s="27" t="n">
        <v>46084</v>
      </c>
      <c r="D585" t="n">
        <v>0</v>
      </c>
      <c r="E585" t="inlineStr">
        <is>
          <t>DELIVERY ONLINE</t>
        </is>
      </c>
    </row>
    <row r="586">
      <c r="A586" t="n">
        <v>176</v>
      </c>
      <c r="B586" t="inlineStr">
        <is>
          <t>The Cavern</t>
        </is>
      </c>
      <c r="C586" s="27" t="n">
        <v>46084</v>
      </c>
      <c r="D586" t="n">
        <v>0</v>
      </c>
      <c r="E586" t="inlineStr">
        <is>
          <t>MBWAY</t>
        </is>
      </c>
    </row>
    <row r="587">
      <c r="A587" t="n">
        <v>176</v>
      </c>
      <c r="B587" t="inlineStr">
        <is>
          <t>The Cavern</t>
        </is>
      </c>
      <c r="C587" s="27" t="n">
        <v>46084</v>
      </c>
      <c r="D587" t="n">
        <v>0</v>
      </c>
      <c r="E587" t="inlineStr">
        <is>
          <t>VOUCHER INTEGRADO</t>
        </is>
      </c>
    </row>
    <row r="588">
      <c r="A588" t="n">
        <v>176</v>
      </c>
      <c r="B588" t="inlineStr">
        <is>
          <t>The Cavern</t>
        </is>
      </c>
      <c r="C588" s="27" t="n">
        <v>46084</v>
      </c>
      <c r="D588" t="n">
        <v>0</v>
      </c>
      <c r="E588" t="inlineStr">
        <is>
          <t>RECARGAS DEVOLVIDAS</t>
        </is>
      </c>
    </row>
    <row r="589">
      <c r="A589" t="n">
        <v>176</v>
      </c>
      <c r="B589" t="inlineStr">
        <is>
          <t>The Cavern</t>
        </is>
      </c>
      <c r="C589" s="27" t="n">
        <v>46084</v>
      </c>
      <c r="D589" t="n">
        <v>0</v>
      </c>
      <c r="E589" t="inlineStr">
        <is>
          <t>NOTAS MANUAIS + SERVIÇO</t>
        </is>
      </c>
    </row>
    <row r="590">
      <c r="A590" t="n">
        <v>176</v>
      </c>
      <c r="B590" t="inlineStr">
        <is>
          <t>The Cavern</t>
        </is>
      </c>
      <c r="C590" s="27" t="n">
        <v>46084</v>
      </c>
      <c r="D590" t="n">
        <v>0</v>
      </c>
      <c r="E590" t="inlineStr">
        <is>
          <t>AME</t>
        </is>
      </c>
    </row>
    <row r="591">
      <c r="A591" t="n">
        <v>176</v>
      </c>
      <c r="B591" t="inlineStr">
        <is>
          <t>The Cavern</t>
        </is>
      </c>
      <c r="C591" s="27" t="n">
        <v>46084</v>
      </c>
      <c r="D591" t="n">
        <v>0</v>
      </c>
      <c r="E591" t="inlineStr">
        <is>
          <t>OUTROS</t>
        </is>
      </c>
    </row>
    <row r="592">
      <c r="A592" t="n">
        <v>176</v>
      </c>
      <c r="B592" t="inlineStr">
        <is>
          <t>The Cavern</t>
        </is>
      </c>
      <c r="C592" s="27" t="n">
        <v>46084</v>
      </c>
      <c r="D592" t="n">
        <v>0</v>
      </c>
      <c r="E592" t="inlineStr">
        <is>
          <t>ANTECIPADO</t>
        </is>
      </c>
    </row>
    <row r="593">
      <c r="A593" t="n">
        <v>176</v>
      </c>
      <c r="B593" t="inlineStr">
        <is>
          <t>The Cavern</t>
        </is>
      </c>
      <c r="C593" s="27" t="n">
        <v>46084</v>
      </c>
      <c r="D593" t="n">
        <v>0</v>
      </c>
      <c r="E593" t="inlineStr">
        <is>
          <t>BÔNUS</t>
        </is>
      </c>
    </row>
    <row r="594">
      <c r="A594" t="n">
        <v>176</v>
      </c>
      <c r="B594" t="inlineStr">
        <is>
          <t>The Cavern</t>
        </is>
      </c>
      <c r="C594" s="27" t="n">
        <v>46084</v>
      </c>
      <c r="D594" t="n">
        <v>2947.25</v>
      </c>
      <c r="E594" t="inlineStr">
        <is>
          <t>VOUCHER</t>
        </is>
      </c>
    </row>
    <row r="595">
      <c r="A595" t="n">
        <v>176</v>
      </c>
      <c r="B595" t="inlineStr">
        <is>
          <t>The Cavern</t>
        </is>
      </c>
      <c r="C595" s="27" t="n">
        <v>46084</v>
      </c>
      <c r="D595" t="n">
        <v>0</v>
      </c>
      <c r="E595" t="inlineStr">
        <is>
          <t>RAPPI</t>
        </is>
      </c>
    </row>
    <row r="596">
      <c r="A596" t="n">
        <v>176</v>
      </c>
      <c r="B596" t="inlineStr">
        <is>
          <t>The Cavern</t>
        </is>
      </c>
      <c r="C596" s="27" t="n">
        <v>46084</v>
      </c>
      <c r="D596" t="n">
        <v>0</v>
      </c>
      <c r="E596" t="inlineStr">
        <is>
          <t>PIX</t>
        </is>
      </c>
    </row>
    <row r="597">
      <c r="A597" t="n">
        <v>176</v>
      </c>
      <c r="B597" t="inlineStr">
        <is>
          <t>The Cavern</t>
        </is>
      </c>
      <c r="C597" s="27" t="n">
        <v>46084</v>
      </c>
      <c r="D597" t="n">
        <v>0</v>
      </c>
      <c r="E597" t="inlineStr">
        <is>
          <t>IFOOD</t>
        </is>
      </c>
    </row>
    <row r="598">
      <c r="A598" t="n">
        <v>176</v>
      </c>
      <c r="B598" t="inlineStr">
        <is>
          <t>The Cavern</t>
        </is>
      </c>
      <c r="C598" s="27" t="n">
        <v>46084</v>
      </c>
      <c r="D598" t="n">
        <v>0</v>
      </c>
      <c r="E598" t="inlineStr">
        <is>
          <t>DELIVERY ONLINE</t>
        </is>
      </c>
    </row>
    <row r="599">
      <c r="A599" t="n">
        <v>176</v>
      </c>
      <c r="B599" t="inlineStr">
        <is>
          <t>The Cavern</t>
        </is>
      </c>
      <c r="C599" s="27" t="n">
        <v>46084</v>
      </c>
      <c r="D599" t="n">
        <v>0</v>
      </c>
      <c r="E599" t="inlineStr">
        <is>
          <t>APP</t>
        </is>
      </c>
    </row>
    <row r="600">
      <c r="A600" t="n">
        <v>176</v>
      </c>
      <c r="B600" t="inlineStr">
        <is>
          <t>The Cavern</t>
        </is>
      </c>
      <c r="C600" s="27" t="n">
        <v>46084</v>
      </c>
      <c r="D600" t="n">
        <v>0</v>
      </c>
      <c r="E600" t="inlineStr">
        <is>
          <t>UBER</t>
        </is>
      </c>
    </row>
    <row r="601">
      <c r="A601" t="n">
        <v>176</v>
      </c>
      <c r="B601" t="inlineStr">
        <is>
          <t>The Cavern</t>
        </is>
      </c>
      <c r="C601" s="27" t="n">
        <v>46084</v>
      </c>
      <c r="D601" t="n">
        <v>0</v>
      </c>
      <c r="E601" t="inlineStr">
        <is>
          <t>MBWAY</t>
        </is>
      </c>
    </row>
    <row r="602">
      <c r="A602" t="n">
        <v>176</v>
      </c>
      <c r="B602" t="inlineStr">
        <is>
          <t>The Cavern</t>
        </is>
      </c>
      <c r="C602" s="27" t="n">
        <v>46084</v>
      </c>
      <c r="D602" t="n">
        <v>0</v>
      </c>
      <c r="E602" t="inlineStr">
        <is>
          <t>ANTECIPADO</t>
        </is>
      </c>
    </row>
    <row r="603">
      <c r="A603" t="n">
        <v>176</v>
      </c>
      <c r="B603" t="inlineStr">
        <is>
          <t>The Cavern</t>
        </is>
      </c>
      <c r="C603" s="27" t="n">
        <v>46084</v>
      </c>
      <c r="D603" t="n">
        <v>970.1900000000001</v>
      </c>
      <c r="E603" t="inlineStr">
        <is>
          <t>DÉBITO</t>
        </is>
      </c>
    </row>
    <row r="604">
      <c r="A604" t="n">
        <v>176</v>
      </c>
      <c r="B604" t="inlineStr">
        <is>
          <t>The Cavern</t>
        </is>
      </c>
      <c r="C604" s="27" t="n">
        <v>46084</v>
      </c>
      <c r="D604" t="n">
        <v>0</v>
      </c>
      <c r="E604" t="inlineStr">
        <is>
          <t>BÔNUS</t>
        </is>
      </c>
    </row>
    <row r="605">
      <c r="A605" t="n">
        <v>176</v>
      </c>
      <c r="B605" t="inlineStr">
        <is>
          <t>The Cavern</t>
        </is>
      </c>
      <c r="C605" s="27" t="n">
        <v>46084</v>
      </c>
      <c r="D605" t="n">
        <v>0</v>
      </c>
      <c r="E605" t="inlineStr">
        <is>
          <t>ANTECIPADO</t>
        </is>
      </c>
    </row>
    <row r="606">
      <c r="A606" t="n">
        <v>176</v>
      </c>
      <c r="B606" t="inlineStr">
        <is>
          <t>The Cavern</t>
        </is>
      </c>
      <c r="C606" s="27" t="n">
        <v>46084</v>
      </c>
      <c r="D606" t="n">
        <v>0</v>
      </c>
      <c r="E606" t="inlineStr">
        <is>
          <t>OUTROS</t>
        </is>
      </c>
    </row>
    <row r="607">
      <c r="A607" t="n">
        <v>176</v>
      </c>
      <c r="B607" t="inlineStr">
        <is>
          <t>The Cavern</t>
        </is>
      </c>
      <c r="C607" s="27" t="n">
        <v>46084</v>
      </c>
      <c r="D607" t="n">
        <v>0</v>
      </c>
      <c r="E607" t="inlineStr">
        <is>
          <t>AME</t>
        </is>
      </c>
    </row>
    <row r="608">
      <c r="A608" t="n">
        <v>176</v>
      </c>
      <c r="B608" t="inlineStr">
        <is>
          <t>The Cavern</t>
        </is>
      </c>
      <c r="C608" s="27" t="n">
        <v>46084</v>
      </c>
      <c r="D608" t="n">
        <v>0</v>
      </c>
      <c r="E608" t="inlineStr">
        <is>
          <t>NOTAS MANUAIS + SERVIÇO</t>
        </is>
      </c>
    </row>
    <row r="609">
      <c r="A609" t="n">
        <v>176</v>
      </c>
      <c r="B609" t="inlineStr">
        <is>
          <t>The Cavern</t>
        </is>
      </c>
      <c r="C609" s="27" t="n">
        <v>46084</v>
      </c>
      <c r="D609" t="n">
        <v>0</v>
      </c>
      <c r="E609" t="inlineStr">
        <is>
          <t>RECARGAS DEVOLVIDAS</t>
        </is>
      </c>
    </row>
    <row r="610">
      <c r="A610" t="n">
        <v>176</v>
      </c>
      <c r="B610" t="inlineStr">
        <is>
          <t>The Cavern</t>
        </is>
      </c>
      <c r="C610" s="27" t="n">
        <v>46083</v>
      </c>
      <c r="D610" t="n">
        <v>190.73</v>
      </c>
      <c r="E610" t="inlineStr">
        <is>
          <t>PIX</t>
        </is>
      </c>
    </row>
    <row r="611">
      <c r="A611" t="n">
        <v>176</v>
      </c>
      <c r="B611" t="inlineStr">
        <is>
          <t>The Cavern</t>
        </is>
      </c>
      <c r="C611" s="27" t="n">
        <v>46083</v>
      </c>
      <c r="D611" t="n">
        <v>0</v>
      </c>
      <c r="E611" t="inlineStr">
        <is>
          <t>NOTAS MANUAIS + SERVIÇO</t>
        </is>
      </c>
    </row>
    <row r="612">
      <c r="A612" t="n">
        <v>176</v>
      </c>
      <c r="B612" t="inlineStr">
        <is>
          <t>The Cavern</t>
        </is>
      </c>
      <c r="C612" s="27" t="n">
        <v>46083</v>
      </c>
      <c r="D612" t="n">
        <v>0</v>
      </c>
      <c r="E612" t="inlineStr">
        <is>
          <t>UBER</t>
        </is>
      </c>
    </row>
    <row r="613">
      <c r="A613" t="n">
        <v>176</v>
      </c>
      <c r="B613" t="inlineStr">
        <is>
          <t>The Cavern</t>
        </is>
      </c>
      <c r="C613" s="27" t="n">
        <v>46083</v>
      </c>
      <c r="D613" t="n">
        <v>0</v>
      </c>
      <c r="E613" t="inlineStr">
        <is>
          <t>MBWAY</t>
        </is>
      </c>
    </row>
    <row r="614">
      <c r="A614" t="n">
        <v>176</v>
      </c>
      <c r="B614" t="inlineStr">
        <is>
          <t>The Cavern</t>
        </is>
      </c>
      <c r="C614" s="27" t="n">
        <v>46083</v>
      </c>
      <c r="D614" t="n">
        <v>0</v>
      </c>
      <c r="E614" t="inlineStr">
        <is>
          <t>ANTECIPADO</t>
        </is>
      </c>
    </row>
    <row r="615">
      <c r="A615" t="n">
        <v>176</v>
      </c>
      <c r="B615" t="inlineStr">
        <is>
          <t>The Cavern</t>
        </is>
      </c>
      <c r="C615" s="27" t="n">
        <v>46083</v>
      </c>
      <c r="D615" t="n">
        <v>783.26</v>
      </c>
      <c r="E615" t="inlineStr">
        <is>
          <t>VOUCHER</t>
        </is>
      </c>
    </row>
    <row r="616">
      <c r="A616" t="n">
        <v>176</v>
      </c>
      <c r="B616" t="inlineStr">
        <is>
          <t>The Cavern</t>
        </is>
      </c>
      <c r="C616" s="27" t="n">
        <v>46083</v>
      </c>
      <c r="D616" t="n">
        <v>0</v>
      </c>
      <c r="E616" t="inlineStr">
        <is>
          <t>VOUCHER INTEGRADO</t>
        </is>
      </c>
    </row>
    <row r="617">
      <c r="A617" t="n">
        <v>176</v>
      </c>
      <c r="B617" t="inlineStr">
        <is>
          <t>The Cavern</t>
        </is>
      </c>
      <c r="C617" s="27" t="n">
        <v>46083</v>
      </c>
      <c r="D617" t="n">
        <v>0</v>
      </c>
      <c r="E617" t="inlineStr">
        <is>
          <t>RECARGAS DEVOLVIDAS</t>
        </is>
      </c>
    </row>
    <row r="618">
      <c r="A618" t="n">
        <v>176</v>
      </c>
      <c r="B618" t="inlineStr">
        <is>
          <t>The Cavern</t>
        </is>
      </c>
      <c r="C618" s="27" t="n">
        <v>46083</v>
      </c>
      <c r="D618" t="n">
        <v>863.38</v>
      </c>
      <c r="E618" t="inlineStr">
        <is>
          <t>DÉBITO</t>
        </is>
      </c>
    </row>
    <row r="619">
      <c r="A619" t="n">
        <v>176</v>
      </c>
      <c r="B619" t="inlineStr">
        <is>
          <t>The Cavern</t>
        </is>
      </c>
      <c r="C619" s="27" t="n">
        <v>46083</v>
      </c>
      <c r="D619" t="n">
        <v>0</v>
      </c>
      <c r="E619" t="inlineStr">
        <is>
          <t>BÔNUS</t>
        </is>
      </c>
    </row>
    <row r="620">
      <c r="A620" t="n">
        <v>176</v>
      </c>
      <c r="B620" t="inlineStr">
        <is>
          <t>The Cavern</t>
        </is>
      </c>
      <c r="C620" s="27" t="n">
        <v>46083</v>
      </c>
      <c r="D620" t="n">
        <v>0</v>
      </c>
      <c r="E620" t="inlineStr">
        <is>
          <t>ANTECIPADO</t>
        </is>
      </c>
    </row>
    <row r="621">
      <c r="A621" t="n">
        <v>176</v>
      </c>
      <c r="B621" t="inlineStr">
        <is>
          <t>The Cavern</t>
        </is>
      </c>
      <c r="C621" s="27" t="n">
        <v>46083</v>
      </c>
      <c r="D621" t="n">
        <v>0</v>
      </c>
      <c r="E621" t="inlineStr">
        <is>
          <t>OUTROS</t>
        </is>
      </c>
    </row>
    <row r="622">
      <c r="A622" t="n">
        <v>176</v>
      </c>
      <c r="B622" t="inlineStr">
        <is>
          <t>The Cavern</t>
        </is>
      </c>
      <c r="C622" s="27" t="n">
        <v>46083</v>
      </c>
      <c r="D622" t="n">
        <v>0</v>
      </c>
      <c r="E622" t="inlineStr">
        <is>
          <t>AME</t>
        </is>
      </c>
    </row>
    <row r="623">
      <c r="A623" t="n">
        <v>176</v>
      </c>
      <c r="B623" t="inlineStr">
        <is>
          <t>The Cavern</t>
        </is>
      </c>
      <c r="C623" s="27" t="n">
        <v>46083</v>
      </c>
      <c r="D623" t="n">
        <v>0</v>
      </c>
      <c r="E623" t="inlineStr">
        <is>
          <t>AME</t>
        </is>
      </c>
    </row>
    <row r="624">
      <c r="A624" t="n">
        <v>176</v>
      </c>
      <c r="B624" t="inlineStr">
        <is>
          <t>The Cavern</t>
        </is>
      </c>
      <c r="C624" s="27" t="n">
        <v>46083</v>
      </c>
      <c r="D624" t="n">
        <v>143.51</v>
      </c>
      <c r="E624" t="inlineStr">
        <is>
          <t>PIX</t>
        </is>
      </c>
    </row>
    <row r="625">
      <c r="A625" t="n">
        <v>176</v>
      </c>
      <c r="B625" t="inlineStr">
        <is>
          <t>The Cavern</t>
        </is>
      </c>
      <c r="C625" s="27" t="n">
        <v>46083</v>
      </c>
      <c r="D625" t="n">
        <v>0</v>
      </c>
      <c r="E625" t="inlineStr">
        <is>
          <t>RAPPI</t>
        </is>
      </c>
    </row>
    <row r="626">
      <c r="A626" t="n">
        <v>176</v>
      </c>
      <c r="B626" t="inlineStr">
        <is>
          <t>The Cavern</t>
        </is>
      </c>
      <c r="C626" s="27" t="n">
        <v>46083</v>
      </c>
      <c r="D626" t="n">
        <v>0</v>
      </c>
      <c r="E626" t="inlineStr">
        <is>
          <t>UBER</t>
        </is>
      </c>
    </row>
    <row r="627">
      <c r="A627" t="n">
        <v>176</v>
      </c>
      <c r="B627" t="inlineStr">
        <is>
          <t>The Cavern</t>
        </is>
      </c>
      <c r="C627" s="27" t="n">
        <v>46083</v>
      </c>
      <c r="D627" t="n">
        <v>0</v>
      </c>
      <c r="E627" t="inlineStr">
        <is>
          <t>ANTECIPADO</t>
        </is>
      </c>
    </row>
    <row r="628">
      <c r="A628" t="n">
        <v>176</v>
      </c>
      <c r="B628" t="inlineStr">
        <is>
          <t>The Cavern</t>
        </is>
      </c>
      <c r="C628" s="27" t="n">
        <v>46083</v>
      </c>
      <c r="D628" t="n">
        <v>0</v>
      </c>
      <c r="E628" t="inlineStr">
        <is>
          <t>VOUCHER</t>
        </is>
      </c>
    </row>
    <row r="629">
      <c r="A629" t="n">
        <v>176</v>
      </c>
      <c r="B629" t="inlineStr">
        <is>
          <t>The Cavern</t>
        </is>
      </c>
      <c r="C629" s="27" t="n">
        <v>46083</v>
      </c>
      <c r="D629" t="n">
        <v>0</v>
      </c>
      <c r="E629" t="inlineStr">
        <is>
          <t>DÉBITO</t>
        </is>
      </c>
    </row>
    <row r="630">
      <c r="A630" t="n">
        <v>176</v>
      </c>
      <c r="B630" t="inlineStr">
        <is>
          <t>The Cavern</t>
        </is>
      </c>
      <c r="C630" s="27" t="n">
        <v>46083</v>
      </c>
      <c r="D630" t="n">
        <v>0</v>
      </c>
      <c r="E630" t="inlineStr">
        <is>
          <t>BÔNUS</t>
        </is>
      </c>
    </row>
    <row r="631">
      <c r="A631" t="n">
        <v>176</v>
      </c>
      <c r="B631" t="inlineStr">
        <is>
          <t>The Cavern</t>
        </is>
      </c>
      <c r="C631" s="27" t="n">
        <v>46083</v>
      </c>
      <c r="D631" t="n">
        <v>0</v>
      </c>
      <c r="E631" t="inlineStr">
        <is>
          <t>ANTECIPADO</t>
        </is>
      </c>
    </row>
    <row r="632">
      <c r="A632" t="n">
        <v>176</v>
      </c>
      <c r="B632" t="inlineStr">
        <is>
          <t>The Cavern</t>
        </is>
      </c>
      <c r="C632" s="27" t="n">
        <v>46083</v>
      </c>
      <c r="D632" t="n">
        <v>0</v>
      </c>
      <c r="E632" t="inlineStr">
        <is>
          <t>OUTROS</t>
        </is>
      </c>
    </row>
    <row r="633">
      <c r="A633" t="n">
        <v>176</v>
      </c>
      <c r="B633" t="inlineStr">
        <is>
          <t>The Cavern</t>
        </is>
      </c>
      <c r="C633" s="27" t="n">
        <v>46083</v>
      </c>
      <c r="D633" t="n">
        <v>435.05</v>
      </c>
      <c r="E633" t="inlineStr">
        <is>
          <t>CRÉDITO</t>
        </is>
      </c>
    </row>
    <row r="634">
      <c r="A634" t="n">
        <v>176</v>
      </c>
      <c r="B634" t="inlineStr">
        <is>
          <t>The Cavern</t>
        </is>
      </c>
      <c r="C634" s="27" t="n">
        <v>46083</v>
      </c>
      <c r="D634" t="n">
        <v>0</v>
      </c>
      <c r="E634" t="inlineStr">
        <is>
          <t>NOTAS MANUAIS + SERVIÇO</t>
        </is>
      </c>
    </row>
    <row r="635">
      <c r="A635" t="n">
        <v>176</v>
      </c>
      <c r="B635" t="inlineStr">
        <is>
          <t>The Cavern</t>
        </is>
      </c>
      <c r="C635" s="27" t="n">
        <v>46083</v>
      </c>
      <c r="D635" t="n">
        <v>0</v>
      </c>
      <c r="E635" t="inlineStr">
        <is>
          <t>RECARGAS DEVOLVIDAS</t>
        </is>
      </c>
    </row>
    <row r="636">
      <c r="A636" t="n">
        <v>176</v>
      </c>
      <c r="B636" t="inlineStr">
        <is>
          <t>The Cavern</t>
        </is>
      </c>
      <c r="C636" s="27" t="n">
        <v>46083</v>
      </c>
      <c r="D636" t="n">
        <v>0</v>
      </c>
      <c r="E636" t="inlineStr">
        <is>
          <t>VOUCHER INTEGRADO</t>
        </is>
      </c>
    </row>
    <row r="637">
      <c r="A637" t="n">
        <v>176</v>
      </c>
      <c r="B637" t="inlineStr">
        <is>
          <t>The Cavern</t>
        </is>
      </c>
      <c r="C637" s="27" t="n">
        <v>46083</v>
      </c>
      <c r="D637" t="n">
        <v>0</v>
      </c>
      <c r="E637" t="inlineStr">
        <is>
          <t>MBWAY</t>
        </is>
      </c>
    </row>
    <row r="638">
      <c r="A638" t="n">
        <v>176</v>
      </c>
      <c r="B638" t="inlineStr">
        <is>
          <t>The Cavern</t>
        </is>
      </c>
      <c r="C638" s="27" t="n">
        <v>46083</v>
      </c>
      <c r="D638" t="n">
        <v>0</v>
      </c>
      <c r="E638" t="inlineStr">
        <is>
          <t>IFOOD</t>
        </is>
      </c>
    </row>
    <row r="639">
      <c r="A639" t="n">
        <v>176</v>
      </c>
      <c r="B639" t="inlineStr">
        <is>
          <t>The Cavern</t>
        </is>
      </c>
      <c r="C639" s="27" t="n">
        <v>46083</v>
      </c>
      <c r="D639" t="n">
        <v>0</v>
      </c>
      <c r="E639" t="inlineStr">
        <is>
          <t>DELIVERY ONLINE</t>
        </is>
      </c>
    </row>
    <row r="640">
      <c r="A640" t="n">
        <v>176</v>
      </c>
      <c r="B640" t="inlineStr">
        <is>
          <t>The Cavern</t>
        </is>
      </c>
      <c r="C640" s="27" t="n">
        <v>46083</v>
      </c>
      <c r="D640" t="n">
        <v>0</v>
      </c>
      <c r="E640" t="inlineStr">
        <is>
          <t>APP</t>
        </is>
      </c>
    </row>
    <row r="641">
      <c r="A641" t="n">
        <v>176</v>
      </c>
      <c r="B641" t="inlineStr">
        <is>
          <t>The Cavern</t>
        </is>
      </c>
      <c r="C641" s="27" t="n">
        <v>46083</v>
      </c>
      <c r="D641" t="n">
        <v>0</v>
      </c>
      <c r="E641" t="inlineStr">
        <is>
          <t>DINHEIRO</t>
        </is>
      </c>
    </row>
    <row r="642">
      <c r="A642" t="n">
        <v>176</v>
      </c>
      <c r="B642" t="inlineStr">
        <is>
          <t>The Cavern</t>
        </is>
      </c>
      <c r="C642" s="27" t="n">
        <v>46083</v>
      </c>
      <c r="D642" t="n">
        <v>0</v>
      </c>
      <c r="E642" t="inlineStr">
        <is>
          <t>RAPPI</t>
        </is>
      </c>
    </row>
    <row r="643">
      <c r="A643" t="n">
        <v>176</v>
      </c>
      <c r="B643" t="inlineStr">
        <is>
          <t>The Cavern</t>
        </is>
      </c>
      <c r="C643" s="27" t="n">
        <v>46083</v>
      </c>
      <c r="D643" t="n">
        <v>0</v>
      </c>
      <c r="E643" t="inlineStr">
        <is>
          <t>IFOOD</t>
        </is>
      </c>
    </row>
    <row r="644">
      <c r="A644" t="n">
        <v>176</v>
      </c>
      <c r="B644" t="inlineStr">
        <is>
          <t>The Cavern</t>
        </is>
      </c>
      <c r="C644" s="27" t="n">
        <v>46083</v>
      </c>
      <c r="D644" t="n">
        <v>0</v>
      </c>
      <c r="E644" t="inlineStr">
        <is>
          <t>DELIVERY ONLINE</t>
        </is>
      </c>
    </row>
    <row r="645">
      <c r="A645" t="n">
        <v>176</v>
      </c>
      <c r="B645" t="inlineStr">
        <is>
          <t>The Cavern</t>
        </is>
      </c>
      <c r="C645" s="27" t="n">
        <v>46083</v>
      </c>
      <c r="D645" t="n">
        <v>0</v>
      </c>
      <c r="E645" t="inlineStr">
        <is>
          <t>APP</t>
        </is>
      </c>
    </row>
    <row r="646">
      <c r="A646" t="n">
        <v>176</v>
      </c>
      <c r="B646" t="inlineStr">
        <is>
          <t>The Cavern</t>
        </is>
      </c>
      <c r="C646" s="27" t="n">
        <v>46083</v>
      </c>
      <c r="D646" t="n">
        <v>0</v>
      </c>
      <c r="E646" t="inlineStr">
        <is>
          <t>DINHEIRO</t>
        </is>
      </c>
    </row>
    <row r="647">
      <c r="A647" t="n">
        <v>176</v>
      </c>
      <c r="B647" t="inlineStr">
        <is>
          <t>The Cavern</t>
        </is>
      </c>
      <c r="C647" s="27" t="n">
        <v>46083</v>
      </c>
      <c r="D647" t="n">
        <v>3252.42</v>
      </c>
      <c r="E647" t="inlineStr">
        <is>
          <t>CRÉDITO</t>
        </is>
      </c>
    </row>
    <row r="648">
      <c r="A648" t="n">
        <v>176</v>
      </c>
      <c r="B648" t="inlineStr">
        <is>
          <t>The Cavern</t>
        </is>
      </c>
      <c r="C648" s="27" t="n">
        <v>46082</v>
      </c>
      <c r="D648" t="n">
        <v>0</v>
      </c>
      <c r="E648" t="inlineStr">
        <is>
          <t>RAPPI</t>
        </is>
      </c>
    </row>
    <row r="649">
      <c r="A649" t="n">
        <v>176</v>
      </c>
      <c r="B649" t="inlineStr">
        <is>
          <t>The Cavern</t>
        </is>
      </c>
      <c r="C649" s="27" t="n">
        <v>46082</v>
      </c>
      <c r="D649" t="n">
        <v>632.8</v>
      </c>
      <c r="E649" t="inlineStr">
        <is>
          <t>CRÉDITO</t>
        </is>
      </c>
    </row>
    <row r="650">
      <c r="A650" t="n">
        <v>176</v>
      </c>
      <c r="B650" t="inlineStr">
        <is>
          <t>The Cavern</t>
        </is>
      </c>
      <c r="C650" s="27" t="n">
        <v>46082</v>
      </c>
      <c r="D650" t="n">
        <v>0</v>
      </c>
      <c r="E650" t="inlineStr">
        <is>
          <t>DINHEIRO</t>
        </is>
      </c>
    </row>
    <row r="651">
      <c r="A651" t="n">
        <v>176</v>
      </c>
      <c r="B651" t="inlineStr">
        <is>
          <t>The Cavern</t>
        </is>
      </c>
      <c r="C651" s="27" t="n">
        <v>46082</v>
      </c>
      <c r="D651" t="n">
        <v>0</v>
      </c>
      <c r="E651" t="inlineStr">
        <is>
          <t>APP</t>
        </is>
      </c>
    </row>
    <row r="652">
      <c r="A652" t="n">
        <v>176</v>
      </c>
      <c r="B652" t="inlineStr">
        <is>
          <t>The Cavern</t>
        </is>
      </c>
      <c r="C652" s="27" t="n">
        <v>46082</v>
      </c>
      <c r="D652" t="n">
        <v>0</v>
      </c>
      <c r="E652" t="inlineStr">
        <is>
          <t>DELIVERY ONLINE</t>
        </is>
      </c>
    </row>
    <row r="653">
      <c r="A653" t="n">
        <v>176</v>
      </c>
      <c r="B653" t="inlineStr">
        <is>
          <t>The Cavern</t>
        </is>
      </c>
      <c r="C653" s="27" t="n">
        <v>46082</v>
      </c>
      <c r="D653" t="n">
        <v>0</v>
      </c>
      <c r="E653" t="inlineStr">
        <is>
          <t>VOUCHER INTEGRADO</t>
        </is>
      </c>
    </row>
    <row r="654">
      <c r="A654" t="n">
        <v>176</v>
      </c>
      <c r="B654" t="inlineStr">
        <is>
          <t>The Cavern</t>
        </is>
      </c>
      <c r="C654" s="27" t="n">
        <v>46082</v>
      </c>
      <c r="D654" t="n">
        <v>0</v>
      </c>
      <c r="E654" t="inlineStr">
        <is>
          <t>MBWAY</t>
        </is>
      </c>
    </row>
    <row r="655">
      <c r="A655" t="n">
        <v>176</v>
      </c>
      <c r="B655" t="inlineStr">
        <is>
          <t>The Cavern</t>
        </is>
      </c>
      <c r="C655" s="27" t="n">
        <v>46082</v>
      </c>
      <c r="D655" t="n">
        <v>0</v>
      </c>
      <c r="E655" t="inlineStr">
        <is>
          <t>IFOOD</t>
        </is>
      </c>
    </row>
    <row r="656">
      <c r="A656" t="n">
        <v>176</v>
      </c>
      <c r="B656" t="inlineStr">
        <is>
          <t>The Cavern</t>
        </is>
      </c>
      <c r="C656" s="27" t="n">
        <v>46082</v>
      </c>
      <c r="D656" t="n">
        <v>83.62</v>
      </c>
      <c r="E656" t="inlineStr">
        <is>
          <t>PIX</t>
        </is>
      </c>
    </row>
    <row r="657">
      <c r="A657" t="n">
        <v>176</v>
      </c>
      <c r="B657" t="inlineStr">
        <is>
          <t>The Cavern</t>
        </is>
      </c>
      <c r="C657" s="27" t="n">
        <v>46082</v>
      </c>
      <c r="D657" t="n">
        <v>0</v>
      </c>
      <c r="E657" t="inlineStr">
        <is>
          <t>VOUCHER</t>
        </is>
      </c>
    </row>
    <row r="658">
      <c r="A658" t="n">
        <v>176</v>
      </c>
      <c r="B658" t="inlineStr">
        <is>
          <t>The Cavern</t>
        </is>
      </c>
      <c r="C658" s="27" t="n">
        <v>46082</v>
      </c>
      <c r="D658" t="n">
        <v>0</v>
      </c>
      <c r="E658" t="inlineStr">
        <is>
          <t>UBER</t>
        </is>
      </c>
    </row>
    <row r="659">
      <c r="A659" t="n">
        <v>176</v>
      </c>
      <c r="B659" t="inlineStr">
        <is>
          <t>The Cavern</t>
        </is>
      </c>
      <c r="C659" s="27" t="n">
        <v>46082</v>
      </c>
      <c r="D659" t="n">
        <v>0</v>
      </c>
      <c r="E659" t="inlineStr">
        <is>
          <t>ANTECIPADO</t>
        </is>
      </c>
    </row>
    <row r="660">
      <c r="A660" t="n">
        <v>176</v>
      </c>
      <c r="B660" t="inlineStr">
        <is>
          <t>The Cavern</t>
        </is>
      </c>
      <c r="C660" s="27" t="n">
        <v>46082</v>
      </c>
      <c r="D660" t="n">
        <v>215.83</v>
      </c>
      <c r="E660" t="inlineStr">
        <is>
          <t>DÉBITO</t>
        </is>
      </c>
    </row>
    <row r="661">
      <c r="A661" t="n">
        <v>176</v>
      </c>
      <c r="B661" t="inlineStr">
        <is>
          <t>The Cavern</t>
        </is>
      </c>
      <c r="C661" s="27" t="n">
        <v>46082</v>
      </c>
      <c r="D661" t="n">
        <v>0</v>
      </c>
      <c r="E661" t="inlineStr">
        <is>
          <t>BÔNUS</t>
        </is>
      </c>
    </row>
    <row r="662">
      <c r="A662" t="n">
        <v>176</v>
      </c>
      <c r="B662" t="inlineStr">
        <is>
          <t>The Cavern</t>
        </is>
      </c>
      <c r="C662" s="27" t="n">
        <v>46082</v>
      </c>
      <c r="D662" t="n">
        <v>0</v>
      </c>
      <c r="E662" t="inlineStr">
        <is>
          <t>ANTECIPADO</t>
        </is>
      </c>
    </row>
    <row r="663">
      <c r="A663" t="n">
        <v>176</v>
      </c>
      <c r="B663" t="inlineStr">
        <is>
          <t>The Cavern</t>
        </is>
      </c>
      <c r="C663" s="27" t="n">
        <v>46082</v>
      </c>
      <c r="D663" t="n">
        <v>0</v>
      </c>
      <c r="E663" t="inlineStr">
        <is>
          <t>OUTROS</t>
        </is>
      </c>
    </row>
    <row r="664">
      <c r="A664" t="n">
        <v>176</v>
      </c>
      <c r="B664" t="inlineStr">
        <is>
          <t>The Cavern</t>
        </is>
      </c>
      <c r="C664" s="27" t="n">
        <v>46082</v>
      </c>
      <c r="D664" t="n">
        <v>0</v>
      </c>
      <c r="E664" t="inlineStr">
        <is>
          <t>AME</t>
        </is>
      </c>
    </row>
    <row r="665">
      <c r="A665" t="n">
        <v>176</v>
      </c>
      <c r="B665" t="inlineStr">
        <is>
          <t>The Cavern</t>
        </is>
      </c>
      <c r="C665" s="27" t="n">
        <v>46082</v>
      </c>
      <c r="D665" t="n">
        <v>0</v>
      </c>
      <c r="E665" t="inlineStr">
        <is>
          <t>NOTAS MANUAIS + SERVIÇO</t>
        </is>
      </c>
    </row>
    <row r="666">
      <c r="A666" t="n">
        <v>176</v>
      </c>
      <c r="B666" t="inlineStr">
        <is>
          <t>The Cavern</t>
        </is>
      </c>
      <c r="C666" s="27" t="n">
        <v>46082</v>
      </c>
      <c r="D666" t="n">
        <v>0</v>
      </c>
      <c r="E666" t="inlineStr">
        <is>
          <t>RECARGAS DEVOLVIDAS</t>
        </is>
      </c>
    </row>
    <row r="667">
      <c r="A667" t="n">
        <v>176</v>
      </c>
      <c r="B667" t="inlineStr">
        <is>
          <t>The Cavern</t>
        </is>
      </c>
      <c r="C667" s="27" t="n">
        <v>46082</v>
      </c>
      <c r="D667" t="n">
        <v>0</v>
      </c>
      <c r="E667" t="inlineStr">
        <is>
          <t>ANTECIPADO</t>
        </is>
      </c>
    </row>
    <row r="668">
      <c r="A668" t="n">
        <v>176</v>
      </c>
      <c r="B668" t="inlineStr">
        <is>
          <t>The Cavern</t>
        </is>
      </c>
      <c r="C668" s="27" t="n">
        <v>46082</v>
      </c>
      <c r="D668" t="n">
        <v>502.29</v>
      </c>
      <c r="E668" t="inlineStr">
        <is>
          <t>VOUCHER</t>
        </is>
      </c>
    </row>
    <row r="669">
      <c r="A669" t="n">
        <v>176</v>
      </c>
      <c r="B669" t="inlineStr">
        <is>
          <t>The Cavern</t>
        </is>
      </c>
      <c r="C669" s="27" t="n">
        <v>46082</v>
      </c>
      <c r="D669" t="n">
        <v>264.42</v>
      </c>
      <c r="E669" t="inlineStr">
        <is>
          <t>DÉBITO</t>
        </is>
      </c>
    </row>
    <row r="670">
      <c r="A670" t="n">
        <v>176</v>
      </c>
      <c r="B670" t="inlineStr">
        <is>
          <t>The Cavern</t>
        </is>
      </c>
      <c r="C670" s="27" t="n">
        <v>46082</v>
      </c>
      <c r="D670" t="n">
        <v>0</v>
      </c>
      <c r="E670" t="inlineStr">
        <is>
          <t>BÔNUS</t>
        </is>
      </c>
    </row>
    <row r="671">
      <c r="A671" t="n">
        <v>176</v>
      </c>
      <c r="B671" t="inlineStr">
        <is>
          <t>The Cavern</t>
        </is>
      </c>
      <c r="C671" s="27" t="n">
        <v>46082</v>
      </c>
      <c r="D671" t="n">
        <v>0</v>
      </c>
      <c r="E671" t="inlineStr">
        <is>
          <t>ANTECIPADO</t>
        </is>
      </c>
    </row>
    <row r="672">
      <c r="A672" t="n">
        <v>176</v>
      </c>
      <c r="B672" t="inlineStr">
        <is>
          <t>The Cavern</t>
        </is>
      </c>
      <c r="C672" s="27" t="n">
        <v>46082</v>
      </c>
      <c r="D672" t="n">
        <v>0</v>
      </c>
      <c r="E672" t="inlineStr">
        <is>
          <t>OUTROS</t>
        </is>
      </c>
    </row>
    <row r="673">
      <c r="A673" t="n">
        <v>176</v>
      </c>
      <c r="B673" t="inlineStr">
        <is>
          <t>The Cavern</t>
        </is>
      </c>
      <c r="C673" s="27" t="n">
        <v>46082</v>
      </c>
      <c r="D673" t="n">
        <v>0</v>
      </c>
      <c r="E673" t="inlineStr">
        <is>
          <t>AME</t>
        </is>
      </c>
    </row>
    <row r="674">
      <c r="A674" t="n">
        <v>176</v>
      </c>
      <c r="B674" t="inlineStr">
        <is>
          <t>The Cavern</t>
        </is>
      </c>
      <c r="C674" s="27" t="n">
        <v>46082</v>
      </c>
      <c r="D674" t="n">
        <v>0</v>
      </c>
      <c r="E674" t="inlineStr">
        <is>
          <t>NOTAS MANUAIS + SERVIÇO</t>
        </is>
      </c>
    </row>
    <row r="675">
      <c r="A675" t="n">
        <v>176</v>
      </c>
      <c r="B675" t="inlineStr">
        <is>
          <t>The Cavern</t>
        </is>
      </c>
      <c r="C675" s="27" t="n">
        <v>46082</v>
      </c>
      <c r="D675" t="n">
        <v>0</v>
      </c>
      <c r="E675" t="inlineStr">
        <is>
          <t>UBER</t>
        </is>
      </c>
    </row>
    <row r="676">
      <c r="A676" t="n">
        <v>176</v>
      </c>
      <c r="B676" t="inlineStr">
        <is>
          <t>The Cavern</t>
        </is>
      </c>
      <c r="C676" s="27" t="n">
        <v>46082</v>
      </c>
      <c r="D676" t="n">
        <v>0</v>
      </c>
      <c r="E676" t="inlineStr">
        <is>
          <t>APP</t>
        </is>
      </c>
    </row>
    <row r="677">
      <c r="A677" t="n">
        <v>176</v>
      </c>
      <c r="B677" t="inlineStr">
        <is>
          <t>The Cavern</t>
        </is>
      </c>
      <c r="C677" s="27" t="n">
        <v>46082</v>
      </c>
      <c r="D677" t="n">
        <v>0</v>
      </c>
      <c r="E677" t="inlineStr">
        <is>
          <t>DINHEIRO</t>
        </is>
      </c>
    </row>
    <row r="678">
      <c r="A678" t="n">
        <v>176</v>
      </c>
      <c r="B678" t="inlineStr">
        <is>
          <t>The Cavern</t>
        </is>
      </c>
      <c r="C678" s="27" t="n">
        <v>46082</v>
      </c>
      <c r="D678" t="n">
        <v>617.54</v>
      </c>
      <c r="E678" t="inlineStr">
        <is>
          <t>CRÉDITO</t>
        </is>
      </c>
    </row>
    <row r="679">
      <c r="A679" t="n">
        <v>176</v>
      </c>
      <c r="B679" t="inlineStr">
        <is>
          <t>The Cavern</t>
        </is>
      </c>
      <c r="C679" s="27" t="n">
        <v>46082</v>
      </c>
      <c r="D679" t="n">
        <v>0</v>
      </c>
      <c r="E679" t="inlineStr">
        <is>
          <t>RAPPI</t>
        </is>
      </c>
    </row>
    <row r="680">
      <c r="A680" t="n">
        <v>176</v>
      </c>
      <c r="B680" t="inlineStr">
        <is>
          <t>The Cavern</t>
        </is>
      </c>
      <c r="C680" s="27" t="n">
        <v>46082</v>
      </c>
      <c r="D680" t="n">
        <v>0</v>
      </c>
      <c r="E680" t="inlineStr">
        <is>
          <t>PIX</t>
        </is>
      </c>
    </row>
    <row r="681">
      <c r="A681" t="n">
        <v>176</v>
      </c>
      <c r="B681" t="inlineStr">
        <is>
          <t>The Cavern</t>
        </is>
      </c>
      <c r="C681" s="27" t="n">
        <v>46082</v>
      </c>
      <c r="D681" t="n">
        <v>0</v>
      </c>
      <c r="E681" t="inlineStr">
        <is>
          <t>IFOOD</t>
        </is>
      </c>
    </row>
    <row r="682">
      <c r="A682" t="n">
        <v>176</v>
      </c>
      <c r="B682" t="inlineStr">
        <is>
          <t>The Cavern</t>
        </is>
      </c>
      <c r="C682" s="27" t="n">
        <v>46082</v>
      </c>
      <c r="D682" t="n">
        <v>0</v>
      </c>
      <c r="E682" t="inlineStr">
        <is>
          <t>DELIVERY ONLINE</t>
        </is>
      </c>
    </row>
    <row r="683">
      <c r="A683" t="n">
        <v>176</v>
      </c>
      <c r="B683" t="inlineStr">
        <is>
          <t>The Cavern</t>
        </is>
      </c>
      <c r="C683" s="27" t="n">
        <v>46082</v>
      </c>
      <c r="D683" t="n">
        <v>0</v>
      </c>
      <c r="E683" t="inlineStr">
        <is>
          <t>MBWAY</t>
        </is>
      </c>
    </row>
    <row r="684">
      <c r="A684" t="n">
        <v>176</v>
      </c>
      <c r="B684" t="inlineStr">
        <is>
          <t>The Cavern</t>
        </is>
      </c>
      <c r="C684" s="27" t="n">
        <v>46082</v>
      </c>
      <c r="D684" t="n">
        <v>0</v>
      </c>
      <c r="E684" t="inlineStr">
        <is>
          <t>VOUCHER INTEGRADO</t>
        </is>
      </c>
    </row>
    <row r="685">
      <c r="A685" t="n">
        <v>176</v>
      </c>
      <c r="B685" t="inlineStr">
        <is>
          <t>The Cavern</t>
        </is>
      </c>
      <c r="C685" s="27" t="n">
        <v>46082</v>
      </c>
      <c r="D685" t="n">
        <v>0</v>
      </c>
      <c r="E685" t="inlineStr">
        <is>
          <t>RECARGAS DEVOLVIDAS</t>
        </is>
      </c>
    </row>
    <row r="686">
      <c r="A686" t="n">
        <v>176</v>
      </c>
      <c r="B686" t="inlineStr">
        <is>
          <t>The Cavern</t>
        </is>
      </c>
      <c r="C686" s="27" t="n">
        <v>46081</v>
      </c>
      <c r="D686" t="n">
        <v>2261.68</v>
      </c>
      <c r="E686" t="inlineStr">
        <is>
          <t>CRÉDITO</t>
        </is>
      </c>
    </row>
    <row r="687">
      <c r="A687" t="n">
        <v>176</v>
      </c>
      <c r="B687" t="inlineStr">
        <is>
          <t>The Cavern</t>
        </is>
      </c>
      <c r="C687" s="27" t="n">
        <v>46081</v>
      </c>
      <c r="D687" t="n">
        <v>0</v>
      </c>
      <c r="E687" t="inlineStr">
        <is>
          <t>IFOOD</t>
        </is>
      </c>
    </row>
    <row r="688">
      <c r="A688" t="n">
        <v>176</v>
      </c>
      <c r="B688" t="inlineStr">
        <is>
          <t>The Cavern</t>
        </is>
      </c>
      <c r="C688" s="27" t="n">
        <v>46081</v>
      </c>
      <c r="D688" t="n">
        <v>0</v>
      </c>
      <c r="E688" t="inlineStr">
        <is>
          <t>DELIVERY ONLINE</t>
        </is>
      </c>
    </row>
    <row r="689">
      <c r="A689" t="n">
        <v>176</v>
      </c>
      <c r="B689" t="inlineStr">
        <is>
          <t>The Cavern</t>
        </is>
      </c>
      <c r="C689" s="27" t="n">
        <v>46081</v>
      </c>
      <c r="D689" t="n">
        <v>30</v>
      </c>
      <c r="E689" t="inlineStr">
        <is>
          <t>APP</t>
        </is>
      </c>
    </row>
    <row r="690">
      <c r="A690" t="n">
        <v>176</v>
      </c>
      <c r="B690" t="inlineStr">
        <is>
          <t>The Cavern</t>
        </is>
      </c>
      <c r="C690" s="27" t="n">
        <v>46081</v>
      </c>
      <c r="D690" t="n">
        <v>200</v>
      </c>
      <c r="E690" t="inlineStr">
        <is>
          <t>DINHEIRO</t>
        </is>
      </c>
    </row>
    <row r="691">
      <c r="A691" t="n">
        <v>176</v>
      </c>
      <c r="B691" t="inlineStr">
        <is>
          <t>The Cavern</t>
        </is>
      </c>
      <c r="C691" s="27" t="n">
        <v>46081</v>
      </c>
      <c r="D691" t="n">
        <v>15509.96</v>
      </c>
      <c r="E691" t="inlineStr">
        <is>
          <t>CRÉDITO</t>
        </is>
      </c>
    </row>
    <row r="692">
      <c r="A692" t="n">
        <v>176</v>
      </c>
      <c r="B692" t="inlineStr">
        <is>
          <t>The Cavern</t>
        </is>
      </c>
      <c r="C692" s="27" t="n">
        <v>46081</v>
      </c>
      <c r="D692" t="n">
        <v>0</v>
      </c>
      <c r="E692" t="inlineStr">
        <is>
          <t>MBWAY</t>
        </is>
      </c>
    </row>
    <row r="693">
      <c r="A693" t="n">
        <v>176</v>
      </c>
      <c r="B693" t="inlineStr">
        <is>
          <t>The Cavern</t>
        </is>
      </c>
      <c r="C693" s="27" t="n">
        <v>46081</v>
      </c>
      <c r="D693" t="n">
        <v>0</v>
      </c>
      <c r="E693" t="inlineStr">
        <is>
          <t>DINHEIRO</t>
        </is>
      </c>
    </row>
    <row r="694">
      <c r="A694" t="n">
        <v>176</v>
      </c>
      <c r="B694" t="inlineStr">
        <is>
          <t>The Cavern</t>
        </is>
      </c>
      <c r="C694" s="27" t="n">
        <v>46081</v>
      </c>
      <c r="D694" t="n">
        <v>0</v>
      </c>
      <c r="E694" t="inlineStr">
        <is>
          <t>APP</t>
        </is>
      </c>
    </row>
    <row r="695">
      <c r="A695" t="n">
        <v>176</v>
      </c>
      <c r="B695" t="inlineStr">
        <is>
          <t>The Cavern</t>
        </is>
      </c>
      <c r="C695" s="27" t="n">
        <v>46081</v>
      </c>
      <c r="D695" t="n">
        <v>0</v>
      </c>
      <c r="E695" t="inlineStr">
        <is>
          <t>DELIVERY ONLINE</t>
        </is>
      </c>
    </row>
    <row r="696">
      <c r="A696" t="n">
        <v>176</v>
      </c>
      <c r="B696" t="inlineStr">
        <is>
          <t>The Cavern</t>
        </is>
      </c>
      <c r="C696" s="27" t="n">
        <v>46081</v>
      </c>
      <c r="D696" t="n">
        <v>0</v>
      </c>
      <c r="E696" t="inlineStr">
        <is>
          <t>IFOOD</t>
        </is>
      </c>
    </row>
    <row r="697">
      <c r="A697" t="n">
        <v>176</v>
      </c>
      <c r="B697" t="inlineStr">
        <is>
          <t>The Cavern</t>
        </is>
      </c>
      <c r="C697" s="27" t="n">
        <v>46081</v>
      </c>
      <c r="D697" t="n">
        <v>99.44</v>
      </c>
      <c r="E697" t="inlineStr">
        <is>
          <t>PIX</t>
        </is>
      </c>
    </row>
    <row r="698">
      <c r="A698" t="n">
        <v>176</v>
      </c>
      <c r="B698" t="inlineStr">
        <is>
          <t>The Cavern</t>
        </is>
      </c>
      <c r="C698" s="27" t="n">
        <v>46081</v>
      </c>
      <c r="D698" t="n">
        <v>0</v>
      </c>
      <c r="E698" t="inlineStr">
        <is>
          <t>RAPPI</t>
        </is>
      </c>
    </row>
    <row r="699">
      <c r="A699" t="n">
        <v>176</v>
      </c>
      <c r="B699" t="inlineStr">
        <is>
          <t>The Cavern</t>
        </is>
      </c>
      <c r="C699" s="27" t="n">
        <v>46081</v>
      </c>
      <c r="D699" t="n">
        <v>0</v>
      </c>
      <c r="E699" t="inlineStr">
        <is>
          <t>UBER</t>
        </is>
      </c>
    </row>
    <row r="700">
      <c r="A700" t="n">
        <v>176</v>
      </c>
      <c r="B700" t="inlineStr">
        <is>
          <t>The Cavern</t>
        </is>
      </c>
      <c r="C700" s="27" t="n">
        <v>46081</v>
      </c>
      <c r="D700" t="n">
        <v>1566.18</v>
      </c>
      <c r="E700" t="inlineStr">
        <is>
          <t>PIX</t>
        </is>
      </c>
    </row>
    <row r="701">
      <c r="A701" t="n">
        <v>176</v>
      </c>
      <c r="B701" t="inlineStr">
        <is>
          <t>The Cavern</t>
        </is>
      </c>
      <c r="C701" s="27" t="n">
        <v>46081</v>
      </c>
      <c r="D701" t="n">
        <v>0</v>
      </c>
      <c r="E701" t="inlineStr">
        <is>
          <t>RAPPI</t>
        </is>
      </c>
    </row>
    <row r="702">
      <c r="A702" t="n">
        <v>176</v>
      </c>
      <c r="B702" t="inlineStr">
        <is>
          <t>The Cavern</t>
        </is>
      </c>
      <c r="C702" s="27" t="n">
        <v>46081</v>
      </c>
      <c r="D702" t="n">
        <v>0</v>
      </c>
      <c r="E702" t="inlineStr">
        <is>
          <t>RECARGAS DEVOLVIDAS</t>
        </is>
      </c>
    </row>
    <row r="703">
      <c r="A703" t="n">
        <v>176</v>
      </c>
      <c r="B703" t="inlineStr">
        <is>
          <t>The Cavern</t>
        </is>
      </c>
      <c r="C703" s="27" t="n">
        <v>46081</v>
      </c>
      <c r="D703" t="n">
        <v>0</v>
      </c>
      <c r="E703" t="inlineStr">
        <is>
          <t>UBER</t>
        </is>
      </c>
    </row>
    <row r="704">
      <c r="A704" t="n">
        <v>176</v>
      </c>
      <c r="B704" t="inlineStr">
        <is>
          <t>The Cavern</t>
        </is>
      </c>
      <c r="C704" s="27" t="n">
        <v>46081</v>
      </c>
      <c r="D704" t="n">
        <v>0</v>
      </c>
      <c r="E704" t="inlineStr">
        <is>
          <t>ANTECIPADO</t>
        </is>
      </c>
    </row>
    <row r="705">
      <c r="A705" t="n">
        <v>176</v>
      </c>
      <c r="B705" t="inlineStr">
        <is>
          <t>The Cavern</t>
        </is>
      </c>
      <c r="C705" s="27" t="n">
        <v>46081</v>
      </c>
      <c r="D705" t="n">
        <v>0</v>
      </c>
      <c r="E705" t="inlineStr">
        <is>
          <t>VOUCHER INTEGRADO</t>
        </is>
      </c>
    </row>
    <row r="706">
      <c r="A706" t="n">
        <v>176</v>
      </c>
      <c r="B706" t="inlineStr">
        <is>
          <t>The Cavern</t>
        </is>
      </c>
      <c r="C706" s="27" t="n">
        <v>46081</v>
      </c>
      <c r="D706" t="n">
        <v>0</v>
      </c>
      <c r="E706" t="inlineStr">
        <is>
          <t>RECARGAS DEVOLVIDAS</t>
        </is>
      </c>
    </row>
    <row r="707">
      <c r="A707" t="n">
        <v>176</v>
      </c>
      <c r="B707" t="inlineStr">
        <is>
          <t>The Cavern</t>
        </is>
      </c>
      <c r="C707" s="27" t="n">
        <v>46081</v>
      </c>
      <c r="D707" t="n">
        <v>0</v>
      </c>
      <c r="E707" t="inlineStr">
        <is>
          <t>NOTAS MANUAIS + SERVIÇO</t>
        </is>
      </c>
    </row>
    <row r="708">
      <c r="A708" t="n">
        <v>176</v>
      </c>
      <c r="B708" t="inlineStr">
        <is>
          <t>The Cavern</t>
        </is>
      </c>
      <c r="C708" s="27" t="n">
        <v>46081</v>
      </c>
      <c r="D708" t="n">
        <v>0</v>
      </c>
      <c r="E708" t="inlineStr">
        <is>
          <t>AME</t>
        </is>
      </c>
    </row>
    <row r="709">
      <c r="A709" t="n">
        <v>176</v>
      </c>
      <c r="B709" t="inlineStr">
        <is>
          <t>The Cavern</t>
        </is>
      </c>
      <c r="C709" s="27" t="n">
        <v>46081</v>
      </c>
      <c r="D709" t="n">
        <v>0</v>
      </c>
      <c r="E709" t="inlineStr">
        <is>
          <t>OUTROS</t>
        </is>
      </c>
    </row>
    <row r="710">
      <c r="A710" t="n">
        <v>176</v>
      </c>
      <c r="B710" t="inlineStr">
        <is>
          <t>The Cavern</t>
        </is>
      </c>
      <c r="C710" s="27" t="n">
        <v>46081</v>
      </c>
      <c r="D710" t="n">
        <v>0</v>
      </c>
      <c r="E710" t="inlineStr">
        <is>
          <t>VOUCHER</t>
        </is>
      </c>
    </row>
    <row r="711">
      <c r="A711" t="n">
        <v>176</v>
      </c>
      <c r="B711" t="inlineStr">
        <is>
          <t>The Cavern</t>
        </is>
      </c>
      <c r="C711" s="27" t="n">
        <v>46081</v>
      </c>
      <c r="D711" t="n">
        <v>7048.94</v>
      </c>
      <c r="E711" t="inlineStr">
        <is>
          <t>DÉBITO</t>
        </is>
      </c>
    </row>
    <row r="712">
      <c r="A712" t="n">
        <v>176</v>
      </c>
      <c r="B712" t="inlineStr">
        <is>
          <t>The Cavern</t>
        </is>
      </c>
      <c r="C712" s="27" t="n">
        <v>46081</v>
      </c>
      <c r="D712" t="n">
        <v>0</v>
      </c>
      <c r="E712" t="inlineStr">
        <is>
          <t>BÔNUS</t>
        </is>
      </c>
    </row>
    <row r="713">
      <c r="A713" t="n">
        <v>176</v>
      </c>
      <c r="B713" t="inlineStr">
        <is>
          <t>The Cavern</t>
        </is>
      </c>
      <c r="C713" s="27" t="n">
        <v>46081</v>
      </c>
      <c r="D713" t="n">
        <v>0</v>
      </c>
      <c r="E713" t="inlineStr">
        <is>
          <t>ANTECIPADO</t>
        </is>
      </c>
    </row>
    <row r="714">
      <c r="A714" t="n">
        <v>176</v>
      </c>
      <c r="B714" t="inlineStr">
        <is>
          <t>The Cavern</t>
        </is>
      </c>
      <c r="C714" s="27" t="n">
        <v>46081</v>
      </c>
      <c r="D714" t="n">
        <v>0</v>
      </c>
      <c r="E714" t="inlineStr">
        <is>
          <t>NOTAS MANUAIS + SERVIÇO</t>
        </is>
      </c>
    </row>
    <row r="715">
      <c r="A715" t="n">
        <v>176</v>
      </c>
      <c r="B715" t="inlineStr">
        <is>
          <t>The Cavern</t>
        </is>
      </c>
      <c r="C715" s="27" t="n">
        <v>46081</v>
      </c>
      <c r="D715" t="n">
        <v>115.26</v>
      </c>
      <c r="E715" t="inlineStr">
        <is>
          <t>VOUCHER</t>
        </is>
      </c>
    </row>
    <row r="716">
      <c r="A716" t="n">
        <v>176</v>
      </c>
      <c r="B716" t="inlineStr">
        <is>
          <t>The Cavern</t>
        </is>
      </c>
      <c r="C716" s="27" t="n">
        <v>46081</v>
      </c>
      <c r="D716" t="n">
        <v>751.45</v>
      </c>
      <c r="E716" t="inlineStr">
        <is>
          <t>DÉBITO</t>
        </is>
      </c>
    </row>
    <row r="717">
      <c r="A717" t="n">
        <v>176</v>
      </c>
      <c r="B717" t="inlineStr">
        <is>
          <t>The Cavern</t>
        </is>
      </c>
      <c r="C717" s="27" t="n">
        <v>46081</v>
      </c>
      <c r="D717" t="n">
        <v>0</v>
      </c>
      <c r="E717" t="inlineStr">
        <is>
          <t>BÔNUS</t>
        </is>
      </c>
    </row>
    <row r="718">
      <c r="A718" t="n">
        <v>176</v>
      </c>
      <c r="B718" t="inlineStr">
        <is>
          <t>The Cavern</t>
        </is>
      </c>
      <c r="C718" s="27" t="n">
        <v>46081</v>
      </c>
      <c r="D718" t="n">
        <v>0</v>
      </c>
      <c r="E718" t="inlineStr">
        <is>
          <t>ANTECIPADO</t>
        </is>
      </c>
    </row>
    <row r="719">
      <c r="A719" t="n">
        <v>176</v>
      </c>
      <c r="B719" t="inlineStr">
        <is>
          <t>The Cavern</t>
        </is>
      </c>
      <c r="C719" s="27" t="n">
        <v>46081</v>
      </c>
      <c r="D719" t="n">
        <v>0</v>
      </c>
      <c r="E719" t="inlineStr">
        <is>
          <t>OUTROS</t>
        </is>
      </c>
    </row>
    <row r="720">
      <c r="A720" t="n">
        <v>176</v>
      </c>
      <c r="B720" t="inlineStr">
        <is>
          <t>The Cavern</t>
        </is>
      </c>
      <c r="C720" s="27" t="n">
        <v>46081</v>
      </c>
      <c r="D720" t="n">
        <v>0</v>
      </c>
      <c r="E720" t="inlineStr">
        <is>
          <t>AME</t>
        </is>
      </c>
    </row>
    <row r="721">
      <c r="A721" t="n">
        <v>176</v>
      </c>
      <c r="B721" t="inlineStr">
        <is>
          <t>The Cavern</t>
        </is>
      </c>
      <c r="C721" s="27" t="n">
        <v>46081</v>
      </c>
      <c r="D721" t="n">
        <v>0</v>
      </c>
      <c r="E721" t="inlineStr">
        <is>
          <t>ANTECIPADO</t>
        </is>
      </c>
    </row>
    <row r="722">
      <c r="A722" t="n">
        <v>176</v>
      </c>
      <c r="B722" t="inlineStr">
        <is>
          <t>The Cavern</t>
        </is>
      </c>
      <c r="C722" s="27" t="n">
        <v>46081</v>
      </c>
      <c r="D722" t="n">
        <v>0</v>
      </c>
      <c r="E722" t="inlineStr">
        <is>
          <t>MBWAY</t>
        </is>
      </c>
    </row>
    <row r="723">
      <c r="A723" t="n">
        <v>176</v>
      </c>
      <c r="B723" t="inlineStr">
        <is>
          <t>The Cavern</t>
        </is>
      </c>
      <c r="C723" s="27" t="n">
        <v>46081</v>
      </c>
      <c r="D723" t="n">
        <v>0</v>
      </c>
      <c r="E723" t="inlineStr">
        <is>
          <t>VOUCHER INTEGRADO</t>
        </is>
      </c>
    </row>
    <row r="724">
      <c r="A724" t="n">
        <v>176</v>
      </c>
      <c r="B724" t="inlineStr">
        <is>
          <t>The Cavern</t>
        </is>
      </c>
      <c r="C724" s="27" t="n">
        <v>46080</v>
      </c>
      <c r="D724" t="n">
        <v>0</v>
      </c>
      <c r="E724" t="inlineStr">
        <is>
          <t>NOTAS MANUAIS + SERVIÇO</t>
        </is>
      </c>
    </row>
    <row r="725">
      <c r="A725" t="n">
        <v>176</v>
      </c>
      <c r="B725" t="inlineStr">
        <is>
          <t>The Cavern</t>
        </is>
      </c>
      <c r="C725" s="27" t="n">
        <v>46080</v>
      </c>
      <c r="D725" t="n">
        <v>0</v>
      </c>
      <c r="E725" t="inlineStr">
        <is>
          <t>AME</t>
        </is>
      </c>
    </row>
    <row r="726">
      <c r="A726" t="n">
        <v>176</v>
      </c>
      <c r="B726" t="inlineStr">
        <is>
          <t>The Cavern</t>
        </is>
      </c>
      <c r="C726" s="27" t="n">
        <v>46080</v>
      </c>
      <c r="D726" t="n">
        <v>0</v>
      </c>
      <c r="E726" t="inlineStr">
        <is>
          <t>RECARGAS DEVOLVIDAS</t>
        </is>
      </c>
    </row>
    <row r="727">
      <c r="A727" t="n">
        <v>176</v>
      </c>
      <c r="B727" t="inlineStr">
        <is>
          <t>The Cavern</t>
        </is>
      </c>
      <c r="C727" s="27" t="n">
        <v>46080</v>
      </c>
      <c r="D727" t="n">
        <v>0</v>
      </c>
      <c r="E727" t="inlineStr">
        <is>
          <t>DINHEIRO</t>
        </is>
      </c>
    </row>
    <row r="728">
      <c r="A728" t="n">
        <v>176</v>
      </c>
      <c r="B728" t="inlineStr">
        <is>
          <t>The Cavern</t>
        </is>
      </c>
      <c r="C728" s="27" t="n">
        <v>46080</v>
      </c>
      <c r="D728" t="n">
        <v>3339.15</v>
      </c>
      <c r="E728" t="inlineStr">
        <is>
          <t>CRÉDITO</t>
        </is>
      </c>
    </row>
    <row r="729">
      <c r="A729" t="n">
        <v>176</v>
      </c>
      <c r="B729" t="inlineStr">
        <is>
          <t>The Cavern</t>
        </is>
      </c>
      <c r="C729" s="27" t="n">
        <v>46080</v>
      </c>
      <c r="D729" t="n">
        <v>0</v>
      </c>
      <c r="E729" t="inlineStr">
        <is>
          <t>BÔNUS</t>
        </is>
      </c>
    </row>
    <row r="730">
      <c r="A730" t="n">
        <v>176</v>
      </c>
      <c r="B730" t="inlineStr">
        <is>
          <t>The Cavern</t>
        </is>
      </c>
      <c r="C730" s="27" t="n">
        <v>46080</v>
      </c>
      <c r="D730" t="n">
        <v>0</v>
      </c>
      <c r="E730" t="inlineStr">
        <is>
          <t>RECARGAS DEVOLVIDAS</t>
        </is>
      </c>
    </row>
    <row r="731">
      <c r="A731" t="n">
        <v>176</v>
      </c>
      <c r="B731" t="inlineStr">
        <is>
          <t>The Cavern</t>
        </is>
      </c>
      <c r="C731" s="27" t="n">
        <v>46080</v>
      </c>
      <c r="D731" t="n">
        <v>0</v>
      </c>
      <c r="E731" t="inlineStr">
        <is>
          <t>NOTAS MANUAIS + SERVIÇO</t>
        </is>
      </c>
    </row>
    <row r="732">
      <c r="A732" t="n">
        <v>176</v>
      </c>
      <c r="B732" t="inlineStr">
        <is>
          <t>The Cavern</t>
        </is>
      </c>
      <c r="C732" s="27" t="n">
        <v>46080</v>
      </c>
      <c r="D732" t="n">
        <v>534.49</v>
      </c>
      <c r="E732" t="inlineStr">
        <is>
          <t>DÉBITO</t>
        </is>
      </c>
    </row>
    <row r="733">
      <c r="A733" t="n">
        <v>176</v>
      </c>
      <c r="B733" t="inlineStr">
        <is>
          <t>The Cavern</t>
        </is>
      </c>
      <c r="C733" s="27" t="n">
        <v>46080</v>
      </c>
      <c r="D733" t="n">
        <v>0</v>
      </c>
      <c r="E733" t="inlineStr">
        <is>
          <t>AME</t>
        </is>
      </c>
    </row>
    <row r="734">
      <c r="A734" t="n">
        <v>176</v>
      </c>
      <c r="B734" t="inlineStr">
        <is>
          <t>The Cavern</t>
        </is>
      </c>
      <c r="C734" s="27" t="n">
        <v>46080</v>
      </c>
      <c r="D734" t="n">
        <v>0</v>
      </c>
      <c r="E734" t="inlineStr">
        <is>
          <t>OUTROS</t>
        </is>
      </c>
    </row>
    <row r="735">
      <c r="A735" t="n">
        <v>176</v>
      </c>
      <c r="B735" t="inlineStr">
        <is>
          <t>The Cavern</t>
        </is>
      </c>
      <c r="C735" s="27" t="n">
        <v>46080</v>
      </c>
      <c r="D735" t="n">
        <v>0</v>
      </c>
      <c r="E735" t="inlineStr">
        <is>
          <t>ANTECIPADO</t>
        </is>
      </c>
    </row>
    <row r="736">
      <c r="A736" t="n">
        <v>176</v>
      </c>
      <c r="B736" t="inlineStr">
        <is>
          <t>The Cavern</t>
        </is>
      </c>
      <c r="C736" s="27" t="n">
        <v>46080</v>
      </c>
      <c r="D736" t="n">
        <v>0</v>
      </c>
      <c r="E736" t="inlineStr">
        <is>
          <t>APP</t>
        </is>
      </c>
    </row>
    <row r="737">
      <c r="A737" t="n">
        <v>176</v>
      </c>
      <c r="B737" t="inlineStr">
        <is>
          <t>The Cavern</t>
        </is>
      </c>
      <c r="C737" s="27" t="n">
        <v>46080</v>
      </c>
      <c r="D737" t="n">
        <v>0</v>
      </c>
      <c r="E737" t="inlineStr">
        <is>
          <t>DELIVERY ONLINE</t>
        </is>
      </c>
    </row>
    <row r="738">
      <c r="A738" t="n">
        <v>176</v>
      </c>
      <c r="B738" t="inlineStr">
        <is>
          <t>The Cavern</t>
        </is>
      </c>
      <c r="C738" s="27" t="n">
        <v>46080</v>
      </c>
      <c r="D738" t="n">
        <v>0</v>
      </c>
      <c r="E738" t="inlineStr">
        <is>
          <t>IFOOD</t>
        </is>
      </c>
    </row>
    <row r="739">
      <c r="A739" t="n">
        <v>176</v>
      </c>
      <c r="B739" t="inlineStr">
        <is>
          <t>The Cavern</t>
        </is>
      </c>
      <c r="C739" s="27" t="n">
        <v>46080</v>
      </c>
      <c r="D739" t="n">
        <v>0</v>
      </c>
      <c r="E739" t="inlineStr">
        <is>
          <t>PIX</t>
        </is>
      </c>
    </row>
    <row r="740">
      <c r="A740" t="n">
        <v>176</v>
      </c>
      <c r="B740" t="inlineStr">
        <is>
          <t>The Cavern</t>
        </is>
      </c>
      <c r="C740" s="27" t="n">
        <v>46080</v>
      </c>
      <c r="D740" t="n">
        <v>0</v>
      </c>
      <c r="E740" t="inlineStr">
        <is>
          <t>RAPPI</t>
        </is>
      </c>
    </row>
    <row r="741">
      <c r="A741" t="n">
        <v>176</v>
      </c>
      <c r="B741" t="inlineStr">
        <is>
          <t>The Cavern</t>
        </is>
      </c>
      <c r="C741" s="27" t="n">
        <v>46080</v>
      </c>
      <c r="D741" t="n">
        <v>0</v>
      </c>
      <c r="E741" t="inlineStr">
        <is>
          <t>UBER</t>
        </is>
      </c>
    </row>
    <row r="742">
      <c r="A742" t="n">
        <v>176</v>
      </c>
      <c r="B742" t="inlineStr">
        <is>
          <t>The Cavern</t>
        </is>
      </c>
      <c r="C742" s="27" t="n">
        <v>46080</v>
      </c>
      <c r="D742" t="n">
        <v>0</v>
      </c>
      <c r="E742" t="inlineStr">
        <is>
          <t>ANTECIPADO</t>
        </is>
      </c>
    </row>
    <row r="743">
      <c r="A743" t="n">
        <v>176</v>
      </c>
      <c r="B743" t="inlineStr">
        <is>
          <t>The Cavern</t>
        </is>
      </c>
      <c r="C743" s="27" t="n">
        <v>46080</v>
      </c>
      <c r="D743" t="n">
        <v>0</v>
      </c>
      <c r="E743" t="inlineStr">
        <is>
          <t>VOUCHER</t>
        </is>
      </c>
    </row>
    <row r="744">
      <c r="A744" t="n">
        <v>176</v>
      </c>
      <c r="B744" t="inlineStr">
        <is>
          <t>The Cavern</t>
        </is>
      </c>
      <c r="C744" s="27" t="n">
        <v>46080</v>
      </c>
      <c r="D744" t="n">
        <v>0</v>
      </c>
      <c r="E744" t="inlineStr">
        <is>
          <t>ANTECIPADO</t>
        </is>
      </c>
    </row>
    <row r="745">
      <c r="A745" t="n">
        <v>176</v>
      </c>
      <c r="B745" t="inlineStr">
        <is>
          <t>The Cavern</t>
        </is>
      </c>
      <c r="C745" s="27" t="n">
        <v>46080</v>
      </c>
      <c r="D745" t="n">
        <v>0</v>
      </c>
      <c r="E745" t="inlineStr">
        <is>
          <t>VOUCHER INTEGRADO</t>
        </is>
      </c>
    </row>
    <row r="746">
      <c r="A746" t="n">
        <v>176</v>
      </c>
      <c r="B746" t="inlineStr">
        <is>
          <t>The Cavern</t>
        </is>
      </c>
      <c r="C746" s="27" t="n">
        <v>46080</v>
      </c>
      <c r="D746" t="n">
        <v>0</v>
      </c>
      <c r="E746" t="inlineStr">
        <is>
          <t>MBWAY</t>
        </is>
      </c>
    </row>
    <row r="747">
      <c r="A747" t="n">
        <v>176</v>
      </c>
      <c r="B747" t="inlineStr">
        <is>
          <t>The Cavern</t>
        </is>
      </c>
      <c r="C747" s="27" t="n">
        <v>46080</v>
      </c>
      <c r="D747" t="n">
        <v>4837.36</v>
      </c>
      <c r="E747" t="inlineStr">
        <is>
          <t>CRÉDITO</t>
        </is>
      </c>
    </row>
    <row r="748">
      <c r="A748" t="n">
        <v>176</v>
      </c>
      <c r="B748" t="inlineStr">
        <is>
          <t>The Cavern</t>
        </is>
      </c>
      <c r="C748" s="27" t="n">
        <v>46080</v>
      </c>
      <c r="D748" t="n">
        <v>272.1</v>
      </c>
      <c r="E748" t="inlineStr">
        <is>
          <t>DINHEIRO</t>
        </is>
      </c>
    </row>
    <row r="749">
      <c r="A749" t="n">
        <v>176</v>
      </c>
      <c r="B749" t="inlineStr">
        <is>
          <t>The Cavern</t>
        </is>
      </c>
      <c r="C749" s="27" t="n">
        <v>46080</v>
      </c>
      <c r="D749" t="n">
        <v>0</v>
      </c>
      <c r="E749" t="inlineStr">
        <is>
          <t>APP</t>
        </is>
      </c>
    </row>
    <row r="750">
      <c r="A750" t="n">
        <v>176</v>
      </c>
      <c r="B750" t="inlineStr">
        <is>
          <t>The Cavern</t>
        </is>
      </c>
      <c r="C750" s="27" t="n">
        <v>46080</v>
      </c>
      <c r="D750" t="n">
        <v>0</v>
      </c>
      <c r="E750" t="inlineStr">
        <is>
          <t>DELIVERY ONLINE</t>
        </is>
      </c>
    </row>
    <row r="751">
      <c r="A751" t="n">
        <v>176</v>
      </c>
      <c r="B751" t="inlineStr">
        <is>
          <t>The Cavern</t>
        </is>
      </c>
      <c r="C751" s="27" t="n">
        <v>46080</v>
      </c>
      <c r="D751" t="n">
        <v>0</v>
      </c>
      <c r="E751" t="inlineStr">
        <is>
          <t>IFOOD</t>
        </is>
      </c>
    </row>
    <row r="752">
      <c r="A752" t="n">
        <v>176</v>
      </c>
      <c r="B752" t="inlineStr">
        <is>
          <t>The Cavern</t>
        </is>
      </c>
      <c r="C752" s="27" t="n">
        <v>46080</v>
      </c>
      <c r="D752" t="n">
        <v>0</v>
      </c>
      <c r="E752" t="inlineStr">
        <is>
          <t>VOUCHER INTEGRADO</t>
        </is>
      </c>
    </row>
    <row r="753">
      <c r="A753" t="n">
        <v>176</v>
      </c>
      <c r="B753" t="inlineStr">
        <is>
          <t>The Cavern</t>
        </is>
      </c>
      <c r="C753" s="27" t="n">
        <v>46080</v>
      </c>
      <c r="D753" t="n">
        <v>0</v>
      </c>
      <c r="E753" t="inlineStr">
        <is>
          <t>MBWAY</t>
        </is>
      </c>
    </row>
    <row r="754">
      <c r="A754" t="n">
        <v>176</v>
      </c>
      <c r="B754" t="inlineStr">
        <is>
          <t>The Cavern</t>
        </is>
      </c>
      <c r="C754" s="27" t="n">
        <v>46080</v>
      </c>
      <c r="D754" t="n">
        <v>0</v>
      </c>
      <c r="E754" t="inlineStr">
        <is>
          <t>PIX</t>
        </is>
      </c>
    </row>
    <row r="755">
      <c r="A755" t="n">
        <v>176</v>
      </c>
      <c r="B755" t="inlineStr">
        <is>
          <t>The Cavern</t>
        </is>
      </c>
      <c r="C755" s="27" t="n">
        <v>46080</v>
      </c>
      <c r="D755" t="n">
        <v>0</v>
      </c>
      <c r="E755" t="inlineStr">
        <is>
          <t>RAPPI</t>
        </is>
      </c>
    </row>
    <row r="756">
      <c r="A756" t="n">
        <v>176</v>
      </c>
      <c r="B756" t="inlineStr">
        <is>
          <t>The Cavern</t>
        </is>
      </c>
      <c r="C756" s="27" t="n">
        <v>46080</v>
      </c>
      <c r="D756" t="n">
        <v>0</v>
      </c>
      <c r="E756" t="inlineStr">
        <is>
          <t>UBER</t>
        </is>
      </c>
    </row>
    <row r="757">
      <c r="A757" t="n">
        <v>176</v>
      </c>
      <c r="B757" t="inlineStr">
        <is>
          <t>The Cavern</t>
        </is>
      </c>
      <c r="C757" s="27" t="n">
        <v>46080</v>
      </c>
      <c r="D757" t="n">
        <v>0</v>
      </c>
      <c r="E757" t="inlineStr">
        <is>
          <t>ANTECIPADO</t>
        </is>
      </c>
    </row>
    <row r="758">
      <c r="A758" t="n">
        <v>176</v>
      </c>
      <c r="B758" t="inlineStr">
        <is>
          <t>The Cavern</t>
        </is>
      </c>
      <c r="C758" s="27" t="n">
        <v>46080</v>
      </c>
      <c r="D758" t="n">
        <v>921.5599999999999</v>
      </c>
      <c r="E758" t="inlineStr">
        <is>
          <t>VOUCHER</t>
        </is>
      </c>
    </row>
    <row r="759">
      <c r="A759" t="n">
        <v>176</v>
      </c>
      <c r="B759" t="inlineStr">
        <is>
          <t>The Cavern</t>
        </is>
      </c>
      <c r="C759" s="27" t="n">
        <v>46080</v>
      </c>
      <c r="D759" t="n">
        <v>995.47</v>
      </c>
      <c r="E759" t="inlineStr">
        <is>
          <t>DÉBITO</t>
        </is>
      </c>
    </row>
    <row r="760">
      <c r="A760" t="n">
        <v>176</v>
      </c>
      <c r="B760" t="inlineStr">
        <is>
          <t>The Cavern</t>
        </is>
      </c>
      <c r="C760" s="27" t="n">
        <v>46080</v>
      </c>
      <c r="D760" t="n">
        <v>0</v>
      </c>
      <c r="E760" t="inlineStr">
        <is>
          <t>BÔNUS</t>
        </is>
      </c>
    </row>
    <row r="761">
      <c r="A761" t="n">
        <v>176</v>
      </c>
      <c r="B761" t="inlineStr">
        <is>
          <t>The Cavern</t>
        </is>
      </c>
      <c r="C761" s="27" t="n">
        <v>46080</v>
      </c>
      <c r="D761" t="n">
        <v>0</v>
      </c>
      <c r="E761" t="inlineStr">
        <is>
          <t>OUTROS</t>
        </is>
      </c>
    </row>
    <row r="762">
      <c r="A762" t="n">
        <v>176</v>
      </c>
      <c r="B762" t="inlineStr">
        <is>
          <t>The Cavern</t>
        </is>
      </c>
      <c r="C762" s="27" t="n">
        <v>46079</v>
      </c>
      <c r="D762" t="n">
        <v>0</v>
      </c>
      <c r="E762" t="inlineStr">
        <is>
          <t>AME</t>
        </is>
      </c>
    </row>
    <row r="763">
      <c r="A763" t="n">
        <v>176</v>
      </c>
      <c r="B763" t="inlineStr">
        <is>
          <t>The Cavern</t>
        </is>
      </c>
      <c r="C763" s="27" t="n">
        <v>46079</v>
      </c>
      <c r="D763" t="n">
        <v>0</v>
      </c>
      <c r="E763" t="inlineStr">
        <is>
          <t>OUTROS</t>
        </is>
      </c>
    </row>
    <row r="764">
      <c r="A764" t="n">
        <v>176</v>
      </c>
      <c r="B764" t="inlineStr">
        <is>
          <t>The Cavern</t>
        </is>
      </c>
      <c r="C764" s="27" t="n">
        <v>46079</v>
      </c>
      <c r="D764" t="n">
        <v>0</v>
      </c>
      <c r="E764" t="inlineStr">
        <is>
          <t>NOTAS MANUAIS + SERVIÇO</t>
        </is>
      </c>
    </row>
    <row r="765">
      <c r="A765" t="n">
        <v>176</v>
      </c>
      <c r="B765" t="inlineStr">
        <is>
          <t>The Cavern</t>
        </is>
      </c>
      <c r="C765" s="27" t="n">
        <v>46079</v>
      </c>
      <c r="D765" t="n">
        <v>0</v>
      </c>
      <c r="E765" t="inlineStr">
        <is>
          <t>RECARGAS DEVOLVIDAS</t>
        </is>
      </c>
    </row>
    <row r="766">
      <c r="A766" t="n">
        <v>176</v>
      </c>
      <c r="B766" t="inlineStr">
        <is>
          <t>The Cavern</t>
        </is>
      </c>
      <c r="C766" s="27" t="n">
        <v>46079</v>
      </c>
      <c r="D766" t="n">
        <v>0</v>
      </c>
      <c r="E766" t="inlineStr">
        <is>
          <t>ANTECIPADO</t>
        </is>
      </c>
    </row>
    <row r="767">
      <c r="A767" t="n">
        <v>176</v>
      </c>
      <c r="B767" t="inlineStr">
        <is>
          <t>The Cavern</t>
        </is>
      </c>
      <c r="C767" s="27" t="n">
        <v>46079</v>
      </c>
      <c r="D767" t="n">
        <v>0</v>
      </c>
      <c r="E767" t="inlineStr">
        <is>
          <t>VOUCHER INTEGRADO</t>
        </is>
      </c>
    </row>
    <row r="768">
      <c r="A768" t="n">
        <v>176</v>
      </c>
      <c r="B768" t="inlineStr">
        <is>
          <t>The Cavern</t>
        </is>
      </c>
      <c r="C768" s="27" t="n">
        <v>46079</v>
      </c>
      <c r="D768" t="n">
        <v>0</v>
      </c>
      <c r="E768" t="inlineStr">
        <is>
          <t>MBWAY</t>
        </is>
      </c>
    </row>
    <row r="769">
      <c r="A769" t="n">
        <v>176</v>
      </c>
      <c r="B769" t="inlineStr">
        <is>
          <t>The Cavern</t>
        </is>
      </c>
      <c r="C769" s="27" t="n">
        <v>46079</v>
      </c>
      <c r="D769" t="n">
        <v>0</v>
      </c>
      <c r="E769" t="inlineStr">
        <is>
          <t>BÔNUS</t>
        </is>
      </c>
    </row>
    <row r="770">
      <c r="A770" t="n">
        <v>176</v>
      </c>
      <c r="B770" t="inlineStr">
        <is>
          <t>The Cavern</t>
        </is>
      </c>
      <c r="C770" s="27" t="n">
        <v>46079</v>
      </c>
      <c r="D770" t="n">
        <v>1358.28</v>
      </c>
      <c r="E770" t="inlineStr">
        <is>
          <t>DÉBITO</t>
        </is>
      </c>
    </row>
    <row r="771">
      <c r="A771" t="n">
        <v>176</v>
      </c>
      <c r="B771" t="inlineStr">
        <is>
          <t>The Cavern</t>
        </is>
      </c>
      <c r="C771" s="27" t="n">
        <v>46079</v>
      </c>
      <c r="D771" t="n">
        <v>904.05</v>
      </c>
      <c r="E771" t="inlineStr">
        <is>
          <t>VOUCHER</t>
        </is>
      </c>
    </row>
    <row r="772">
      <c r="A772" t="n">
        <v>176</v>
      </c>
      <c r="B772" t="inlineStr">
        <is>
          <t>The Cavern</t>
        </is>
      </c>
      <c r="C772" s="27" t="n">
        <v>46079</v>
      </c>
      <c r="D772" t="n">
        <v>0</v>
      </c>
      <c r="E772" t="inlineStr">
        <is>
          <t>ANTECIPADO</t>
        </is>
      </c>
    </row>
    <row r="773">
      <c r="A773" t="n">
        <v>176</v>
      </c>
      <c r="B773" t="inlineStr">
        <is>
          <t>The Cavern</t>
        </is>
      </c>
      <c r="C773" s="27" t="n">
        <v>46079</v>
      </c>
      <c r="D773" t="n">
        <v>0</v>
      </c>
      <c r="E773" t="inlineStr">
        <is>
          <t>UBER</t>
        </is>
      </c>
    </row>
    <row r="774">
      <c r="A774" t="n">
        <v>176</v>
      </c>
      <c r="B774" t="inlineStr">
        <is>
          <t>The Cavern</t>
        </is>
      </c>
      <c r="C774" s="27" t="n">
        <v>46079</v>
      </c>
      <c r="D774" t="n">
        <v>0</v>
      </c>
      <c r="E774" t="inlineStr">
        <is>
          <t>RAPPI</t>
        </is>
      </c>
    </row>
    <row r="775">
      <c r="A775" t="n">
        <v>176</v>
      </c>
      <c r="B775" t="inlineStr">
        <is>
          <t>The Cavern</t>
        </is>
      </c>
      <c r="C775" s="27" t="n">
        <v>46079</v>
      </c>
      <c r="D775" t="n">
        <v>0</v>
      </c>
      <c r="E775" t="inlineStr">
        <is>
          <t>PIX</t>
        </is>
      </c>
    </row>
    <row r="776">
      <c r="A776" t="n">
        <v>176</v>
      </c>
      <c r="B776" t="inlineStr">
        <is>
          <t>The Cavern</t>
        </is>
      </c>
      <c r="C776" s="27" t="n">
        <v>46079</v>
      </c>
      <c r="D776" t="n">
        <v>0</v>
      </c>
      <c r="E776" t="inlineStr">
        <is>
          <t>IFOOD</t>
        </is>
      </c>
    </row>
    <row r="777">
      <c r="A777" t="n">
        <v>176</v>
      </c>
      <c r="B777" t="inlineStr">
        <is>
          <t>The Cavern</t>
        </is>
      </c>
      <c r="C777" s="27" t="n">
        <v>46079</v>
      </c>
      <c r="D777" t="n">
        <v>0</v>
      </c>
      <c r="E777" t="inlineStr">
        <is>
          <t>DELIVERY ONLINE</t>
        </is>
      </c>
    </row>
    <row r="778">
      <c r="A778" t="n">
        <v>176</v>
      </c>
      <c r="B778" t="inlineStr">
        <is>
          <t>The Cavern</t>
        </is>
      </c>
      <c r="C778" s="27" t="n">
        <v>46079</v>
      </c>
      <c r="D778" t="n">
        <v>0</v>
      </c>
      <c r="E778" t="inlineStr">
        <is>
          <t>APP</t>
        </is>
      </c>
    </row>
    <row r="779">
      <c r="A779" t="n">
        <v>176</v>
      </c>
      <c r="B779" t="inlineStr">
        <is>
          <t>The Cavern</t>
        </is>
      </c>
      <c r="C779" s="27" t="n">
        <v>46079</v>
      </c>
      <c r="D779" t="n">
        <v>0</v>
      </c>
      <c r="E779" t="inlineStr">
        <is>
          <t>DINHEIRO</t>
        </is>
      </c>
    </row>
    <row r="780">
      <c r="A780" t="n">
        <v>176</v>
      </c>
      <c r="B780" t="inlineStr">
        <is>
          <t>The Cavern</t>
        </is>
      </c>
      <c r="C780" s="27" t="n">
        <v>46079</v>
      </c>
      <c r="D780" t="n">
        <v>3931.15</v>
      </c>
      <c r="E780" t="inlineStr">
        <is>
          <t>CRÉDITO</t>
        </is>
      </c>
    </row>
    <row r="781">
      <c r="A781" t="n">
        <v>176</v>
      </c>
      <c r="B781" t="inlineStr">
        <is>
          <t>The Cavern</t>
        </is>
      </c>
      <c r="C781" s="27" t="n">
        <v>46079</v>
      </c>
      <c r="D781" t="n">
        <v>0</v>
      </c>
      <c r="E781" t="inlineStr">
        <is>
          <t>ANTECIPADO</t>
        </is>
      </c>
    </row>
    <row r="782">
      <c r="A782" t="n">
        <v>176</v>
      </c>
      <c r="B782" t="inlineStr">
        <is>
          <t>The Cavern</t>
        </is>
      </c>
      <c r="C782" s="27" t="n">
        <v>46079</v>
      </c>
      <c r="D782" t="n">
        <v>560.76</v>
      </c>
      <c r="E782" t="inlineStr">
        <is>
          <t>DÉBITO</t>
        </is>
      </c>
    </row>
    <row r="783">
      <c r="A783" t="n">
        <v>176</v>
      </c>
      <c r="B783" t="inlineStr">
        <is>
          <t>The Cavern</t>
        </is>
      </c>
      <c r="C783" s="27" t="n">
        <v>46079</v>
      </c>
      <c r="D783" t="n">
        <v>0</v>
      </c>
      <c r="E783" t="inlineStr">
        <is>
          <t>OUTROS</t>
        </is>
      </c>
    </row>
    <row r="784">
      <c r="A784" t="n">
        <v>176</v>
      </c>
      <c r="B784" t="inlineStr">
        <is>
          <t>The Cavern</t>
        </is>
      </c>
      <c r="C784" s="27" t="n">
        <v>46079</v>
      </c>
      <c r="D784" t="n">
        <v>0</v>
      </c>
      <c r="E784" t="inlineStr">
        <is>
          <t>AME</t>
        </is>
      </c>
    </row>
    <row r="785">
      <c r="A785" t="n">
        <v>176</v>
      </c>
      <c r="B785" t="inlineStr">
        <is>
          <t>The Cavern</t>
        </is>
      </c>
      <c r="C785" s="27" t="n">
        <v>46079</v>
      </c>
      <c r="D785" t="n">
        <v>0</v>
      </c>
      <c r="E785" t="inlineStr">
        <is>
          <t>NOTAS MANUAIS + SERVIÇO</t>
        </is>
      </c>
    </row>
    <row r="786">
      <c r="A786" t="n">
        <v>176</v>
      </c>
      <c r="B786" t="inlineStr">
        <is>
          <t>The Cavern</t>
        </is>
      </c>
      <c r="C786" s="27" t="n">
        <v>46079</v>
      </c>
      <c r="D786" t="n">
        <v>0</v>
      </c>
      <c r="E786" t="inlineStr">
        <is>
          <t>RECARGAS DEVOLVIDAS</t>
        </is>
      </c>
    </row>
    <row r="787">
      <c r="A787" t="n">
        <v>176</v>
      </c>
      <c r="B787" t="inlineStr">
        <is>
          <t>The Cavern</t>
        </is>
      </c>
      <c r="C787" s="27" t="n">
        <v>46079</v>
      </c>
      <c r="D787" t="n">
        <v>0</v>
      </c>
      <c r="E787" t="inlineStr">
        <is>
          <t>VOUCHER INTEGRADO</t>
        </is>
      </c>
    </row>
    <row r="788">
      <c r="A788" t="n">
        <v>176</v>
      </c>
      <c r="B788" t="inlineStr">
        <is>
          <t>The Cavern</t>
        </is>
      </c>
      <c r="C788" s="27" t="n">
        <v>46079</v>
      </c>
      <c r="D788" t="n">
        <v>0</v>
      </c>
      <c r="E788" t="inlineStr">
        <is>
          <t>MBWAY</t>
        </is>
      </c>
    </row>
    <row r="789">
      <c r="A789" t="n">
        <v>176</v>
      </c>
      <c r="B789" t="inlineStr">
        <is>
          <t>The Cavern</t>
        </is>
      </c>
      <c r="C789" s="27" t="n">
        <v>46079</v>
      </c>
      <c r="D789" t="n">
        <v>2138.81</v>
      </c>
      <c r="E789" t="inlineStr">
        <is>
          <t>CRÉDITO</t>
        </is>
      </c>
    </row>
    <row r="790">
      <c r="A790" t="n">
        <v>176</v>
      </c>
      <c r="B790" t="inlineStr">
        <is>
          <t>The Cavern</t>
        </is>
      </c>
      <c r="C790" s="27" t="n">
        <v>46079</v>
      </c>
      <c r="D790" t="n">
        <v>0</v>
      </c>
      <c r="E790" t="inlineStr">
        <is>
          <t>DINHEIRO</t>
        </is>
      </c>
    </row>
    <row r="791">
      <c r="A791" t="n">
        <v>176</v>
      </c>
      <c r="B791" t="inlineStr">
        <is>
          <t>The Cavern</t>
        </is>
      </c>
      <c r="C791" s="27" t="n">
        <v>46079</v>
      </c>
      <c r="D791" t="n">
        <v>0</v>
      </c>
      <c r="E791" t="inlineStr">
        <is>
          <t>APP</t>
        </is>
      </c>
    </row>
    <row r="792">
      <c r="A792" t="n">
        <v>176</v>
      </c>
      <c r="B792" t="inlineStr">
        <is>
          <t>The Cavern</t>
        </is>
      </c>
      <c r="C792" s="27" t="n">
        <v>46079</v>
      </c>
      <c r="D792" t="n">
        <v>0</v>
      </c>
      <c r="E792" t="inlineStr">
        <is>
          <t>DELIVERY ONLINE</t>
        </is>
      </c>
    </row>
    <row r="793">
      <c r="A793" t="n">
        <v>176</v>
      </c>
      <c r="B793" t="inlineStr">
        <is>
          <t>The Cavern</t>
        </is>
      </c>
      <c r="C793" s="27" t="n">
        <v>46079</v>
      </c>
      <c r="D793" t="n">
        <v>0</v>
      </c>
      <c r="E793" t="inlineStr">
        <is>
          <t>IFOOD</t>
        </is>
      </c>
    </row>
    <row r="794">
      <c r="A794" t="n">
        <v>176</v>
      </c>
      <c r="B794" t="inlineStr">
        <is>
          <t>The Cavern</t>
        </is>
      </c>
      <c r="C794" s="27" t="n">
        <v>46079</v>
      </c>
      <c r="D794" t="n">
        <v>290.41</v>
      </c>
      <c r="E794" t="inlineStr">
        <is>
          <t>PIX</t>
        </is>
      </c>
    </row>
    <row r="795">
      <c r="A795" t="n">
        <v>176</v>
      </c>
      <c r="B795" t="inlineStr">
        <is>
          <t>The Cavern</t>
        </is>
      </c>
      <c r="C795" s="27" t="n">
        <v>46079</v>
      </c>
      <c r="D795" t="n">
        <v>0</v>
      </c>
      <c r="E795" t="inlineStr">
        <is>
          <t>RAPPI</t>
        </is>
      </c>
    </row>
    <row r="796">
      <c r="A796" t="n">
        <v>176</v>
      </c>
      <c r="B796" t="inlineStr">
        <is>
          <t>The Cavern</t>
        </is>
      </c>
      <c r="C796" s="27" t="n">
        <v>46079</v>
      </c>
      <c r="D796" t="n">
        <v>0</v>
      </c>
      <c r="E796" t="inlineStr">
        <is>
          <t>UBER</t>
        </is>
      </c>
    </row>
    <row r="797">
      <c r="A797" t="n">
        <v>176</v>
      </c>
      <c r="B797" t="inlineStr">
        <is>
          <t>The Cavern</t>
        </is>
      </c>
      <c r="C797" s="27" t="n">
        <v>46079</v>
      </c>
      <c r="D797" t="n">
        <v>0</v>
      </c>
      <c r="E797" t="inlineStr">
        <is>
          <t>BÔNUS</t>
        </is>
      </c>
    </row>
    <row r="798">
      <c r="A798" t="n">
        <v>176</v>
      </c>
      <c r="B798" t="inlineStr">
        <is>
          <t>The Cavern</t>
        </is>
      </c>
      <c r="C798" s="27" t="n">
        <v>46079</v>
      </c>
      <c r="D798" t="n">
        <v>0</v>
      </c>
      <c r="E798" t="inlineStr">
        <is>
          <t>VOUCHER</t>
        </is>
      </c>
    </row>
    <row r="799">
      <c r="A799" t="n">
        <v>176</v>
      </c>
      <c r="B799" t="inlineStr">
        <is>
          <t>The Cavern</t>
        </is>
      </c>
      <c r="C799" s="27" t="n">
        <v>46079</v>
      </c>
      <c r="D799" t="n">
        <v>0</v>
      </c>
      <c r="E799" t="inlineStr">
        <is>
          <t>ANTECIPADO</t>
        </is>
      </c>
    </row>
    <row r="800">
      <c r="A800" t="n">
        <v>176</v>
      </c>
      <c r="B800" t="inlineStr">
        <is>
          <t>The Cavern</t>
        </is>
      </c>
      <c r="C800" s="27" t="n">
        <v>46078</v>
      </c>
      <c r="D800" t="n">
        <v>0</v>
      </c>
      <c r="E800" t="inlineStr">
        <is>
          <t>APP</t>
        </is>
      </c>
    </row>
    <row r="801">
      <c r="A801" t="n">
        <v>176</v>
      </c>
      <c r="B801" t="inlineStr">
        <is>
          <t>The Cavern</t>
        </is>
      </c>
      <c r="C801" s="27" t="n">
        <v>46078</v>
      </c>
      <c r="D801" t="n">
        <v>0</v>
      </c>
      <c r="E801" t="inlineStr">
        <is>
          <t>DELIVERY ONLINE</t>
        </is>
      </c>
    </row>
    <row r="802">
      <c r="A802" t="n">
        <v>176</v>
      </c>
      <c r="B802" t="inlineStr">
        <is>
          <t>The Cavern</t>
        </is>
      </c>
      <c r="C802" s="27" t="n">
        <v>46078</v>
      </c>
      <c r="D802" t="n">
        <v>0</v>
      </c>
      <c r="E802" t="inlineStr">
        <is>
          <t>DELIVERY ONLINE</t>
        </is>
      </c>
    </row>
    <row r="803">
      <c r="A803" t="n">
        <v>176</v>
      </c>
      <c r="B803" t="inlineStr">
        <is>
          <t>The Cavern</t>
        </is>
      </c>
      <c r="C803" s="27" t="n">
        <v>46078</v>
      </c>
      <c r="D803" t="n">
        <v>0</v>
      </c>
      <c r="E803" t="inlineStr">
        <is>
          <t>IFOOD</t>
        </is>
      </c>
    </row>
    <row r="804">
      <c r="A804" t="n">
        <v>176</v>
      </c>
      <c r="B804" t="inlineStr">
        <is>
          <t>The Cavern</t>
        </is>
      </c>
      <c r="C804" s="27" t="n">
        <v>46078</v>
      </c>
      <c r="D804" t="n">
        <v>20.34</v>
      </c>
      <c r="E804" t="inlineStr">
        <is>
          <t>PIX</t>
        </is>
      </c>
    </row>
    <row r="805">
      <c r="A805" t="n">
        <v>176</v>
      </c>
      <c r="B805" t="inlineStr">
        <is>
          <t>The Cavern</t>
        </is>
      </c>
      <c r="C805" s="27" t="n">
        <v>46078</v>
      </c>
      <c r="D805" t="n">
        <v>0</v>
      </c>
      <c r="E805" t="inlineStr">
        <is>
          <t>RAPPI</t>
        </is>
      </c>
    </row>
    <row r="806">
      <c r="A806" t="n">
        <v>176</v>
      </c>
      <c r="B806" t="inlineStr">
        <is>
          <t>The Cavern</t>
        </is>
      </c>
      <c r="C806" s="27" t="n">
        <v>46078</v>
      </c>
      <c r="D806" t="n">
        <v>0</v>
      </c>
      <c r="E806" t="inlineStr">
        <is>
          <t>UBER</t>
        </is>
      </c>
    </row>
    <row r="807">
      <c r="A807" t="n">
        <v>176</v>
      </c>
      <c r="B807" t="inlineStr">
        <is>
          <t>The Cavern</t>
        </is>
      </c>
      <c r="C807" s="27" t="n">
        <v>46078</v>
      </c>
      <c r="D807" t="n">
        <v>0</v>
      </c>
      <c r="E807" t="inlineStr">
        <is>
          <t>ANTECIPADO</t>
        </is>
      </c>
    </row>
    <row r="808">
      <c r="A808" t="n">
        <v>176</v>
      </c>
      <c r="B808" t="inlineStr">
        <is>
          <t>The Cavern</t>
        </is>
      </c>
      <c r="C808" s="27" t="n">
        <v>46078</v>
      </c>
      <c r="D808" t="n">
        <v>1432.66</v>
      </c>
      <c r="E808" t="inlineStr">
        <is>
          <t>VOUCHER</t>
        </is>
      </c>
    </row>
    <row r="809">
      <c r="A809" t="n">
        <v>176</v>
      </c>
      <c r="B809" t="inlineStr">
        <is>
          <t>The Cavern</t>
        </is>
      </c>
      <c r="C809" s="27" t="n">
        <v>46078</v>
      </c>
      <c r="D809" t="n">
        <v>211.63</v>
      </c>
      <c r="E809" t="inlineStr">
        <is>
          <t>DÉBITO</t>
        </is>
      </c>
    </row>
    <row r="810">
      <c r="A810" t="n">
        <v>176</v>
      </c>
      <c r="B810" t="inlineStr">
        <is>
          <t>The Cavern</t>
        </is>
      </c>
      <c r="C810" s="27" t="n">
        <v>46078</v>
      </c>
      <c r="D810" t="n">
        <v>0</v>
      </c>
      <c r="E810" t="inlineStr">
        <is>
          <t>BÔNUS</t>
        </is>
      </c>
    </row>
    <row r="811">
      <c r="A811" t="n">
        <v>176</v>
      </c>
      <c r="B811" t="inlineStr">
        <is>
          <t>The Cavern</t>
        </is>
      </c>
      <c r="C811" s="27" t="n">
        <v>46078</v>
      </c>
      <c r="D811" t="n">
        <v>0</v>
      </c>
      <c r="E811" t="inlineStr">
        <is>
          <t>ANTECIPADO</t>
        </is>
      </c>
    </row>
    <row r="812">
      <c r="A812" t="n">
        <v>176</v>
      </c>
      <c r="B812" t="inlineStr">
        <is>
          <t>The Cavern</t>
        </is>
      </c>
      <c r="C812" s="27" t="n">
        <v>46078</v>
      </c>
      <c r="D812" t="n">
        <v>0</v>
      </c>
      <c r="E812" t="inlineStr">
        <is>
          <t>OUTROS</t>
        </is>
      </c>
    </row>
    <row r="813">
      <c r="A813" t="n">
        <v>176</v>
      </c>
      <c r="B813" t="inlineStr">
        <is>
          <t>The Cavern</t>
        </is>
      </c>
      <c r="C813" s="27" t="n">
        <v>46078</v>
      </c>
      <c r="D813" t="n">
        <v>0</v>
      </c>
      <c r="E813" t="inlineStr">
        <is>
          <t>AME</t>
        </is>
      </c>
    </row>
    <row r="814">
      <c r="A814" t="n">
        <v>176</v>
      </c>
      <c r="B814" t="inlineStr">
        <is>
          <t>The Cavern</t>
        </is>
      </c>
      <c r="C814" s="27" t="n">
        <v>46078</v>
      </c>
      <c r="D814" t="n">
        <v>0</v>
      </c>
      <c r="E814" t="inlineStr">
        <is>
          <t>NOTAS MANUAIS + SERVIÇO</t>
        </is>
      </c>
    </row>
    <row r="815">
      <c r="A815" t="n">
        <v>176</v>
      </c>
      <c r="B815" t="inlineStr">
        <is>
          <t>The Cavern</t>
        </is>
      </c>
      <c r="C815" s="27" t="n">
        <v>46078</v>
      </c>
      <c r="D815" t="n">
        <v>0</v>
      </c>
      <c r="E815" t="inlineStr">
        <is>
          <t>RECARGAS DEVOLVIDAS</t>
        </is>
      </c>
    </row>
    <row r="816">
      <c r="A816" t="n">
        <v>176</v>
      </c>
      <c r="B816" t="inlineStr">
        <is>
          <t>The Cavern</t>
        </is>
      </c>
      <c r="C816" s="27" t="n">
        <v>46078</v>
      </c>
      <c r="D816" t="n">
        <v>0</v>
      </c>
      <c r="E816" t="inlineStr">
        <is>
          <t>VOUCHER INTEGRADO</t>
        </is>
      </c>
    </row>
    <row r="817">
      <c r="A817" t="n">
        <v>176</v>
      </c>
      <c r="B817" t="inlineStr">
        <is>
          <t>The Cavern</t>
        </is>
      </c>
      <c r="C817" s="27" t="n">
        <v>46078</v>
      </c>
      <c r="D817" t="n">
        <v>0</v>
      </c>
      <c r="E817" t="inlineStr">
        <is>
          <t>MBWAY</t>
        </is>
      </c>
    </row>
    <row r="818">
      <c r="A818" t="n">
        <v>176</v>
      </c>
      <c r="B818" t="inlineStr">
        <is>
          <t>The Cavern</t>
        </is>
      </c>
      <c r="C818" s="27" t="n">
        <v>46078</v>
      </c>
      <c r="D818" t="n">
        <v>2728.45</v>
      </c>
      <c r="E818" t="inlineStr">
        <is>
          <t>CRÉDITO</t>
        </is>
      </c>
    </row>
    <row r="819">
      <c r="A819" t="n">
        <v>176</v>
      </c>
      <c r="B819" t="inlineStr">
        <is>
          <t>The Cavern</t>
        </is>
      </c>
      <c r="C819" s="27" t="n">
        <v>46078</v>
      </c>
      <c r="D819" t="n">
        <v>0</v>
      </c>
      <c r="E819" t="inlineStr">
        <is>
          <t>IFOOD</t>
        </is>
      </c>
    </row>
    <row r="820">
      <c r="A820" t="n">
        <v>176</v>
      </c>
      <c r="B820" t="inlineStr">
        <is>
          <t>The Cavern</t>
        </is>
      </c>
      <c r="C820" s="27" t="n">
        <v>46078</v>
      </c>
      <c r="D820" t="n">
        <v>0</v>
      </c>
      <c r="E820" t="inlineStr">
        <is>
          <t>APP</t>
        </is>
      </c>
    </row>
    <row r="821">
      <c r="A821" t="n">
        <v>176</v>
      </c>
      <c r="B821" t="inlineStr">
        <is>
          <t>The Cavern</t>
        </is>
      </c>
      <c r="C821" s="27" t="n">
        <v>46078</v>
      </c>
      <c r="D821" t="n">
        <v>3.74</v>
      </c>
      <c r="E821" t="inlineStr">
        <is>
          <t>DINHEIRO</t>
        </is>
      </c>
    </row>
    <row r="822">
      <c r="A822" t="n">
        <v>176</v>
      </c>
      <c r="B822" t="inlineStr">
        <is>
          <t>The Cavern</t>
        </is>
      </c>
      <c r="C822" s="27" t="n">
        <v>46078</v>
      </c>
      <c r="D822" t="n">
        <v>2288.99</v>
      </c>
      <c r="E822" t="inlineStr">
        <is>
          <t>CRÉDITO</t>
        </is>
      </c>
    </row>
    <row r="823">
      <c r="A823" t="n">
        <v>176</v>
      </c>
      <c r="B823" t="inlineStr">
        <is>
          <t>The Cavern</t>
        </is>
      </c>
      <c r="C823" s="27" t="n">
        <v>46078</v>
      </c>
      <c r="D823" t="n">
        <v>0</v>
      </c>
      <c r="E823" t="inlineStr">
        <is>
          <t>PIX</t>
        </is>
      </c>
    </row>
    <row r="824">
      <c r="A824" t="n">
        <v>176</v>
      </c>
      <c r="B824" t="inlineStr">
        <is>
          <t>The Cavern</t>
        </is>
      </c>
      <c r="C824" s="27" t="n">
        <v>46078</v>
      </c>
      <c r="D824" t="n">
        <v>0</v>
      </c>
      <c r="E824" t="inlineStr">
        <is>
          <t>RAPPI</t>
        </is>
      </c>
    </row>
    <row r="825">
      <c r="A825" t="n">
        <v>176</v>
      </c>
      <c r="B825" t="inlineStr">
        <is>
          <t>The Cavern</t>
        </is>
      </c>
      <c r="C825" s="27" t="n">
        <v>46078</v>
      </c>
      <c r="D825" t="n">
        <v>0</v>
      </c>
      <c r="E825" t="inlineStr">
        <is>
          <t>UBER</t>
        </is>
      </c>
    </row>
    <row r="826">
      <c r="A826" t="n">
        <v>176</v>
      </c>
      <c r="B826" t="inlineStr">
        <is>
          <t>The Cavern</t>
        </is>
      </c>
      <c r="C826" s="27" t="n">
        <v>46078</v>
      </c>
      <c r="D826" t="n">
        <v>0</v>
      </c>
      <c r="E826" t="inlineStr">
        <is>
          <t>ANTECIPADO</t>
        </is>
      </c>
    </row>
    <row r="827">
      <c r="A827" t="n">
        <v>176</v>
      </c>
      <c r="B827" t="inlineStr">
        <is>
          <t>The Cavern</t>
        </is>
      </c>
      <c r="C827" s="27" t="n">
        <v>46078</v>
      </c>
      <c r="D827" t="n">
        <v>0</v>
      </c>
      <c r="E827" t="inlineStr">
        <is>
          <t>VOUCHER</t>
        </is>
      </c>
    </row>
    <row r="828">
      <c r="A828" t="n">
        <v>176</v>
      </c>
      <c r="B828" t="inlineStr">
        <is>
          <t>The Cavern</t>
        </is>
      </c>
      <c r="C828" s="27" t="n">
        <v>46078</v>
      </c>
      <c r="D828" t="n">
        <v>115.26</v>
      </c>
      <c r="E828" t="inlineStr">
        <is>
          <t>DÉBITO</t>
        </is>
      </c>
    </row>
    <row r="829">
      <c r="A829" t="n">
        <v>176</v>
      </c>
      <c r="B829" t="inlineStr">
        <is>
          <t>The Cavern</t>
        </is>
      </c>
      <c r="C829" s="27" t="n">
        <v>46078</v>
      </c>
      <c r="D829" t="n">
        <v>0</v>
      </c>
      <c r="E829" t="inlineStr">
        <is>
          <t>BÔNUS</t>
        </is>
      </c>
    </row>
    <row r="830">
      <c r="A830" t="n">
        <v>176</v>
      </c>
      <c r="B830" t="inlineStr">
        <is>
          <t>The Cavern</t>
        </is>
      </c>
      <c r="C830" s="27" t="n">
        <v>46078</v>
      </c>
      <c r="D830" t="n">
        <v>0</v>
      </c>
      <c r="E830" t="inlineStr">
        <is>
          <t>ANTECIPADO</t>
        </is>
      </c>
    </row>
    <row r="831">
      <c r="A831" t="n">
        <v>176</v>
      </c>
      <c r="B831" t="inlineStr">
        <is>
          <t>The Cavern</t>
        </is>
      </c>
      <c r="C831" s="27" t="n">
        <v>46078</v>
      </c>
      <c r="D831" t="n">
        <v>0</v>
      </c>
      <c r="E831" t="inlineStr">
        <is>
          <t>OUTROS</t>
        </is>
      </c>
    </row>
    <row r="832">
      <c r="A832" t="n">
        <v>176</v>
      </c>
      <c r="B832" t="inlineStr">
        <is>
          <t>The Cavern</t>
        </is>
      </c>
      <c r="C832" s="27" t="n">
        <v>46078</v>
      </c>
      <c r="D832" t="n">
        <v>0</v>
      </c>
      <c r="E832" t="inlineStr">
        <is>
          <t>AME</t>
        </is>
      </c>
    </row>
    <row r="833">
      <c r="A833" t="n">
        <v>176</v>
      </c>
      <c r="B833" t="inlineStr">
        <is>
          <t>The Cavern</t>
        </is>
      </c>
      <c r="C833" s="27" t="n">
        <v>46078</v>
      </c>
      <c r="D833" t="n">
        <v>0</v>
      </c>
      <c r="E833" t="inlineStr">
        <is>
          <t>NOTAS MANUAIS + SERVIÇO</t>
        </is>
      </c>
    </row>
    <row r="834">
      <c r="A834" t="n">
        <v>176</v>
      </c>
      <c r="B834" t="inlineStr">
        <is>
          <t>The Cavern</t>
        </is>
      </c>
      <c r="C834" s="27" t="n">
        <v>46078</v>
      </c>
      <c r="D834" t="n">
        <v>0</v>
      </c>
      <c r="E834" t="inlineStr">
        <is>
          <t>RECARGAS DEVOLVIDAS</t>
        </is>
      </c>
    </row>
    <row r="835">
      <c r="A835" t="n">
        <v>176</v>
      </c>
      <c r="B835" t="inlineStr">
        <is>
          <t>The Cavern</t>
        </is>
      </c>
      <c r="C835" s="27" t="n">
        <v>46078</v>
      </c>
      <c r="D835" t="n">
        <v>0</v>
      </c>
      <c r="E835" t="inlineStr">
        <is>
          <t>VOUCHER INTEGRADO</t>
        </is>
      </c>
    </row>
    <row r="836">
      <c r="A836" t="n">
        <v>176</v>
      </c>
      <c r="B836" t="inlineStr">
        <is>
          <t>The Cavern</t>
        </is>
      </c>
      <c r="C836" s="27" t="n">
        <v>46078</v>
      </c>
      <c r="D836" t="n">
        <v>0</v>
      </c>
      <c r="E836" t="inlineStr">
        <is>
          <t>MBWAY</t>
        </is>
      </c>
    </row>
    <row r="837">
      <c r="A837" t="n">
        <v>176</v>
      </c>
      <c r="B837" t="inlineStr">
        <is>
          <t>The Cavern</t>
        </is>
      </c>
      <c r="C837" s="27" t="n">
        <v>46078</v>
      </c>
      <c r="D837" t="n">
        <v>0</v>
      </c>
      <c r="E837" t="inlineStr">
        <is>
          <t>DINHEIRO</t>
        </is>
      </c>
    </row>
    <row r="838">
      <c r="A838" t="n">
        <v>176</v>
      </c>
      <c r="B838" t="inlineStr">
        <is>
          <t>The Cavern</t>
        </is>
      </c>
      <c r="C838" s="27" t="n">
        <v>46077</v>
      </c>
      <c r="D838" t="n">
        <v>0</v>
      </c>
      <c r="E838" t="inlineStr">
        <is>
          <t>VOUCHER INTEGRADO</t>
        </is>
      </c>
    </row>
    <row r="839">
      <c r="A839" t="n">
        <v>176</v>
      </c>
      <c r="B839" t="inlineStr">
        <is>
          <t>The Cavern</t>
        </is>
      </c>
      <c r="C839" s="27" t="n">
        <v>46077</v>
      </c>
      <c r="D839" t="n">
        <v>1001.62</v>
      </c>
      <c r="E839" t="inlineStr">
        <is>
          <t>DÉBITO</t>
        </is>
      </c>
    </row>
    <row r="840">
      <c r="A840" t="n">
        <v>176</v>
      </c>
      <c r="B840" t="inlineStr">
        <is>
          <t>The Cavern</t>
        </is>
      </c>
      <c r="C840" s="27" t="n">
        <v>46077</v>
      </c>
      <c r="D840" t="n">
        <v>0</v>
      </c>
      <c r="E840" t="inlineStr">
        <is>
          <t>DINHEIRO</t>
        </is>
      </c>
    </row>
    <row r="841">
      <c r="A841" t="n">
        <v>176</v>
      </c>
      <c r="B841" t="inlineStr">
        <is>
          <t>The Cavern</t>
        </is>
      </c>
      <c r="C841" s="27" t="n">
        <v>46077</v>
      </c>
      <c r="D841" t="n">
        <v>0</v>
      </c>
      <c r="E841" t="inlineStr">
        <is>
          <t>APP</t>
        </is>
      </c>
    </row>
    <row r="842">
      <c r="A842" t="n">
        <v>176</v>
      </c>
      <c r="B842" t="inlineStr">
        <is>
          <t>The Cavern</t>
        </is>
      </c>
      <c r="C842" s="27" t="n">
        <v>46077</v>
      </c>
      <c r="D842" t="n">
        <v>0</v>
      </c>
      <c r="E842" t="inlineStr">
        <is>
          <t>DELIVERY ONLINE</t>
        </is>
      </c>
    </row>
    <row r="843">
      <c r="A843" t="n">
        <v>176</v>
      </c>
      <c r="B843" t="inlineStr">
        <is>
          <t>The Cavern</t>
        </is>
      </c>
      <c r="C843" s="27" t="n">
        <v>46077</v>
      </c>
      <c r="D843" t="n">
        <v>0</v>
      </c>
      <c r="E843" t="inlineStr">
        <is>
          <t>IFOOD</t>
        </is>
      </c>
    </row>
    <row r="844">
      <c r="A844" t="n">
        <v>176</v>
      </c>
      <c r="B844" t="inlineStr">
        <is>
          <t>The Cavern</t>
        </is>
      </c>
      <c r="C844" s="27" t="n">
        <v>46077</v>
      </c>
      <c r="D844" t="n">
        <v>0</v>
      </c>
      <c r="E844" t="inlineStr">
        <is>
          <t>PIX</t>
        </is>
      </c>
    </row>
    <row r="845">
      <c r="A845" t="n">
        <v>176</v>
      </c>
      <c r="B845" t="inlineStr">
        <is>
          <t>The Cavern</t>
        </is>
      </c>
      <c r="C845" s="27" t="n">
        <v>46077</v>
      </c>
      <c r="D845" t="n">
        <v>0</v>
      </c>
      <c r="E845" t="inlineStr">
        <is>
          <t>RAPPI</t>
        </is>
      </c>
    </row>
    <row r="846">
      <c r="A846" t="n">
        <v>176</v>
      </c>
      <c r="B846" t="inlineStr">
        <is>
          <t>The Cavern</t>
        </is>
      </c>
      <c r="C846" s="27" t="n">
        <v>46077</v>
      </c>
      <c r="D846" t="n">
        <v>0</v>
      </c>
      <c r="E846" t="inlineStr">
        <is>
          <t>UBER</t>
        </is>
      </c>
    </row>
    <row r="847">
      <c r="A847" t="n">
        <v>176</v>
      </c>
      <c r="B847" t="inlineStr">
        <is>
          <t>The Cavern</t>
        </is>
      </c>
      <c r="C847" s="27" t="n">
        <v>46077</v>
      </c>
      <c r="D847" t="n">
        <v>0</v>
      </c>
      <c r="E847" t="inlineStr">
        <is>
          <t>ANTECIPADO</t>
        </is>
      </c>
    </row>
    <row r="848">
      <c r="A848" t="n">
        <v>176</v>
      </c>
      <c r="B848" t="inlineStr">
        <is>
          <t>The Cavern</t>
        </is>
      </c>
      <c r="C848" s="27" t="n">
        <v>46077</v>
      </c>
      <c r="D848" t="n">
        <v>692.98</v>
      </c>
      <c r="E848" t="inlineStr">
        <is>
          <t>VOUCHER</t>
        </is>
      </c>
    </row>
    <row r="849">
      <c r="A849" t="n">
        <v>176</v>
      </c>
      <c r="B849" t="inlineStr">
        <is>
          <t>The Cavern</t>
        </is>
      </c>
      <c r="C849" s="27" t="n">
        <v>46077</v>
      </c>
      <c r="D849" t="n">
        <v>0</v>
      </c>
      <c r="E849" t="inlineStr">
        <is>
          <t>MBWAY</t>
        </is>
      </c>
    </row>
    <row r="850">
      <c r="A850" t="n">
        <v>176</v>
      </c>
      <c r="B850" t="inlineStr">
        <is>
          <t>The Cavern</t>
        </is>
      </c>
      <c r="C850" s="27" t="n">
        <v>46077</v>
      </c>
      <c r="D850" t="n">
        <v>0</v>
      </c>
      <c r="E850" t="inlineStr">
        <is>
          <t>BÔNUS</t>
        </is>
      </c>
    </row>
    <row r="851">
      <c r="A851" t="n">
        <v>176</v>
      </c>
      <c r="B851" t="inlineStr">
        <is>
          <t>The Cavern</t>
        </is>
      </c>
      <c r="C851" s="27" t="n">
        <v>46077</v>
      </c>
      <c r="D851" t="n">
        <v>0</v>
      </c>
      <c r="E851" t="inlineStr">
        <is>
          <t>ANTECIPADO</t>
        </is>
      </c>
    </row>
    <row r="852">
      <c r="A852" t="n">
        <v>176</v>
      </c>
      <c r="B852" t="inlineStr">
        <is>
          <t>The Cavern</t>
        </is>
      </c>
      <c r="C852" s="27" t="n">
        <v>46077</v>
      </c>
      <c r="D852" t="n">
        <v>0</v>
      </c>
      <c r="E852" t="inlineStr">
        <is>
          <t>OUTROS</t>
        </is>
      </c>
    </row>
    <row r="853">
      <c r="A853" t="n">
        <v>176</v>
      </c>
      <c r="B853" t="inlineStr">
        <is>
          <t>The Cavern</t>
        </is>
      </c>
      <c r="C853" s="27" t="n">
        <v>46077</v>
      </c>
      <c r="D853" t="n">
        <v>0</v>
      </c>
      <c r="E853" t="inlineStr">
        <is>
          <t>AME</t>
        </is>
      </c>
    </row>
    <row r="854">
      <c r="A854" t="n">
        <v>176</v>
      </c>
      <c r="B854" t="inlineStr">
        <is>
          <t>The Cavern</t>
        </is>
      </c>
      <c r="C854" s="27" t="n">
        <v>46077</v>
      </c>
      <c r="D854" t="n">
        <v>0</v>
      </c>
      <c r="E854" t="inlineStr">
        <is>
          <t>NOTAS MANUAIS + SERVIÇO</t>
        </is>
      </c>
    </row>
    <row r="855">
      <c r="A855" t="n">
        <v>176</v>
      </c>
      <c r="B855" t="inlineStr">
        <is>
          <t>The Cavern</t>
        </is>
      </c>
      <c r="C855" s="27" t="n">
        <v>46077</v>
      </c>
      <c r="D855" t="n">
        <v>0</v>
      </c>
      <c r="E855" t="inlineStr">
        <is>
          <t>RECARGAS DEVOLVIDAS</t>
        </is>
      </c>
    </row>
    <row r="856">
      <c r="A856" t="n">
        <v>176</v>
      </c>
      <c r="B856" t="inlineStr">
        <is>
          <t>The Cavern</t>
        </is>
      </c>
      <c r="C856" s="27" t="n">
        <v>46077</v>
      </c>
      <c r="D856" t="n">
        <v>0</v>
      </c>
      <c r="E856" t="inlineStr">
        <is>
          <t>VOUCHER INTEGRADO</t>
        </is>
      </c>
    </row>
    <row r="857">
      <c r="A857" t="n">
        <v>176</v>
      </c>
      <c r="B857" t="inlineStr">
        <is>
          <t>The Cavern</t>
        </is>
      </c>
      <c r="C857" s="27" t="n">
        <v>46077</v>
      </c>
      <c r="D857" t="n">
        <v>0</v>
      </c>
      <c r="E857" t="inlineStr">
        <is>
          <t>MBWAY</t>
        </is>
      </c>
    </row>
    <row r="858">
      <c r="A858" t="n">
        <v>176</v>
      </c>
      <c r="B858" t="inlineStr">
        <is>
          <t>The Cavern</t>
        </is>
      </c>
      <c r="C858" s="27" t="n">
        <v>46077</v>
      </c>
      <c r="D858" t="n">
        <v>498.33</v>
      </c>
      <c r="E858" t="inlineStr">
        <is>
          <t>CRÉDITO</t>
        </is>
      </c>
    </row>
    <row r="859">
      <c r="A859" t="n">
        <v>176</v>
      </c>
      <c r="B859" t="inlineStr">
        <is>
          <t>The Cavern</t>
        </is>
      </c>
      <c r="C859" s="27" t="n">
        <v>46077</v>
      </c>
      <c r="D859" t="n">
        <v>4513.74</v>
      </c>
      <c r="E859" t="inlineStr">
        <is>
          <t>CRÉDITO</t>
        </is>
      </c>
    </row>
    <row r="860">
      <c r="A860" t="n">
        <v>176</v>
      </c>
      <c r="B860" t="inlineStr">
        <is>
          <t>The Cavern</t>
        </is>
      </c>
      <c r="C860" s="27" t="n">
        <v>46077</v>
      </c>
      <c r="D860" t="n">
        <v>0</v>
      </c>
      <c r="E860" t="inlineStr">
        <is>
          <t>RECARGAS DEVOLVIDAS</t>
        </is>
      </c>
    </row>
    <row r="861">
      <c r="A861" t="n">
        <v>176</v>
      </c>
      <c r="B861" t="inlineStr">
        <is>
          <t>The Cavern</t>
        </is>
      </c>
      <c r="C861" s="27" t="n">
        <v>46077</v>
      </c>
      <c r="D861" t="n">
        <v>0</v>
      </c>
      <c r="E861" t="inlineStr">
        <is>
          <t>NOTAS MANUAIS + SERVIÇO</t>
        </is>
      </c>
    </row>
    <row r="862">
      <c r="A862" t="n">
        <v>176</v>
      </c>
      <c r="B862" t="inlineStr">
        <is>
          <t>The Cavern</t>
        </is>
      </c>
      <c r="C862" s="27" t="n">
        <v>46077</v>
      </c>
      <c r="D862" t="n">
        <v>0</v>
      </c>
      <c r="E862" t="inlineStr">
        <is>
          <t>AME</t>
        </is>
      </c>
    </row>
    <row r="863">
      <c r="A863" t="n">
        <v>176</v>
      </c>
      <c r="B863" t="inlineStr">
        <is>
          <t>The Cavern</t>
        </is>
      </c>
      <c r="C863" s="27" t="n">
        <v>46077</v>
      </c>
      <c r="D863" t="n">
        <v>0</v>
      </c>
      <c r="E863" t="inlineStr">
        <is>
          <t>OUTROS</t>
        </is>
      </c>
    </row>
    <row r="864">
      <c r="A864" t="n">
        <v>176</v>
      </c>
      <c r="B864" t="inlineStr">
        <is>
          <t>The Cavern</t>
        </is>
      </c>
      <c r="C864" s="27" t="n">
        <v>46077</v>
      </c>
      <c r="D864" t="n">
        <v>0</v>
      </c>
      <c r="E864" t="inlineStr">
        <is>
          <t>ANTECIPADO</t>
        </is>
      </c>
    </row>
    <row r="865">
      <c r="A865" t="n">
        <v>176</v>
      </c>
      <c r="B865" t="inlineStr">
        <is>
          <t>The Cavern</t>
        </is>
      </c>
      <c r="C865" s="27" t="n">
        <v>46077</v>
      </c>
      <c r="D865" t="n">
        <v>0</v>
      </c>
      <c r="E865" t="inlineStr">
        <is>
          <t>BÔNUS</t>
        </is>
      </c>
    </row>
    <row r="866">
      <c r="A866" t="n">
        <v>176</v>
      </c>
      <c r="B866" t="inlineStr">
        <is>
          <t>The Cavern</t>
        </is>
      </c>
      <c r="C866" s="27" t="n">
        <v>46077</v>
      </c>
      <c r="D866" t="n">
        <v>293.88</v>
      </c>
      <c r="E866" t="inlineStr">
        <is>
          <t>DÉBITO</t>
        </is>
      </c>
    </row>
    <row r="867">
      <c r="A867" t="n">
        <v>176</v>
      </c>
      <c r="B867" t="inlineStr">
        <is>
          <t>The Cavern</t>
        </is>
      </c>
      <c r="C867" s="27" t="n">
        <v>46077</v>
      </c>
      <c r="D867" t="n">
        <v>0</v>
      </c>
      <c r="E867" t="inlineStr">
        <is>
          <t>VOUCHER</t>
        </is>
      </c>
    </row>
    <row r="868">
      <c r="A868" t="n">
        <v>176</v>
      </c>
      <c r="B868" t="inlineStr">
        <is>
          <t>The Cavern</t>
        </is>
      </c>
      <c r="C868" s="27" t="n">
        <v>46077</v>
      </c>
      <c r="D868" t="n">
        <v>0</v>
      </c>
      <c r="E868" t="inlineStr">
        <is>
          <t>UBER</t>
        </is>
      </c>
    </row>
    <row r="869">
      <c r="A869" t="n">
        <v>176</v>
      </c>
      <c r="B869" t="inlineStr">
        <is>
          <t>The Cavern</t>
        </is>
      </c>
      <c r="C869" s="27" t="n">
        <v>46077</v>
      </c>
      <c r="D869" t="n">
        <v>0</v>
      </c>
      <c r="E869" t="inlineStr">
        <is>
          <t>RAPPI</t>
        </is>
      </c>
    </row>
    <row r="870">
      <c r="A870" t="n">
        <v>176</v>
      </c>
      <c r="B870" t="inlineStr">
        <is>
          <t>The Cavern</t>
        </is>
      </c>
      <c r="C870" s="27" t="n">
        <v>46077</v>
      </c>
      <c r="D870" t="n">
        <v>0</v>
      </c>
      <c r="E870" t="inlineStr">
        <is>
          <t>PIX</t>
        </is>
      </c>
    </row>
    <row r="871">
      <c r="A871" t="n">
        <v>176</v>
      </c>
      <c r="B871" t="inlineStr">
        <is>
          <t>The Cavern</t>
        </is>
      </c>
      <c r="C871" s="27" t="n">
        <v>46077</v>
      </c>
      <c r="D871" t="n">
        <v>0</v>
      </c>
      <c r="E871" t="inlineStr">
        <is>
          <t>IFOOD</t>
        </is>
      </c>
    </row>
    <row r="872">
      <c r="A872" t="n">
        <v>176</v>
      </c>
      <c r="B872" t="inlineStr">
        <is>
          <t>The Cavern</t>
        </is>
      </c>
      <c r="C872" s="27" t="n">
        <v>46077</v>
      </c>
      <c r="D872" t="n">
        <v>0</v>
      </c>
      <c r="E872" t="inlineStr">
        <is>
          <t>DELIVERY ONLINE</t>
        </is>
      </c>
    </row>
    <row r="873">
      <c r="A873" t="n">
        <v>176</v>
      </c>
      <c r="B873" t="inlineStr">
        <is>
          <t>The Cavern</t>
        </is>
      </c>
      <c r="C873" s="27" t="n">
        <v>46077</v>
      </c>
      <c r="D873" t="n">
        <v>0</v>
      </c>
      <c r="E873" t="inlineStr">
        <is>
          <t>APP</t>
        </is>
      </c>
    </row>
    <row r="874">
      <c r="A874" t="n">
        <v>176</v>
      </c>
      <c r="B874" t="inlineStr">
        <is>
          <t>The Cavern</t>
        </is>
      </c>
      <c r="C874" s="27" t="n">
        <v>46077</v>
      </c>
      <c r="D874" t="n">
        <v>0</v>
      </c>
      <c r="E874" t="inlineStr">
        <is>
          <t>DINHEIRO</t>
        </is>
      </c>
    </row>
    <row r="875">
      <c r="A875" t="n">
        <v>176</v>
      </c>
      <c r="B875" t="inlineStr">
        <is>
          <t>The Cavern</t>
        </is>
      </c>
      <c r="C875" s="27" t="n">
        <v>46077</v>
      </c>
      <c r="D875" t="n">
        <v>0</v>
      </c>
      <c r="E875" t="inlineStr">
        <is>
          <t>ANTECIPADO</t>
        </is>
      </c>
    </row>
    <row r="876">
      <c r="A876" t="n">
        <v>176</v>
      </c>
      <c r="B876" t="inlineStr">
        <is>
          <t>The Cavern</t>
        </is>
      </c>
      <c r="C876" s="27" t="n">
        <v>46076</v>
      </c>
      <c r="D876" t="n">
        <v>0</v>
      </c>
      <c r="E876" t="inlineStr">
        <is>
          <t>NOTAS MANUAIS + SERVIÇO</t>
        </is>
      </c>
    </row>
    <row r="877">
      <c r="A877" t="n">
        <v>176</v>
      </c>
      <c r="B877" t="inlineStr">
        <is>
          <t>The Cavern</t>
        </is>
      </c>
      <c r="C877" s="27" t="n">
        <v>46076</v>
      </c>
      <c r="D877" t="n">
        <v>0</v>
      </c>
      <c r="E877" t="inlineStr">
        <is>
          <t>RECARGAS DEVOLVIDAS</t>
        </is>
      </c>
    </row>
    <row r="878">
      <c r="A878" t="n">
        <v>176</v>
      </c>
      <c r="B878" t="inlineStr">
        <is>
          <t>The Cavern</t>
        </is>
      </c>
      <c r="C878" s="27" t="n">
        <v>46076</v>
      </c>
      <c r="D878" t="n">
        <v>0</v>
      </c>
      <c r="E878" t="inlineStr">
        <is>
          <t>MBWAY</t>
        </is>
      </c>
    </row>
    <row r="879">
      <c r="A879" t="n">
        <v>176</v>
      </c>
      <c r="B879" t="inlineStr">
        <is>
          <t>The Cavern</t>
        </is>
      </c>
      <c r="C879" s="27" t="n">
        <v>46076</v>
      </c>
      <c r="D879" t="n">
        <v>0</v>
      </c>
      <c r="E879" t="inlineStr">
        <is>
          <t>MBWAY</t>
        </is>
      </c>
    </row>
    <row r="880">
      <c r="A880" t="n">
        <v>176</v>
      </c>
      <c r="B880" t="inlineStr">
        <is>
          <t>The Cavern</t>
        </is>
      </c>
      <c r="C880" s="27" t="n">
        <v>46076</v>
      </c>
      <c r="D880" t="n">
        <v>0</v>
      </c>
      <c r="E880" t="inlineStr">
        <is>
          <t>VOUCHER INTEGRADO</t>
        </is>
      </c>
    </row>
    <row r="881">
      <c r="A881" t="n">
        <v>176</v>
      </c>
      <c r="B881" t="inlineStr">
        <is>
          <t>The Cavern</t>
        </is>
      </c>
      <c r="C881" s="27" t="n">
        <v>46076</v>
      </c>
      <c r="D881" t="n">
        <v>0</v>
      </c>
      <c r="E881" t="inlineStr">
        <is>
          <t>RECARGAS DEVOLVIDAS</t>
        </is>
      </c>
    </row>
    <row r="882">
      <c r="A882" t="n">
        <v>176</v>
      </c>
      <c r="B882" t="inlineStr">
        <is>
          <t>The Cavern</t>
        </is>
      </c>
      <c r="C882" s="27" t="n">
        <v>46076</v>
      </c>
      <c r="D882" t="n">
        <v>0</v>
      </c>
      <c r="E882" t="inlineStr">
        <is>
          <t>NOTAS MANUAIS + SERVIÇO</t>
        </is>
      </c>
    </row>
    <row r="883">
      <c r="A883" t="n">
        <v>176</v>
      </c>
      <c r="B883" t="inlineStr">
        <is>
          <t>The Cavern</t>
        </is>
      </c>
      <c r="C883" s="27" t="n">
        <v>46076</v>
      </c>
      <c r="D883" t="n">
        <v>0</v>
      </c>
      <c r="E883" t="inlineStr">
        <is>
          <t>AME</t>
        </is>
      </c>
    </row>
    <row r="884">
      <c r="A884" t="n">
        <v>176</v>
      </c>
      <c r="B884" t="inlineStr">
        <is>
          <t>The Cavern</t>
        </is>
      </c>
      <c r="C884" s="27" t="n">
        <v>46076</v>
      </c>
      <c r="D884" t="n">
        <v>0</v>
      </c>
      <c r="E884" t="inlineStr">
        <is>
          <t>OUTROS</t>
        </is>
      </c>
    </row>
    <row r="885">
      <c r="A885" t="n">
        <v>176</v>
      </c>
      <c r="B885" t="inlineStr">
        <is>
          <t>The Cavern</t>
        </is>
      </c>
      <c r="C885" s="27" t="n">
        <v>46076</v>
      </c>
      <c r="D885" t="n">
        <v>0</v>
      </c>
      <c r="E885" t="inlineStr">
        <is>
          <t>ANTECIPADO</t>
        </is>
      </c>
    </row>
    <row r="886">
      <c r="A886" t="n">
        <v>176</v>
      </c>
      <c r="B886" t="inlineStr">
        <is>
          <t>The Cavern</t>
        </is>
      </c>
      <c r="C886" s="27" t="n">
        <v>46076</v>
      </c>
      <c r="D886" t="n">
        <v>0</v>
      </c>
      <c r="E886" t="inlineStr">
        <is>
          <t>BÔNUS</t>
        </is>
      </c>
    </row>
    <row r="887">
      <c r="A887" t="n">
        <v>176</v>
      </c>
      <c r="B887" t="inlineStr">
        <is>
          <t>The Cavern</t>
        </is>
      </c>
      <c r="C887" s="27" t="n">
        <v>46076</v>
      </c>
      <c r="D887" t="n">
        <v>462.17</v>
      </c>
      <c r="E887" t="inlineStr">
        <is>
          <t>DÉBITO</t>
        </is>
      </c>
    </row>
    <row r="888">
      <c r="A888" t="n">
        <v>176</v>
      </c>
      <c r="B888" t="inlineStr">
        <is>
          <t>The Cavern</t>
        </is>
      </c>
      <c r="C888" s="27" t="n">
        <v>46076</v>
      </c>
      <c r="D888" t="n">
        <v>0</v>
      </c>
      <c r="E888" t="inlineStr">
        <is>
          <t>VOUCHER</t>
        </is>
      </c>
    </row>
    <row r="889">
      <c r="A889" t="n">
        <v>176</v>
      </c>
      <c r="B889" t="inlineStr">
        <is>
          <t>The Cavern</t>
        </is>
      </c>
      <c r="C889" s="27" t="n">
        <v>46076</v>
      </c>
      <c r="D889" t="n">
        <v>0</v>
      </c>
      <c r="E889" t="inlineStr">
        <is>
          <t>ANTECIPADO</t>
        </is>
      </c>
    </row>
    <row r="890">
      <c r="A890" t="n">
        <v>176</v>
      </c>
      <c r="B890" t="inlineStr">
        <is>
          <t>The Cavern</t>
        </is>
      </c>
      <c r="C890" s="27" t="n">
        <v>46076</v>
      </c>
      <c r="D890" t="n">
        <v>0</v>
      </c>
      <c r="E890" t="inlineStr">
        <is>
          <t>UBER</t>
        </is>
      </c>
    </row>
    <row r="891">
      <c r="A891" t="n">
        <v>176</v>
      </c>
      <c r="B891" t="inlineStr">
        <is>
          <t>The Cavern</t>
        </is>
      </c>
      <c r="C891" s="27" t="n">
        <v>46076</v>
      </c>
      <c r="D891" t="n">
        <v>0</v>
      </c>
      <c r="E891" t="inlineStr">
        <is>
          <t>AME</t>
        </is>
      </c>
    </row>
    <row r="892">
      <c r="A892" t="n">
        <v>176</v>
      </c>
      <c r="B892" t="inlineStr">
        <is>
          <t>The Cavern</t>
        </is>
      </c>
      <c r="C892" s="27" t="n">
        <v>46076</v>
      </c>
      <c r="D892" t="n">
        <v>0</v>
      </c>
      <c r="E892" t="inlineStr">
        <is>
          <t>OUTROS</t>
        </is>
      </c>
    </row>
    <row r="893">
      <c r="A893" t="n">
        <v>176</v>
      </c>
      <c r="B893" t="inlineStr">
        <is>
          <t>The Cavern</t>
        </is>
      </c>
      <c r="C893" s="27" t="n">
        <v>46076</v>
      </c>
      <c r="D893" t="n">
        <v>0</v>
      </c>
      <c r="E893" t="inlineStr">
        <is>
          <t>ANTECIPADO</t>
        </is>
      </c>
    </row>
    <row r="894">
      <c r="A894" t="n">
        <v>176</v>
      </c>
      <c r="B894" t="inlineStr">
        <is>
          <t>The Cavern</t>
        </is>
      </c>
      <c r="C894" s="27" t="n">
        <v>46076</v>
      </c>
      <c r="D894" t="n">
        <v>0</v>
      </c>
      <c r="E894" t="inlineStr">
        <is>
          <t>BÔNUS</t>
        </is>
      </c>
    </row>
    <row r="895">
      <c r="A895" t="n">
        <v>176</v>
      </c>
      <c r="B895" t="inlineStr">
        <is>
          <t>The Cavern</t>
        </is>
      </c>
      <c r="C895" s="27" t="n">
        <v>46076</v>
      </c>
      <c r="D895" t="n">
        <v>589.79</v>
      </c>
      <c r="E895" t="inlineStr">
        <is>
          <t>DÉBITO</t>
        </is>
      </c>
    </row>
    <row r="896">
      <c r="A896" t="n">
        <v>176</v>
      </c>
      <c r="B896" t="inlineStr">
        <is>
          <t>The Cavern</t>
        </is>
      </c>
      <c r="C896" s="27" t="n">
        <v>46076</v>
      </c>
      <c r="D896" t="n">
        <v>1159.64</v>
      </c>
      <c r="E896" t="inlineStr">
        <is>
          <t>VOUCHER</t>
        </is>
      </c>
    </row>
    <row r="897">
      <c r="A897" t="n">
        <v>176</v>
      </c>
      <c r="B897" t="inlineStr">
        <is>
          <t>The Cavern</t>
        </is>
      </c>
      <c r="C897" s="27" t="n">
        <v>46076</v>
      </c>
      <c r="D897" t="n">
        <v>0</v>
      </c>
      <c r="E897" t="inlineStr">
        <is>
          <t>ANTECIPADO</t>
        </is>
      </c>
    </row>
    <row r="898">
      <c r="A898" t="n">
        <v>176</v>
      </c>
      <c r="B898" t="inlineStr">
        <is>
          <t>The Cavern</t>
        </is>
      </c>
      <c r="C898" s="27" t="n">
        <v>46076</v>
      </c>
      <c r="D898" t="n">
        <v>0</v>
      </c>
      <c r="E898" t="inlineStr">
        <is>
          <t>UBER</t>
        </is>
      </c>
    </row>
    <row r="899">
      <c r="A899" t="n">
        <v>176</v>
      </c>
      <c r="B899" t="inlineStr">
        <is>
          <t>The Cavern</t>
        </is>
      </c>
      <c r="C899" s="27" t="n">
        <v>46076</v>
      </c>
      <c r="D899" t="n">
        <v>0</v>
      </c>
      <c r="E899" t="inlineStr">
        <is>
          <t>RAPPI</t>
        </is>
      </c>
    </row>
    <row r="900">
      <c r="A900" t="n">
        <v>176</v>
      </c>
      <c r="B900" t="inlineStr">
        <is>
          <t>The Cavern</t>
        </is>
      </c>
      <c r="C900" s="27" t="n">
        <v>46076</v>
      </c>
      <c r="D900" t="n">
        <v>0</v>
      </c>
      <c r="E900" t="inlineStr">
        <is>
          <t>PIX</t>
        </is>
      </c>
    </row>
    <row r="901">
      <c r="A901" t="n">
        <v>176</v>
      </c>
      <c r="B901" t="inlineStr">
        <is>
          <t>The Cavern</t>
        </is>
      </c>
      <c r="C901" s="27" t="n">
        <v>46076</v>
      </c>
      <c r="D901" t="n">
        <v>0</v>
      </c>
      <c r="E901" t="inlineStr">
        <is>
          <t>IFOOD</t>
        </is>
      </c>
    </row>
    <row r="902">
      <c r="A902" t="n">
        <v>176</v>
      </c>
      <c r="B902" t="inlineStr">
        <is>
          <t>The Cavern</t>
        </is>
      </c>
      <c r="C902" s="27" t="n">
        <v>46076</v>
      </c>
      <c r="D902" t="n">
        <v>0</v>
      </c>
      <c r="E902" t="inlineStr">
        <is>
          <t>DELIVERY ONLINE</t>
        </is>
      </c>
    </row>
    <row r="903">
      <c r="A903" t="n">
        <v>176</v>
      </c>
      <c r="B903" t="inlineStr">
        <is>
          <t>The Cavern</t>
        </is>
      </c>
      <c r="C903" s="27" t="n">
        <v>46076</v>
      </c>
      <c r="D903" t="n">
        <v>0</v>
      </c>
      <c r="E903" t="inlineStr">
        <is>
          <t>APP</t>
        </is>
      </c>
    </row>
    <row r="904">
      <c r="A904" t="n">
        <v>176</v>
      </c>
      <c r="B904" t="inlineStr">
        <is>
          <t>The Cavern</t>
        </is>
      </c>
      <c r="C904" s="27" t="n">
        <v>46076</v>
      </c>
      <c r="D904" t="n">
        <v>0</v>
      </c>
      <c r="E904" t="inlineStr">
        <is>
          <t>DINHEIRO</t>
        </is>
      </c>
    </row>
    <row r="905">
      <c r="A905" t="n">
        <v>176</v>
      </c>
      <c r="B905" t="inlineStr">
        <is>
          <t>The Cavern</t>
        </is>
      </c>
      <c r="C905" s="27" t="n">
        <v>46076</v>
      </c>
      <c r="D905" t="n">
        <v>3370.83</v>
      </c>
      <c r="E905" t="inlineStr">
        <is>
          <t>CRÉDITO</t>
        </is>
      </c>
    </row>
    <row r="906">
      <c r="A906" t="n">
        <v>176</v>
      </c>
      <c r="B906" t="inlineStr">
        <is>
          <t>The Cavern</t>
        </is>
      </c>
      <c r="C906" s="27" t="n">
        <v>46076</v>
      </c>
      <c r="D906" t="n">
        <v>0</v>
      </c>
      <c r="E906" t="inlineStr">
        <is>
          <t>VOUCHER INTEGRADO</t>
        </is>
      </c>
    </row>
    <row r="907">
      <c r="A907" t="n">
        <v>176</v>
      </c>
      <c r="B907" t="inlineStr">
        <is>
          <t>The Cavern</t>
        </is>
      </c>
      <c r="C907" s="27" t="n">
        <v>46076</v>
      </c>
      <c r="D907" t="n">
        <v>0</v>
      </c>
      <c r="E907" t="inlineStr">
        <is>
          <t>PIX</t>
        </is>
      </c>
    </row>
    <row r="908">
      <c r="A908" t="n">
        <v>176</v>
      </c>
      <c r="B908" t="inlineStr">
        <is>
          <t>The Cavern</t>
        </is>
      </c>
      <c r="C908" s="27" t="n">
        <v>46076</v>
      </c>
      <c r="D908" t="n">
        <v>0</v>
      </c>
      <c r="E908" t="inlineStr">
        <is>
          <t>IFOOD</t>
        </is>
      </c>
    </row>
    <row r="909">
      <c r="A909" t="n">
        <v>176</v>
      </c>
      <c r="B909" t="inlineStr">
        <is>
          <t>The Cavern</t>
        </is>
      </c>
      <c r="C909" s="27" t="n">
        <v>46076</v>
      </c>
      <c r="D909" t="n">
        <v>0</v>
      </c>
      <c r="E909" t="inlineStr">
        <is>
          <t>DELIVERY ONLINE</t>
        </is>
      </c>
    </row>
    <row r="910">
      <c r="A910" t="n">
        <v>176</v>
      </c>
      <c r="B910" t="inlineStr">
        <is>
          <t>The Cavern</t>
        </is>
      </c>
      <c r="C910" s="27" t="n">
        <v>46076</v>
      </c>
      <c r="D910" t="n">
        <v>0</v>
      </c>
      <c r="E910" t="inlineStr">
        <is>
          <t>APP</t>
        </is>
      </c>
    </row>
    <row r="911">
      <c r="A911" t="n">
        <v>176</v>
      </c>
      <c r="B911" t="inlineStr">
        <is>
          <t>The Cavern</t>
        </is>
      </c>
      <c r="C911" s="27" t="n">
        <v>46076</v>
      </c>
      <c r="D911" t="n">
        <v>0</v>
      </c>
      <c r="E911" t="inlineStr">
        <is>
          <t>DINHEIRO</t>
        </is>
      </c>
    </row>
    <row r="912">
      <c r="A912" t="n">
        <v>176</v>
      </c>
      <c r="B912" t="inlineStr">
        <is>
          <t>The Cavern</t>
        </is>
      </c>
      <c r="C912" s="27" t="n">
        <v>46076</v>
      </c>
      <c r="D912" t="n">
        <v>2500.69</v>
      </c>
      <c r="E912" t="inlineStr">
        <is>
          <t>CRÉDITO</t>
        </is>
      </c>
    </row>
    <row r="913">
      <c r="A913" t="n">
        <v>176</v>
      </c>
      <c r="B913" t="inlineStr">
        <is>
          <t>The Cavern</t>
        </is>
      </c>
      <c r="C913" s="27" t="n">
        <v>46076</v>
      </c>
      <c r="D913" t="n">
        <v>0</v>
      </c>
      <c r="E913" t="inlineStr">
        <is>
          <t>RAPPI</t>
        </is>
      </c>
    </row>
    <row r="914">
      <c r="A914" t="n">
        <v>176</v>
      </c>
      <c r="B914" t="inlineStr">
        <is>
          <t>The Cavern</t>
        </is>
      </c>
      <c r="C914" s="27" t="n">
        <v>46075</v>
      </c>
      <c r="D914" t="n">
        <v>0</v>
      </c>
      <c r="E914" t="inlineStr">
        <is>
          <t>DELIVERY ONLINE</t>
        </is>
      </c>
    </row>
    <row r="915">
      <c r="A915" t="n">
        <v>176</v>
      </c>
      <c r="B915" t="inlineStr">
        <is>
          <t>The Cavern</t>
        </is>
      </c>
      <c r="C915" s="27" t="n">
        <v>46075</v>
      </c>
      <c r="D915" t="n">
        <v>0</v>
      </c>
      <c r="E915" t="inlineStr">
        <is>
          <t>APP</t>
        </is>
      </c>
    </row>
    <row r="916">
      <c r="A916" t="n">
        <v>176</v>
      </c>
      <c r="B916" t="inlineStr">
        <is>
          <t>The Cavern</t>
        </is>
      </c>
      <c r="C916" s="27" t="n">
        <v>46075</v>
      </c>
      <c r="D916" t="n">
        <v>0</v>
      </c>
      <c r="E916" t="inlineStr">
        <is>
          <t>APP</t>
        </is>
      </c>
    </row>
    <row r="917">
      <c r="A917" t="n">
        <v>176</v>
      </c>
      <c r="B917" t="inlineStr">
        <is>
          <t>The Cavern</t>
        </is>
      </c>
      <c r="C917" s="27" t="n">
        <v>46075</v>
      </c>
      <c r="D917" t="n">
        <v>0</v>
      </c>
      <c r="E917" t="inlineStr">
        <is>
          <t>DINHEIRO</t>
        </is>
      </c>
    </row>
    <row r="918">
      <c r="A918" t="n">
        <v>176</v>
      </c>
      <c r="B918" t="inlineStr">
        <is>
          <t>The Cavern</t>
        </is>
      </c>
      <c r="C918" s="27" t="n">
        <v>46075</v>
      </c>
      <c r="D918" t="n">
        <v>818.6799999999999</v>
      </c>
      <c r="E918" t="inlineStr">
        <is>
          <t>CRÉDITO</t>
        </is>
      </c>
    </row>
    <row r="919">
      <c r="A919" t="n">
        <v>176</v>
      </c>
      <c r="B919" t="inlineStr">
        <is>
          <t>The Cavern</t>
        </is>
      </c>
      <c r="C919" s="27" t="n">
        <v>46075</v>
      </c>
      <c r="D919" t="n">
        <v>0</v>
      </c>
      <c r="E919" t="inlineStr">
        <is>
          <t>UBER</t>
        </is>
      </c>
    </row>
    <row r="920">
      <c r="A920" t="n">
        <v>176</v>
      </c>
      <c r="B920" t="inlineStr">
        <is>
          <t>The Cavern</t>
        </is>
      </c>
      <c r="C920" s="27" t="n">
        <v>46075</v>
      </c>
      <c r="D920" t="n">
        <v>0</v>
      </c>
      <c r="E920" t="inlineStr">
        <is>
          <t>RAPPI</t>
        </is>
      </c>
    </row>
    <row r="921">
      <c r="A921" t="n">
        <v>176</v>
      </c>
      <c r="B921" t="inlineStr">
        <is>
          <t>The Cavern</t>
        </is>
      </c>
      <c r="C921" s="27" t="n">
        <v>46075</v>
      </c>
      <c r="D921" t="n">
        <v>143.51</v>
      </c>
      <c r="E921" t="inlineStr">
        <is>
          <t>PIX</t>
        </is>
      </c>
    </row>
    <row r="922">
      <c r="A922" t="n">
        <v>176</v>
      </c>
      <c r="B922" t="inlineStr">
        <is>
          <t>The Cavern</t>
        </is>
      </c>
      <c r="C922" s="27" t="n">
        <v>46075</v>
      </c>
      <c r="D922" t="n">
        <v>0</v>
      </c>
      <c r="E922" t="inlineStr">
        <is>
          <t>IFOOD</t>
        </is>
      </c>
    </row>
    <row r="923">
      <c r="A923" t="n">
        <v>176</v>
      </c>
      <c r="B923" t="inlineStr">
        <is>
          <t>The Cavern</t>
        </is>
      </c>
      <c r="C923" s="27" t="n">
        <v>46075</v>
      </c>
      <c r="D923" t="n">
        <v>0</v>
      </c>
      <c r="E923" t="inlineStr">
        <is>
          <t>DELIVERY ONLINE</t>
        </is>
      </c>
    </row>
    <row r="924">
      <c r="A924" t="n">
        <v>176</v>
      </c>
      <c r="B924" t="inlineStr">
        <is>
          <t>The Cavern</t>
        </is>
      </c>
      <c r="C924" s="27" t="n">
        <v>46075</v>
      </c>
      <c r="D924" t="n">
        <v>0</v>
      </c>
      <c r="E924" t="inlineStr">
        <is>
          <t>OUTROS</t>
        </is>
      </c>
    </row>
    <row r="925">
      <c r="A925" t="n">
        <v>176</v>
      </c>
      <c r="B925" t="inlineStr">
        <is>
          <t>The Cavern</t>
        </is>
      </c>
      <c r="C925" s="27" t="n">
        <v>46075</v>
      </c>
      <c r="D925" t="n">
        <v>0</v>
      </c>
      <c r="E925" t="inlineStr">
        <is>
          <t>IFOOD</t>
        </is>
      </c>
    </row>
    <row r="926">
      <c r="A926" t="n">
        <v>176</v>
      </c>
      <c r="B926" t="inlineStr">
        <is>
          <t>The Cavern</t>
        </is>
      </c>
      <c r="C926" s="27" t="n">
        <v>46075</v>
      </c>
      <c r="D926" t="n">
        <v>172.89</v>
      </c>
      <c r="E926" t="inlineStr">
        <is>
          <t>PIX</t>
        </is>
      </c>
    </row>
    <row r="927">
      <c r="A927" t="n">
        <v>176</v>
      </c>
      <c r="B927" t="inlineStr">
        <is>
          <t>The Cavern</t>
        </is>
      </c>
      <c r="C927" s="27" t="n">
        <v>46075</v>
      </c>
      <c r="D927" t="n">
        <v>0</v>
      </c>
      <c r="E927" t="inlineStr">
        <is>
          <t>RAPPI</t>
        </is>
      </c>
    </row>
    <row r="928">
      <c r="A928" t="n">
        <v>176</v>
      </c>
      <c r="B928" t="inlineStr">
        <is>
          <t>The Cavern</t>
        </is>
      </c>
      <c r="C928" s="27" t="n">
        <v>46075</v>
      </c>
      <c r="D928" t="n">
        <v>0</v>
      </c>
      <c r="E928" t="inlineStr">
        <is>
          <t>UBER</t>
        </is>
      </c>
    </row>
    <row r="929">
      <c r="A929" t="n">
        <v>176</v>
      </c>
      <c r="B929" t="inlineStr">
        <is>
          <t>The Cavern</t>
        </is>
      </c>
      <c r="C929" s="27" t="n">
        <v>46075</v>
      </c>
      <c r="D929" t="n">
        <v>0</v>
      </c>
      <c r="E929" t="inlineStr">
        <is>
          <t>ANTECIPADO</t>
        </is>
      </c>
    </row>
    <row r="930">
      <c r="A930" t="n">
        <v>176</v>
      </c>
      <c r="B930" t="inlineStr">
        <is>
          <t>The Cavern</t>
        </is>
      </c>
      <c r="C930" s="27" t="n">
        <v>46075</v>
      </c>
      <c r="D930" t="n">
        <v>0</v>
      </c>
      <c r="E930" t="inlineStr">
        <is>
          <t>VOUCHER</t>
        </is>
      </c>
    </row>
    <row r="931">
      <c r="A931" t="n">
        <v>176</v>
      </c>
      <c r="B931" t="inlineStr">
        <is>
          <t>The Cavern</t>
        </is>
      </c>
      <c r="C931" s="27" t="n">
        <v>46075</v>
      </c>
      <c r="D931" t="n">
        <v>877.4400000000001</v>
      </c>
      <c r="E931" t="inlineStr">
        <is>
          <t>DÉBITO</t>
        </is>
      </c>
    </row>
    <row r="932">
      <c r="A932" t="n">
        <v>176</v>
      </c>
      <c r="B932" t="inlineStr">
        <is>
          <t>The Cavern</t>
        </is>
      </c>
      <c r="C932" s="27" t="n">
        <v>46075</v>
      </c>
      <c r="D932" t="n">
        <v>0</v>
      </c>
      <c r="E932" t="inlineStr">
        <is>
          <t>BÔNUS</t>
        </is>
      </c>
    </row>
    <row r="933">
      <c r="A933" t="n">
        <v>176</v>
      </c>
      <c r="B933" t="inlineStr">
        <is>
          <t>The Cavern</t>
        </is>
      </c>
      <c r="C933" s="27" t="n">
        <v>46075</v>
      </c>
      <c r="D933" t="n">
        <v>0</v>
      </c>
      <c r="E933" t="inlineStr">
        <is>
          <t>ANTECIPADO</t>
        </is>
      </c>
    </row>
    <row r="934">
      <c r="A934" t="n">
        <v>176</v>
      </c>
      <c r="B934" t="inlineStr">
        <is>
          <t>The Cavern</t>
        </is>
      </c>
      <c r="C934" s="27" t="n">
        <v>46075</v>
      </c>
      <c r="D934" t="n">
        <v>0</v>
      </c>
      <c r="E934" t="inlineStr">
        <is>
          <t>AME</t>
        </is>
      </c>
    </row>
    <row r="935">
      <c r="A935" t="n">
        <v>176</v>
      </c>
      <c r="B935" t="inlineStr">
        <is>
          <t>The Cavern</t>
        </is>
      </c>
      <c r="C935" s="27" t="n">
        <v>46075</v>
      </c>
      <c r="D935" t="n">
        <v>0</v>
      </c>
      <c r="E935" t="inlineStr">
        <is>
          <t>ANTECIPADO</t>
        </is>
      </c>
    </row>
    <row r="936">
      <c r="A936" t="n">
        <v>176</v>
      </c>
      <c r="B936" t="inlineStr">
        <is>
          <t>The Cavern</t>
        </is>
      </c>
      <c r="C936" s="27" t="n">
        <v>46075</v>
      </c>
      <c r="D936" t="n">
        <v>0</v>
      </c>
      <c r="E936" t="inlineStr">
        <is>
          <t>APP</t>
        </is>
      </c>
    </row>
    <row r="937">
      <c r="A937" t="n">
        <v>176</v>
      </c>
      <c r="B937" t="inlineStr">
        <is>
          <t>The Cavern</t>
        </is>
      </c>
      <c r="C937" s="27" t="n">
        <v>46075</v>
      </c>
      <c r="D937" t="n">
        <v>0</v>
      </c>
      <c r="E937" t="inlineStr">
        <is>
          <t>DELIVERY ONLINE</t>
        </is>
      </c>
    </row>
    <row r="938">
      <c r="A938" t="n">
        <v>176</v>
      </c>
      <c r="B938" t="inlineStr">
        <is>
          <t>The Cavern</t>
        </is>
      </c>
      <c r="C938" s="27" t="n">
        <v>46075</v>
      </c>
      <c r="D938" t="n">
        <v>0</v>
      </c>
      <c r="E938" t="inlineStr">
        <is>
          <t>IFOOD</t>
        </is>
      </c>
    </row>
    <row r="939">
      <c r="A939" t="n">
        <v>176</v>
      </c>
      <c r="B939" t="inlineStr">
        <is>
          <t>The Cavern</t>
        </is>
      </c>
      <c r="C939" s="27" t="n">
        <v>46075</v>
      </c>
      <c r="D939" t="n">
        <v>0</v>
      </c>
      <c r="E939" t="inlineStr">
        <is>
          <t>PIX</t>
        </is>
      </c>
    </row>
    <row r="940">
      <c r="A940" t="n">
        <v>176</v>
      </c>
      <c r="B940" t="inlineStr">
        <is>
          <t>The Cavern</t>
        </is>
      </c>
      <c r="C940" s="27" t="n">
        <v>46075</v>
      </c>
      <c r="D940" t="n">
        <v>0</v>
      </c>
      <c r="E940" t="inlineStr">
        <is>
          <t>RAPPI</t>
        </is>
      </c>
    </row>
    <row r="941">
      <c r="A941" t="n">
        <v>176</v>
      </c>
      <c r="B941" t="inlineStr">
        <is>
          <t>The Cavern</t>
        </is>
      </c>
      <c r="C941" s="27" t="n">
        <v>46075</v>
      </c>
      <c r="D941" t="n">
        <v>0</v>
      </c>
      <c r="E941" t="inlineStr">
        <is>
          <t>UBER</t>
        </is>
      </c>
    </row>
    <row r="942">
      <c r="A942" t="n">
        <v>176</v>
      </c>
      <c r="B942" t="inlineStr">
        <is>
          <t>The Cavern</t>
        </is>
      </c>
      <c r="C942" s="27" t="n">
        <v>46075</v>
      </c>
      <c r="D942" t="n">
        <v>0</v>
      </c>
      <c r="E942" t="inlineStr">
        <is>
          <t>ANTECIPADO</t>
        </is>
      </c>
    </row>
    <row r="943">
      <c r="A943" t="n">
        <v>176</v>
      </c>
      <c r="B943" t="inlineStr">
        <is>
          <t>The Cavern</t>
        </is>
      </c>
      <c r="C943" s="27" t="n">
        <v>46075</v>
      </c>
      <c r="D943" t="n">
        <v>0</v>
      </c>
      <c r="E943" t="inlineStr">
        <is>
          <t>VOUCHER</t>
        </is>
      </c>
    </row>
    <row r="944">
      <c r="A944" t="n">
        <v>176</v>
      </c>
      <c r="B944" t="inlineStr">
        <is>
          <t>The Cavern</t>
        </is>
      </c>
      <c r="C944" s="27" t="n">
        <v>46075</v>
      </c>
      <c r="D944" t="n">
        <v>0</v>
      </c>
      <c r="E944" t="inlineStr">
        <is>
          <t>DÉBITO</t>
        </is>
      </c>
    </row>
    <row r="945">
      <c r="A945" t="n">
        <v>176</v>
      </c>
      <c r="B945" t="inlineStr">
        <is>
          <t>The Cavern</t>
        </is>
      </c>
      <c r="C945" s="27" t="n">
        <v>46075</v>
      </c>
      <c r="D945" t="n">
        <v>0</v>
      </c>
      <c r="E945" t="inlineStr">
        <is>
          <t>BÔNUS</t>
        </is>
      </c>
    </row>
    <row r="946">
      <c r="A946" t="n">
        <v>176</v>
      </c>
      <c r="B946" t="inlineStr">
        <is>
          <t>The Cavern</t>
        </is>
      </c>
      <c r="C946" s="27" t="n">
        <v>46075</v>
      </c>
      <c r="D946" t="n">
        <v>0</v>
      </c>
      <c r="E946" t="inlineStr">
        <is>
          <t>DINHEIRO</t>
        </is>
      </c>
    </row>
    <row r="947">
      <c r="A947" t="n">
        <v>176</v>
      </c>
      <c r="B947" t="inlineStr">
        <is>
          <t>The Cavern</t>
        </is>
      </c>
      <c r="C947" s="27" t="n">
        <v>46075</v>
      </c>
      <c r="D947" t="n">
        <v>0</v>
      </c>
      <c r="E947" t="inlineStr">
        <is>
          <t>OUTROS</t>
        </is>
      </c>
    </row>
    <row r="948">
      <c r="A948" t="n">
        <v>176</v>
      </c>
      <c r="B948" t="inlineStr">
        <is>
          <t>The Cavern</t>
        </is>
      </c>
      <c r="C948" s="27" t="n">
        <v>46075</v>
      </c>
      <c r="D948" t="n">
        <v>0</v>
      </c>
      <c r="E948" t="inlineStr">
        <is>
          <t>AME</t>
        </is>
      </c>
    </row>
    <row r="949">
      <c r="A949" t="n">
        <v>176</v>
      </c>
      <c r="B949" t="inlineStr">
        <is>
          <t>The Cavern</t>
        </is>
      </c>
      <c r="C949" s="27" t="n">
        <v>46075</v>
      </c>
      <c r="D949" t="n">
        <v>0</v>
      </c>
      <c r="E949" t="inlineStr">
        <is>
          <t>NOTAS MANUAIS + SERVIÇO</t>
        </is>
      </c>
    </row>
    <row r="950">
      <c r="A950" t="n">
        <v>176</v>
      </c>
      <c r="B950" t="inlineStr">
        <is>
          <t>The Cavern</t>
        </is>
      </c>
      <c r="C950" s="27" t="n">
        <v>46075</v>
      </c>
      <c r="D950" t="n">
        <v>0</v>
      </c>
      <c r="E950" t="inlineStr">
        <is>
          <t>RECARGAS DEVOLVIDAS</t>
        </is>
      </c>
    </row>
    <row r="951">
      <c r="A951" t="n">
        <v>176</v>
      </c>
      <c r="B951" t="inlineStr">
        <is>
          <t>The Cavern</t>
        </is>
      </c>
      <c r="C951" s="27" t="n">
        <v>46075</v>
      </c>
      <c r="D951" t="n">
        <v>0</v>
      </c>
      <c r="E951" t="inlineStr">
        <is>
          <t>DINHEIRO</t>
        </is>
      </c>
    </row>
    <row r="952">
      <c r="A952" t="n">
        <v>176</v>
      </c>
      <c r="B952" t="inlineStr">
        <is>
          <t>The Cavern</t>
        </is>
      </c>
      <c r="C952" s="27" t="n">
        <v>46075</v>
      </c>
      <c r="D952" t="n">
        <v>0</v>
      </c>
      <c r="E952" t="inlineStr">
        <is>
          <t>CRÉDITO</t>
        </is>
      </c>
    </row>
    <row r="953">
      <c r="A953" t="n">
        <v>176</v>
      </c>
      <c r="B953" t="inlineStr">
        <is>
          <t>The Cavern</t>
        </is>
      </c>
      <c r="C953" s="27" t="n">
        <v>46075</v>
      </c>
      <c r="D953" t="n">
        <v>0</v>
      </c>
      <c r="E953" t="inlineStr">
        <is>
          <t>VOUCHER INTEGRADO</t>
        </is>
      </c>
    </row>
    <row r="954">
      <c r="A954" t="n">
        <v>176</v>
      </c>
      <c r="B954" t="inlineStr">
        <is>
          <t>The Cavern</t>
        </is>
      </c>
      <c r="C954" s="27" t="n">
        <v>46075</v>
      </c>
      <c r="D954" t="n">
        <v>0</v>
      </c>
      <c r="E954" t="inlineStr">
        <is>
          <t>MBWAY</t>
        </is>
      </c>
    </row>
    <row r="955">
      <c r="A955" t="n">
        <v>176</v>
      </c>
      <c r="B955" t="inlineStr">
        <is>
          <t>The Cavern</t>
        </is>
      </c>
      <c r="C955" s="27" t="n">
        <v>46075</v>
      </c>
      <c r="D955" t="n">
        <v>133.34</v>
      </c>
      <c r="E955" t="inlineStr">
        <is>
          <t>CRÉDITO</t>
        </is>
      </c>
    </row>
    <row r="956">
      <c r="A956" t="n">
        <v>176</v>
      </c>
      <c r="B956" t="inlineStr">
        <is>
          <t>The Cavern</t>
        </is>
      </c>
      <c r="C956" s="27" t="n">
        <v>46075</v>
      </c>
      <c r="D956" t="n">
        <v>0</v>
      </c>
      <c r="E956" t="inlineStr">
        <is>
          <t>VOUCHER INTEGRADO</t>
        </is>
      </c>
    </row>
    <row r="957">
      <c r="A957" t="n">
        <v>176</v>
      </c>
      <c r="B957" t="inlineStr">
        <is>
          <t>The Cavern</t>
        </is>
      </c>
      <c r="C957" s="27" t="n">
        <v>46075</v>
      </c>
      <c r="D957" t="n">
        <v>0</v>
      </c>
      <c r="E957" t="inlineStr">
        <is>
          <t>VOUCHER</t>
        </is>
      </c>
    </row>
    <row r="958">
      <c r="A958" t="n">
        <v>176</v>
      </c>
      <c r="B958" t="inlineStr">
        <is>
          <t>The Cavern</t>
        </is>
      </c>
      <c r="C958" s="27" t="n">
        <v>46075</v>
      </c>
      <c r="D958" t="n">
        <v>21.47</v>
      </c>
      <c r="E958" t="inlineStr">
        <is>
          <t>DÉBITO</t>
        </is>
      </c>
    </row>
    <row r="959">
      <c r="A959" t="n">
        <v>176</v>
      </c>
      <c r="B959" t="inlineStr">
        <is>
          <t>The Cavern</t>
        </is>
      </c>
      <c r="C959" s="27" t="n">
        <v>46075</v>
      </c>
      <c r="D959" t="n">
        <v>0</v>
      </c>
      <c r="E959" t="inlineStr">
        <is>
          <t>BÔNUS</t>
        </is>
      </c>
    </row>
    <row r="960">
      <c r="A960" t="n">
        <v>176</v>
      </c>
      <c r="B960" t="inlineStr">
        <is>
          <t>The Cavern</t>
        </is>
      </c>
      <c r="C960" s="27" t="n">
        <v>46075</v>
      </c>
      <c r="D960" t="n">
        <v>0</v>
      </c>
      <c r="E960" t="inlineStr">
        <is>
          <t>ANTECIPADO</t>
        </is>
      </c>
    </row>
    <row r="961">
      <c r="A961" t="n">
        <v>176</v>
      </c>
      <c r="B961" t="inlineStr">
        <is>
          <t>The Cavern</t>
        </is>
      </c>
      <c r="C961" s="27" t="n">
        <v>46075</v>
      </c>
      <c r="D961" t="n">
        <v>0</v>
      </c>
      <c r="E961" t="inlineStr">
        <is>
          <t>OUTROS</t>
        </is>
      </c>
    </row>
    <row r="962">
      <c r="A962" t="n">
        <v>176</v>
      </c>
      <c r="B962" t="inlineStr">
        <is>
          <t>The Cavern</t>
        </is>
      </c>
      <c r="C962" s="27" t="n">
        <v>46075</v>
      </c>
      <c r="D962" t="n">
        <v>0</v>
      </c>
      <c r="E962" t="inlineStr">
        <is>
          <t>AME</t>
        </is>
      </c>
    </row>
    <row r="963">
      <c r="A963" t="n">
        <v>176</v>
      </c>
      <c r="B963" t="inlineStr">
        <is>
          <t>The Cavern</t>
        </is>
      </c>
      <c r="C963" s="27" t="n">
        <v>46075</v>
      </c>
      <c r="D963" t="n">
        <v>0</v>
      </c>
      <c r="E963" t="inlineStr">
        <is>
          <t>NOTAS MANUAIS + SERVIÇO</t>
        </is>
      </c>
    </row>
    <row r="964">
      <c r="A964" t="n">
        <v>176</v>
      </c>
      <c r="B964" t="inlineStr">
        <is>
          <t>The Cavern</t>
        </is>
      </c>
      <c r="C964" s="27" t="n">
        <v>46075</v>
      </c>
      <c r="D964" t="n">
        <v>0</v>
      </c>
      <c r="E964" t="inlineStr">
        <is>
          <t>RECARGAS DEVOLVIDAS</t>
        </is>
      </c>
    </row>
    <row r="965">
      <c r="A965" t="n">
        <v>176</v>
      </c>
      <c r="B965" t="inlineStr">
        <is>
          <t>The Cavern</t>
        </is>
      </c>
      <c r="C965" s="27" t="n">
        <v>46075</v>
      </c>
      <c r="D965" t="n">
        <v>0</v>
      </c>
      <c r="E965" t="inlineStr">
        <is>
          <t>MBWAY</t>
        </is>
      </c>
    </row>
    <row r="966">
      <c r="A966" t="n">
        <v>176</v>
      </c>
      <c r="B966" t="inlineStr">
        <is>
          <t>The Cavern</t>
        </is>
      </c>
      <c r="C966" s="27" t="n">
        <v>46075</v>
      </c>
      <c r="D966" t="n">
        <v>0</v>
      </c>
      <c r="E966" t="inlineStr">
        <is>
          <t>ANTECIPADO</t>
        </is>
      </c>
    </row>
    <row r="967">
      <c r="A967" t="n">
        <v>176</v>
      </c>
      <c r="B967" t="inlineStr">
        <is>
          <t>The Cavern</t>
        </is>
      </c>
      <c r="C967" s="27" t="n">
        <v>46075</v>
      </c>
      <c r="D967" t="n">
        <v>0</v>
      </c>
      <c r="E967" t="inlineStr">
        <is>
          <t>NOTAS MANUAIS + SERVIÇO</t>
        </is>
      </c>
    </row>
    <row r="968">
      <c r="A968" t="n">
        <v>176</v>
      </c>
      <c r="B968" t="inlineStr">
        <is>
          <t>The Cavern</t>
        </is>
      </c>
      <c r="C968" s="27" t="n">
        <v>46075</v>
      </c>
      <c r="D968" t="n">
        <v>0</v>
      </c>
      <c r="E968" t="inlineStr">
        <is>
          <t>MBWAY</t>
        </is>
      </c>
    </row>
    <row r="969">
      <c r="A969" t="n">
        <v>176</v>
      </c>
      <c r="B969" t="inlineStr">
        <is>
          <t>The Cavern</t>
        </is>
      </c>
      <c r="C969" s="27" t="n">
        <v>46075</v>
      </c>
      <c r="D969" t="n">
        <v>0</v>
      </c>
      <c r="E969" t="inlineStr">
        <is>
          <t>VOUCHER INTEGRADO</t>
        </is>
      </c>
    </row>
    <row r="970">
      <c r="A970" t="n">
        <v>176</v>
      </c>
      <c r="B970" t="inlineStr">
        <is>
          <t>The Cavern</t>
        </is>
      </c>
      <c r="C970" s="27" t="n">
        <v>46075</v>
      </c>
      <c r="D970" t="n">
        <v>0</v>
      </c>
      <c r="E970" t="inlineStr">
        <is>
          <t>RECARGAS DEVOLVIDAS</t>
        </is>
      </c>
    </row>
    <row r="971">
      <c r="A971" t="n">
        <v>176</v>
      </c>
      <c r="B971" t="inlineStr">
        <is>
          <t>The Cavern</t>
        </is>
      </c>
      <c r="C971" s="27" t="n">
        <v>46074</v>
      </c>
      <c r="D971" t="n">
        <v>0</v>
      </c>
      <c r="E971" t="inlineStr">
        <is>
          <t>OUTROS</t>
        </is>
      </c>
    </row>
    <row r="972">
      <c r="A972" t="n">
        <v>176</v>
      </c>
      <c r="B972" t="inlineStr">
        <is>
          <t>The Cavern</t>
        </is>
      </c>
      <c r="C972" s="27" t="n">
        <v>46074</v>
      </c>
      <c r="D972" t="n">
        <v>0</v>
      </c>
      <c r="E972" t="inlineStr">
        <is>
          <t>ANTECIPADO</t>
        </is>
      </c>
    </row>
    <row r="973">
      <c r="A973" t="n">
        <v>176</v>
      </c>
      <c r="B973" t="inlineStr">
        <is>
          <t>The Cavern</t>
        </is>
      </c>
      <c r="C973" s="27" t="n">
        <v>46074</v>
      </c>
      <c r="D973" t="n">
        <v>0</v>
      </c>
      <c r="E973" t="inlineStr">
        <is>
          <t>VOUCHER</t>
        </is>
      </c>
    </row>
    <row r="974">
      <c r="A974" t="n">
        <v>176</v>
      </c>
      <c r="B974" t="inlineStr">
        <is>
          <t>The Cavern</t>
        </is>
      </c>
      <c r="C974" s="27" t="n">
        <v>46074</v>
      </c>
      <c r="D974" t="n">
        <v>0</v>
      </c>
      <c r="E974" t="inlineStr">
        <is>
          <t>BÔNUS</t>
        </is>
      </c>
    </row>
    <row r="975">
      <c r="A975" t="n">
        <v>176</v>
      </c>
      <c r="B975" t="inlineStr">
        <is>
          <t>The Cavern</t>
        </is>
      </c>
      <c r="C975" s="27" t="n">
        <v>46074</v>
      </c>
      <c r="D975" t="n">
        <v>0</v>
      </c>
      <c r="E975" t="inlineStr">
        <is>
          <t>DÉBITO</t>
        </is>
      </c>
    </row>
    <row r="976">
      <c r="A976" t="n">
        <v>176</v>
      </c>
      <c r="B976" t="inlineStr">
        <is>
          <t>The Cavern</t>
        </is>
      </c>
      <c r="C976" s="27" t="n">
        <v>46074</v>
      </c>
      <c r="D976" t="n">
        <v>0</v>
      </c>
      <c r="E976" t="inlineStr">
        <is>
          <t>RAPPI</t>
        </is>
      </c>
    </row>
    <row r="977">
      <c r="A977" t="n">
        <v>176</v>
      </c>
      <c r="B977" t="inlineStr">
        <is>
          <t>The Cavern</t>
        </is>
      </c>
      <c r="C977" s="27" t="n">
        <v>46074</v>
      </c>
      <c r="D977" t="n">
        <v>0</v>
      </c>
      <c r="E977" t="inlineStr">
        <is>
          <t>AME</t>
        </is>
      </c>
    </row>
    <row r="978">
      <c r="A978" t="n">
        <v>176</v>
      </c>
      <c r="B978" t="inlineStr">
        <is>
          <t>The Cavern</t>
        </is>
      </c>
      <c r="C978" s="27" t="n">
        <v>46074</v>
      </c>
      <c r="D978" t="n">
        <v>0</v>
      </c>
      <c r="E978" t="inlineStr">
        <is>
          <t>NOTAS MANUAIS + SERVIÇO</t>
        </is>
      </c>
    </row>
    <row r="979">
      <c r="A979" t="n">
        <v>176</v>
      </c>
      <c r="B979" t="inlineStr">
        <is>
          <t>The Cavern</t>
        </is>
      </c>
      <c r="C979" s="27" t="n">
        <v>46074</v>
      </c>
      <c r="D979" t="n">
        <v>0</v>
      </c>
      <c r="E979" t="inlineStr">
        <is>
          <t>RECARGAS DEVOLVIDAS</t>
        </is>
      </c>
    </row>
    <row r="980">
      <c r="A980" t="n">
        <v>176</v>
      </c>
      <c r="B980" t="inlineStr">
        <is>
          <t>The Cavern</t>
        </is>
      </c>
      <c r="C980" s="27" t="n">
        <v>46074</v>
      </c>
      <c r="D980" t="n">
        <v>0</v>
      </c>
      <c r="E980" t="inlineStr">
        <is>
          <t>DELIVERY ONLINE</t>
        </is>
      </c>
    </row>
    <row r="981">
      <c r="A981" t="n">
        <v>176</v>
      </c>
      <c r="B981" t="inlineStr">
        <is>
          <t>The Cavern</t>
        </is>
      </c>
      <c r="C981" s="27" t="n">
        <v>46074</v>
      </c>
      <c r="D981" t="n">
        <v>0</v>
      </c>
      <c r="E981" t="inlineStr">
        <is>
          <t>APP</t>
        </is>
      </c>
    </row>
    <row r="982">
      <c r="A982" t="n">
        <v>176</v>
      </c>
      <c r="B982" t="inlineStr">
        <is>
          <t>The Cavern</t>
        </is>
      </c>
      <c r="C982" s="27" t="n">
        <v>46074</v>
      </c>
      <c r="D982" t="n">
        <v>0</v>
      </c>
      <c r="E982" t="inlineStr">
        <is>
          <t>DINHEIRO</t>
        </is>
      </c>
    </row>
    <row r="983">
      <c r="A983" t="n">
        <v>176</v>
      </c>
      <c r="B983" t="inlineStr">
        <is>
          <t>The Cavern</t>
        </is>
      </c>
      <c r="C983" s="27" t="n">
        <v>46074</v>
      </c>
      <c r="D983" t="n">
        <v>2252.71</v>
      </c>
      <c r="E983" t="inlineStr">
        <is>
          <t>CRÉDITO</t>
        </is>
      </c>
    </row>
    <row r="984">
      <c r="A984" t="n">
        <v>176</v>
      </c>
      <c r="B984" t="inlineStr">
        <is>
          <t>The Cavern</t>
        </is>
      </c>
      <c r="C984" s="27" t="n">
        <v>46074</v>
      </c>
      <c r="D984" t="n">
        <v>701.73</v>
      </c>
      <c r="E984" t="inlineStr">
        <is>
          <t>CRÉDITO</t>
        </is>
      </c>
    </row>
    <row r="985">
      <c r="A985" t="n">
        <v>176</v>
      </c>
      <c r="B985" t="inlineStr">
        <is>
          <t>The Cavern</t>
        </is>
      </c>
      <c r="C985" s="27" t="n">
        <v>46074</v>
      </c>
      <c r="D985" t="n">
        <v>0</v>
      </c>
      <c r="E985" t="inlineStr">
        <is>
          <t>MBWAY</t>
        </is>
      </c>
    </row>
    <row r="986">
      <c r="A986" t="n">
        <v>176</v>
      </c>
      <c r="B986" t="inlineStr">
        <is>
          <t>The Cavern</t>
        </is>
      </c>
      <c r="C986" s="27" t="n">
        <v>46074</v>
      </c>
      <c r="D986" t="n">
        <v>0</v>
      </c>
      <c r="E986" t="inlineStr">
        <is>
          <t>VOUCHER</t>
        </is>
      </c>
    </row>
    <row r="987">
      <c r="A987" t="n">
        <v>176</v>
      </c>
      <c r="B987" t="inlineStr">
        <is>
          <t>The Cavern</t>
        </is>
      </c>
      <c r="C987" s="27" t="n">
        <v>46074</v>
      </c>
      <c r="D987" t="n">
        <v>735.63</v>
      </c>
      <c r="E987" t="inlineStr">
        <is>
          <t>DÉBITO</t>
        </is>
      </c>
    </row>
    <row r="988">
      <c r="A988" t="n">
        <v>176</v>
      </c>
      <c r="B988" t="inlineStr">
        <is>
          <t>The Cavern</t>
        </is>
      </c>
      <c r="C988" s="27" t="n">
        <v>46074</v>
      </c>
      <c r="D988" t="n">
        <v>0</v>
      </c>
      <c r="E988" t="inlineStr">
        <is>
          <t>BÔNUS</t>
        </is>
      </c>
    </row>
    <row r="989">
      <c r="A989" t="n">
        <v>176</v>
      </c>
      <c r="B989" t="inlineStr">
        <is>
          <t>The Cavern</t>
        </is>
      </c>
      <c r="C989" s="27" t="n">
        <v>46074</v>
      </c>
      <c r="D989" t="n">
        <v>0</v>
      </c>
      <c r="E989" t="inlineStr">
        <is>
          <t>ANTECIPADO</t>
        </is>
      </c>
    </row>
    <row r="990">
      <c r="A990" t="n">
        <v>176</v>
      </c>
      <c r="B990" t="inlineStr">
        <is>
          <t>The Cavern</t>
        </is>
      </c>
      <c r="C990" s="27" t="n">
        <v>46074</v>
      </c>
      <c r="D990" t="n">
        <v>0</v>
      </c>
      <c r="E990" t="inlineStr">
        <is>
          <t>OUTROS</t>
        </is>
      </c>
    </row>
    <row r="991">
      <c r="A991" t="n">
        <v>176</v>
      </c>
      <c r="B991" t="inlineStr">
        <is>
          <t>The Cavern</t>
        </is>
      </c>
      <c r="C991" s="27" t="n">
        <v>46074</v>
      </c>
      <c r="D991" t="n">
        <v>0</v>
      </c>
      <c r="E991" t="inlineStr">
        <is>
          <t>AME</t>
        </is>
      </c>
    </row>
    <row r="992">
      <c r="A992" t="n">
        <v>176</v>
      </c>
      <c r="B992" t="inlineStr">
        <is>
          <t>The Cavern</t>
        </is>
      </c>
      <c r="C992" s="27" t="n">
        <v>46074</v>
      </c>
      <c r="D992" t="n">
        <v>0</v>
      </c>
      <c r="E992" t="inlineStr">
        <is>
          <t>NOTAS MANUAIS + SERVIÇO</t>
        </is>
      </c>
    </row>
    <row r="993">
      <c r="A993" t="n">
        <v>176</v>
      </c>
      <c r="B993" t="inlineStr">
        <is>
          <t>The Cavern</t>
        </is>
      </c>
      <c r="C993" s="27" t="n">
        <v>46074</v>
      </c>
      <c r="D993" t="n">
        <v>0</v>
      </c>
      <c r="E993" t="inlineStr">
        <is>
          <t>RECARGAS DEVOLVIDAS</t>
        </is>
      </c>
    </row>
    <row r="994">
      <c r="A994" t="n">
        <v>176</v>
      </c>
      <c r="B994" t="inlineStr">
        <is>
          <t>The Cavern</t>
        </is>
      </c>
      <c r="C994" s="27" t="n">
        <v>46074</v>
      </c>
      <c r="D994" t="n">
        <v>0</v>
      </c>
      <c r="E994" t="inlineStr">
        <is>
          <t>VOUCHER INTEGRADO</t>
        </is>
      </c>
    </row>
    <row r="995">
      <c r="A995" t="n">
        <v>176</v>
      </c>
      <c r="B995" t="inlineStr">
        <is>
          <t>The Cavern</t>
        </is>
      </c>
      <c r="C995" s="27" t="n">
        <v>46074</v>
      </c>
      <c r="D995" t="n">
        <v>0</v>
      </c>
      <c r="E995" t="inlineStr">
        <is>
          <t>MBWAY</t>
        </is>
      </c>
    </row>
    <row r="996">
      <c r="A996" t="n">
        <v>176</v>
      </c>
      <c r="B996" t="inlineStr">
        <is>
          <t>The Cavern</t>
        </is>
      </c>
      <c r="C996" s="27" t="n">
        <v>46074</v>
      </c>
      <c r="D996" t="n">
        <v>0</v>
      </c>
      <c r="E996" t="inlineStr">
        <is>
          <t>ANTECIPADO</t>
        </is>
      </c>
    </row>
    <row r="997">
      <c r="A997" t="n">
        <v>176</v>
      </c>
      <c r="B997" t="inlineStr">
        <is>
          <t>The Cavern</t>
        </is>
      </c>
      <c r="C997" s="27" t="n">
        <v>46074</v>
      </c>
      <c r="D997" t="n">
        <v>0</v>
      </c>
      <c r="E997" t="inlineStr">
        <is>
          <t>ANTECIPADO</t>
        </is>
      </c>
    </row>
    <row r="998">
      <c r="A998" t="n">
        <v>176</v>
      </c>
      <c r="B998" t="inlineStr">
        <is>
          <t>The Cavern</t>
        </is>
      </c>
      <c r="C998" s="27" t="n">
        <v>46074</v>
      </c>
      <c r="D998" t="n">
        <v>0</v>
      </c>
      <c r="E998" t="inlineStr">
        <is>
          <t>UBER</t>
        </is>
      </c>
    </row>
    <row r="999">
      <c r="A999" t="n">
        <v>176</v>
      </c>
      <c r="B999" t="inlineStr">
        <is>
          <t>The Cavern</t>
        </is>
      </c>
      <c r="C999" s="27" t="n">
        <v>46074</v>
      </c>
      <c r="D999" t="n">
        <v>0</v>
      </c>
      <c r="E999" t="inlineStr">
        <is>
          <t>RAPPI</t>
        </is>
      </c>
    </row>
    <row r="1000">
      <c r="A1000" t="n">
        <v>176</v>
      </c>
      <c r="B1000" t="inlineStr">
        <is>
          <t>The Cavern</t>
        </is>
      </c>
      <c r="C1000" s="27" t="n">
        <v>46074</v>
      </c>
      <c r="D1000" t="n">
        <v>200.01</v>
      </c>
      <c r="E1000" t="inlineStr">
        <is>
          <t>PIX</t>
        </is>
      </c>
    </row>
    <row r="1001">
      <c r="A1001" t="n">
        <v>176</v>
      </c>
      <c r="B1001" t="inlineStr">
        <is>
          <t>The Cavern</t>
        </is>
      </c>
      <c r="C1001" s="27" t="n">
        <v>46074</v>
      </c>
      <c r="D1001" t="n">
        <v>0</v>
      </c>
      <c r="E1001" t="inlineStr">
        <is>
          <t>IFOOD</t>
        </is>
      </c>
    </row>
    <row r="1002">
      <c r="A1002" t="n">
        <v>176</v>
      </c>
      <c r="B1002" t="inlineStr">
        <is>
          <t>The Cavern</t>
        </is>
      </c>
      <c r="C1002" s="27" t="n">
        <v>46074</v>
      </c>
      <c r="D1002" t="n">
        <v>409.06</v>
      </c>
      <c r="E1002" t="inlineStr">
        <is>
          <t>DINHEIRO</t>
        </is>
      </c>
    </row>
    <row r="1003">
      <c r="A1003" t="n">
        <v>176</v>
      </c>
      <c r="B1003" t="inlineStr">
        <is>
          <t>The Cavern</t>
        </is>
      </c>
      <c r="C1003" s="27" t="n">
        <v>46074</v>
      </c>
      <c r="D1003" t="n">
        <v>0</v>
      </c>
      <c r="E1003" t="inlineStr">
        <is>
          <t>APP</t>
        </is>
      </c>
    </row>
    <row r="1004">
      <c r="A1004" t="n">
        <v>176</v>
      </c>
      <c r="B1004" t="inlineStr">
        <is>
          <t>The Cavern</t>
        </is>
      </c>
      <c r="C1004" s="27" t="n">
        <v>46074</v>
      </c>
      <c r="D1004" t="n">
        <v>0</v>
      </c>
      <c r="E1004" t="inlineStr">
        <is>
          <t>DELIVERY ONLINE</t>
        </is>
      </c>
    </row>
    <row r="1005">
      <c r="A1005" t="n">
        <v>176</v>
      </c>
      <c r="B1005" t="inlineStr">
        <is>
          <t>The Cavern</t>
        </is>
      </c>
      <c r="C1005" s="27" t="n">
        <v>46074</v>
      </c>
      <c r="D1005" t="n">
        <v>0</v>
      </c>
      <c r="E1005" t="inlineStr">
        <is>
          <t>IFOOD</t>
        </is>
      </c>
    </row>
    <row r="1006">
      <c r="A1006" t="n">
        <v>176</v>
      </c>
      <c r="B1006" t="inlineStr">
        <is>
          <t>The Cavern</t>
        </is>
      </c>
      <c r="C1006" s="27" t="n">
        <v>46074</v>
      </c>
      <c r="D1006" t="n">
        <v>0</v>
      </c>
      <c r="E1006" t="inlineStr">
        <is>
          <t>PIX</t>
        </is>
      </c>
    </row>
    <row r="1007">
      <c r="A1007" t="n">
        <v>176</v>
      </c>
      <c r="B1007" t="inlineStr">
        <is>
          <t>The Cavern</t>
        </is>
      </c>
      <c r="C1007" s="27" t="n">
        <v>46074</v>
      </c>
      <c r="D1007" t="n">
        <v>0</v>
      </c>
      <c r="E1007" t="inlineStr">
        <is>
          <t>UBER</t>
        </is>
      </c>
    </row>
    <row r="1008">
      <c r="A1008" t="n">
        <v>176</v>
      </c>
      <c r="B1008" t="inlineStr">
        <is>
          <t>The Cavern</t>
        </is>
      </c>
      <c r="C1008" s="27" t="n">
        <v>46074</v>
      </c>
      <c r="D1008" t="n">
        <v>0</v>
      </c>
      <c r="E1008" t="inlineStr">
        <is>
          <t>VOUCHER INTEGRADO</t>
        </is>
      </c>
    </row>
    <row r="1009">
      <c r="A1009" t="n">
        <v>176</v>
      </c>
      <c r="B1009" t="inlineStr">
        <is>
          <t>The Cavern</t>
        </is>
      </c>
      <c r="C1009" s="27" t="n">
        <v>46073</v>
      </c>
      <c r="D1009" t="n">
        <v>0</v>
      </c>
      <c r="E1009" t="inlineStr">
        <is>
          <t>RECARGAS DEVOLVIDAS</t>
        </is>
      </c>
    </row>
    <row r="1010">
      <c r="A1010" t="n">
        <v>176</v>
      </c>
      <c r="B1010" t="inlineStr">
        <is>
          <t>The Cavern</t>
        </is>
      </c>
      <c r="C1010" s="27" t="n">
        <v>46073</v>
      </c>
      <c r="D1010" t="n">
        <v>0</v>
      </c>
      <c r="E1010" t="inlineStr">
        <is>
          <t>NOTAS MANUAIS + SERVIÇO</t>
        </is>
      </c>
    </row>
    <row r="1011">
      <c r="A1011" t="n">
        <v>176</v>
      </c>
      <c r="B1011" t="inlineStr">
        <is>
          <t>The Cavern</t>
        </is>
      </c>
      <c r="C1011" s="27" t="n">
        <v>46073</v>
      </c>
      <c r="D1011" t="n">
        <v>0</v>
      </c>
      <c r="E1011" t="inlineStr">
        <is>
          <t>RECARGAS DEVOLVIDAS</t>
        </is>
      </c>
    </row>
    <row r="1012">
      <c r="A1012" t="n">
        <v>176</v>
      </c>
      <c r="B1012" t="inlineStr">
        <is>
          <t>The Cavern</t>
        </is>
      </c>
      <c r="C1012" s="27" t="n">
        <v>46073</v>
      </c>
      <c r="D1012" t="n">
        <v>0</v>
      </c>
      <c r="E1012" t="inlineStr">
        <is>
          <t>VOUCHER INTEGRADO</t>
        </is>
      </c>
    </row>
    <row r="1013">
      <c r="A1013" t="n">
        <v>176</v>
      </c>
      <c r="B1013" t="inlineStr">
        <is>
          <t>The Cavern</t>
        </is>
      </c>
      <c r="C1013" s="27" t="n">
        <v>46073</v>
      </c>
      <c r="D1013" t="n">
        <v>0</v>
      </c>
      <c r="E1013" t="inlineStr">
        <is>
          <t>MBWAY</t>
        </is>
      </c>
    </row>
    <row r="1014">
      <c r="A1014" t="n">
        <v>176</v>
      </c>
      <c r="B1014" t="inlineStr">
        <is>
          <t>The Cavern</t>
        </is>
      </c>
      <c r="C1014" s="27" t="n">
        <v>46073</v>
      </c>
      <c r="D1014" t="n">
        <v>0</v>
      </c>
      <c r="E1014" t="inlineStr">
        <is>
          <t>APP</t>
        </is>
      </c>
    </row>
    <row r="1015">
      <c r="A1015" t="n">
        <v>176</v>
      </c>
      <c r="B1015" t="inlineStr">
        <is>
          <t>The Cavern</t>
        </is>
      </c>
      <c r="C1015" s="27" t="n">
        <v>46073</v>
      </c>
      <c r="D1015" t="n">
        <v>0</v>
      </c>
      <c r="E1015" t="inlineStr">
        <is>
          <t>DELIVERY ONLINE</t>
        </is>
      </c>
    </row>
    <row r="1016">
      <c r="A1016" t="n">
        <v>176</v>
      </c>
      <c r="B1016" t="inlineStr">
        <is>
          <t>The Cavern</t>
        </is>
      </c>
      <c r="C1016" s="27" t="n">
        <v>46073</v>
      </c>
      <c r="D1016" t="n">
        <v>0</v>
      </c>
      <c r="E1016" t="inlineStr">
        <is>
          <t>VOUCHER</t>
        </is>
      </c>
    </row>
    <row r="1017">
      <c r="A1017" t="n">
        <v>176</v>
      </c>
      <c r="B1017" t="inlineStr">
        <is>
          <t>The Cavern</t>
        </is>
      </c>
      <c r="C1017" s="27" t="n">
        <v>46073</v>
      </c>
      <c r="D1017" t="n">
        <v>0</v>
      </c>
      <c r="E1017" t="inlineStr">
        <is>
          <t>ANTECIPADO</t>
        </is>
      </c>
    </row>
    <row r="1018">
      <c r="A1018" t="n">
        <v>176</v>
      </c>
      <c r="B1018" t="inlineStr">
        <is>
          <t>The Cavern</t>
        </is>
      </c>
      <c r="C1018" s="27" t="n">
        <v>46073</v>
      </c>
      <c r="D1018" t="n">
        <v>0</v>
      </c>
      <c r="E1018" t="inlineStr">
        <is>
          <t>UBER</t>
        </is>
      </c>
    </row>
    <row r="1019">
      <c r="A1019" t="n">
        <v>176</v>
      </c>
      <c r="B1019" t="inlineStr">
        <is>
          <t>The Cavern</t>
        </is>
      </c>
      <c r="C1019" s="27" t="n">
        <v>46073</v>
      </c>
      <c r="D1019" t="n">
        <v>0</v>
      </c>
      <c r="E1019" t="inlineStr">
        <is>
          <t>RAPPI</t>
        </is>
      </c>
    </row>
    <row r="1020">
      <c r="A1020" t="n">
        <v>176</v>
      </c>
      <c r="B1020" t="inlineStr">
        <is>
          <t>The Cavern</t>
        </is>
      </c>
      <c r="C1020" s="27" t="n">
        <v>46073</v>
      </c>
      <c r="D1020" t="n">
        <v>210.18</v>
      </c>
      <c r="E1020" t="inlineStr">
        <is>
          <t>PIX</t>
        </is>
      </c>
    </row>
    <row r="1021">
      <c r="A1021" t="n">
        <v>176</v>
      </c>
      <c r="B1021" t="inlineStr">
        <is>
          <t>The Cavern</t>
        </is>
      </c>
      <c r="C1021" s="27" t="n">
        <v>46073</v>
      </c>
      <c r="D1021" t="n">
        <v>0</v>
      </c>
      <c r="E1021" t="inlineStr">
        <is>
          <t>MBWAY</t>
        </is>
      </c>
    </row>
    <row r="1022">
      <c r="A1022" t="n">
        <v>176</v>
      </c>
      <c r="B1022" t="inlineStr">
        <is>
          <t>The Cavern</t>
        </is>
      </c>
      <c r="C1022" s="27" t="n">
        <v>46073</v>
      </c>
      <c r="D1022" t="n">
        <v>0</v>
      </c>
      <c r="E1022" t="inlineStr">
        <is>
          <t>VOUCHER INTEGRADO</t>
        </is>
      </c>
    </row>
    <row r="1023">
      <c r="A1023" t="n">
        <v>176</v>
      </c>
      <c r="B1023" t="inlineStr">
        <is>
          <t>The Cavern</t>
        </is>
      </c>
      <c r="C1023" s="27" t="n">
        <v>46073</v>
      </c>
      <c r="D1023" t="n">
        <v>0</v>
      </c>
      <c r="E1023" t="inlineStr">
        <is>
          <t>DINHEIRO</t>
        </is>
      </c>
    </row>
    <row r="1024">
      <c r="A1024" t="n">
        <v>176</v>
      </c>
      <c r="B1024" t="inlineStr">
        <is>
          <t>The Cavern</t>
        </is>
      </c>
      <c r="C1024" s="27" t="n">
        <v>46073</v>
      </c>
      <c r="D1024" t="n">
        <v>0</v>
      </c>
      <c r="E1024" t="inlineStr">
        <is>
          <t>NOTAS MANUAIS + SERVIÇO</t>
        </is>
      </c>
    </row>
    <row r="1025">
      <c r="A1025" t="n">
        <v>176</v>
      </c>
      <c r="B1025" t="inlineStr">
        <is>
          <t>The Cavern</t>
        </is>
      </c>
      <c r="C1025" s="27" t="n">
        <v>46073</v>
      </c>
      <c r="D1025" t="n">
        <v>0</v>
      </c>
      <c r="E1025" t="inlineStr">
        <is>
          <t>AME</t>
        </is>
      </c>
    </row>
    <row r="1026">
      <c r="A1026" t="n">
        <v>176</v>
      </c>
      <c r="B1026" t="inlineStr">
        <is>
          <t>The Cavern</t>
        </is>
      </c>
      <c r="C1026" s="27" t="n">
        <v>46073</v>
      </c>
      <c r="D1026" t="n">
        <v>0</v>
      </c>
      <c r="E1026" t="inlineStr">
        <is>
          <t>OUTROS</t>
        </is>
      </c>
    </row>
    <row r="1027">
      <c r="A1027" t="n">
        <v>176</v>
      </c>
      <c r="B1027" t="inlineStr">
        <is>
          <t>The Cavern</t>
        </is>
      </c>
      <c r="C1027" s="27" t="n">
        <v>46073</v>
      </c>
      <c r="D1027" t="n">
        <v>0</v>
      </c>
      <c r="E1027" t="inlineStr">
        <is>
          <t>ANTECIPADO</t>
        </is>
      </c>
    </row>
    <row r="1028">
      <c r="A1028" t="n">
        <v>176</v>
      </c>
      <c r="B1028" t="inlineStr">
        <is>
          <t>The Cavern</t>
        </is>
      </c>
      <c r="C1028" s="27" t="n">
        <v>46073</v>
      </c>
      <c r="D1028" t="n">
        <v>0</v>
      </c>
      <c r="E1028" t="inlineStr">
        <is>
          <t>BÔNUS</t>
        </is>
      </c>
    </row>
    <row r="1029">
      <c r="A1029" t="n">
        <v>176</v>
      </c>
      <c r="B1029" t="inlineStr">
        <is>
          <t>The Cavern</t>
        </is>
      </c>
      <c r="C1029" s="27" t="n">
        <v>46073</v>
      </c>
      <c r="D1029" t="n">
        <v>682.83</v>
      </c>
      <c r="E1029" t="inlineStr">
        <is>
          <t>DÉBITO</t>
        </is>
      </c>
    </row>
    <row r="1030">
      <c r="A1030" t="n">
        <v>176</v>
      </c>
      <c r="B1030" t="inlineStr">
        <is>
          <t>The Cavern</t>
        </is>
      </c>
      <c r="C1030" s="27" t="n">
        <v>46073</v>
      </c>
      <c r="D1030" t="n">
        <v>200.9</v>
      </c>
      <c r="E1030" t="inlineStr">
        <is>
          <t>VOUCHER</t>
        </is>
      </c>
    </row>
    <row r="1031">
      <c r="A1031" t="n">
        <v>176</v>
      </c>
      <c r="B1031" t="inlineStr">
        <is>
          <t>The Cavern</t>
        </is>
      </c>
      <c r="C1031" s="27" t="n">
        <v>46073</v>
      </c>
      <c r="D1031" t="n">
        <v>0</v>
      </c>
      <c r="E1031" t="inlineStr">
        <is>
          <t>ANTECIPADO</t>
        </is>
      </c>
    </row>
    <row r="1032">
      <c r="A1032" t="n">
        <v>176</v>
      </c>
      <c r="B1032" t="inlineStr">
        <is>
          <t>The Cavern</t>
        </is>
      </c>
      <c r="C1032" s="27" t="n">
        <v>46073</v>
      </c>
      <c r="D1032" t="n">
        <v>0</v>
      </c>
      <c r="E1032" t="inlineStr">
        <is>
          <t>UBER</t>
        </is>
      </c>
    </row>
    <row r="1033">
      <c r="A1033" t="n">
        <v>176</v>
      </c>
      <c r="B1033" t="inlineStr">
        <is>
          <t>The Cavern</t>
        </is>
      </c>
      <c r="C1033" s="27" t="n">
        <v>46073</v>
      </c>
      <c r="D1033" t="n">
        <v>0</v>
      </c>
      <c r="E1033" t="inlineStr">
        <is>
          <t>RAPPI</t>
        </is>
      </c>
    </row>
    <row r="1034">
      <c r="A1034" t="n">
        <v>176</v>
      </c>
      <c r="B1034" t="inlineStr">
        <is>
          <t>The Cavern</t>
        </is>
      </c>
      <c r="C1034" s="27" t="n">
        <v>46073</v>
      </c>
      <c r="D1034" t="n">
        <v>0</v>
      </c>
      <c r="E1034" t="inlineStr">
        <is>
          <t>PIX</t>
        </is>
      </c>
    </row>
    <row r="1035">
      <c r="A1035" t="n">
        <v>176</v>
      </c>
      <c r="B1035" t="inlineStr">
        <is>
          <t>The Cavern</t>
        </is>
      </c>
      <c r="C1035" s="27" t="n">
        <v>46073</v>
      </c>
      <c r="D1035" t="n">
        <v>0</v>
      </c>
      <c r="E1035" t="inlineStr">
        <is>
          <t>IFOOD</t>
        </is>
      </c>
    </row>
    <row r="1036">
      <c r="A1036" t="n">
        <v>176</v>
      </c>
      <c r="B1036" t="inlineStr">
        <is>
          <t>The Cavern</t>
        </is>
      </c>
      <c r="C1036" s="27" t="n">
        <v>46073</v>
      </c>
      <c r="D1036" t="n">
        <v>0</v>
      </c>
      <c r="E1036" t="inlineStr">
        <is>
          <t>IFOOD</t>
        </is>
      </c>
    </row>
    <row r="1037">
      <c r="A1037" t="n">
        <v>176</v>
      </c>
      <c r="B1037" t="inlineStr">
        <is>
          <t>The Cavern</t>
        </is>
      </c>
      <c r="C1037" s="27" t="n">
        <v>46073</v>
      </c>
      <c r="D1037" t="n">
        <v>0</v>
      </c>
      <c r="E1037" t="inlineStr">
        <is>
          <t>DELIVERY ONLINE</t>
        </is>
      </c>
    </row>
    <row r="1038">
      <c r="A1038" t="n">
        <v>176</v>
      </c>
      <c r="B1038" t="inlineStr">
        <is>
          <t>The Cavern</t>
        </is>
      </c>
      <c r="C1038" s="27" t="n">
        <v>46073</v>
      </c>
      <c r="D1038" t="n">
        <v>0</v>
      </c>
      <c r="E1038" t="inlineStr">
        <is>
          <t>OUTROS</t>
        </is>
      </c>
    </row>
    <row r="1039">
      <c r="A1039" t="n">
        <v>176</v>
      </c>
      <c r="B1039" t="inlineStr">
        <is>
          <t>The Cavern</t>
        </is>
      </c>
      <c r="C1039" s="27" t="n">
        <v>46073</v>
      </c>
      <c r="D1039" t="n">
        <v>0</v>
      </c>
      <c r="E1039" t="inlineStr">
        <is>
          <t>AME</t>
        </is>
      </c>
    </row>
    <row r="1040">
      <c r="A1040" t="n">
        <v>176</v>
      </c>
      <c r="B1040" t="inlineStr">
        <is>
          <t>The Cavern</t>
        </is>
      </c>
      <c r="C1040" s="27" t="n">
        <v>46073</v>
      </c>
      <c r="D1040" t="n">
        <v>1137.35</v>
      </c>
      <c r="E1040" t="inlineStr">
        <is>
          <t>DÉBITO</t>
        </is>
      </c>
    </row>
    <row r="1041">
      <c r="A1041" t="n">
        <v>176</v>
      </c>
      <c r="B1041" t="inlineStr">
        <is>
          <t>The Cavern</t>
        </is>
      </c>
      <c r="C1041" s="27" t="n">
        <v>46073</v>
      </c>
      <c r="D1041" t="n">
        <v>2059.98</v>
      </c>
      <c r="E1041" t="inlineStr">
        <is>
          <t>CRÉDITO</t>
        </is>
      </c>
    </row>
    <row r="1042">
      <c r="A1042" t="n">
        <v>176</v>
      </c>
      <c r="B1042" t="inlineStr">
        <is>
          <t>The Cavern</t>
        </is>
      </c>
      <c r="C1042" s="27" t="n">
        <v>46073</v>
      </c>
      <c r="D1042" t="n">
        <v>0</v>
      </c>
      <c r="E1042" t="inlineStr">
        <is>
          <t>DINHEIRO</t>
        </is>
      </c>
    </row>
    <row r="1043">
      <c r="A1043" t="n">
        <v>176</v>
      </c>
      <c r="B1043" t="inlineStr">
        <is>
          <t>The Cavern</t>
        </is>
      </c>
      <c r="C1043" s="27" t="n">
        <v>46073</v>
      </c>
      <c r="D1043" t="n">
        <v>2032.1</v>
      </c>
      <c r="E1043" t="inlineStr">
        <is>
          <t>CRÉDITO</t>
        </is>
      </c>
    </row>
    <row r="1044">
      <c r="A1044" t="n">
        <v>176</v>
      </c>
      <c r="B1044" t="inlineStr">
        <is>
          <t>The Cavern</t>
        </is>
      </c>
      <c r="C1044" s="27" t="n">
        <v>46073</v>
      </c>
      <c r="D1044" t="n">
        <v>0</v>
      </c>
      <c r="E1044" t="inlineStr">
        <is>
          <t>BÔNUS</t>
        </is>
      </c>
    </row>
    <row r="1045">
      <c r="A1045" t="n">
        <v>176</v>
      </c>
      <c r="B1045" t="inlineStr">
        <is>
          <t>The Cavern</t>
        </is>
      </c>
      <c r="C1045" s="27" t="n">
        <v>46073</v>
      </c>
      <c r="D1045" t="n">
        <v>333.43</v>
      </c>
      <c r="E1045" t="inlineStr">
        <is>
          <t>APP</t>
        </is>
      </c>
    </row>
    <row r="1046">
      <c r="A1046" t="n">
        <v>176</v>
      </c>
      <c r="B1046" t="inlineStr">
        <is>
          <t>The Cavern</t>
        </is>
      </c>
      <c r="C1046" s="27" t="n">
        <v>46073</v>
      </c>
      <c r="D1046" t="n">
        <v>0</v>
      </c>
      <c r="E1046" t="inlineStr">
        <is>
          <t>ANTECIPADO</t>
        </is>
      </c>
    </row>
    <row r="1047">
      <c r="A1047" t="n">
        <v>176</v>
      </c>
      <c r="B1047" t="inlineStr">
        <is>
          <t>The Cavern</t>
        </is>
      </c>
      <c r="C1047" s="27" t="n">
        <v>46072</v>
      </c>
      <c r="D1047" t="n">
        <v>0</v>
      </c>
      <c r="E1047" t="inlineStr">
        <is>
          <t>MBWAY</t>
        </is>
      </c>
    </row>
    <row r="1048">
      <c r="A1048" t="n">
        <v>176</v>
      </c>
      <c r="B1048" t="inlineStr">
        <is>
          <t>The Cavern</t>
        </is>
      </c>
      <c r="C1048" s="27" t="n">
        <v>46072</v>
      </c>
      <c r="D1048" t="n">
        <v>0</v>
      </c>
      <c r="E1048" t="inlineStr">
        <is>
          <t>VOUCHER INTEGRADO</t>
        </is>
      </c>
    </row>
    <row r="1049">
      <c r="A1049" t="n">
        <v>176</v>
      </c>
      <c r="B1049" t="inlineStr">
        <is>
          <t>The Cavern</t>
        </is>
      </c>
      <c r="C1049" s="27" t="n">
        <v>46072</v>
      </c>
      <c r="D1049" t="n">
        <v>0</v>
      </c>
      <c r="E1049" t="inlineStr">
        <is>
          <t>RECARGAS DEVOLVIDAS</t>
        </is>
      </c>
    </row>
    <row r="1050">
      <c r="A1050" t="n">
        <v>176</v>
      </c>
      <c r="B1050" t="inlineStr">
        <is>
          <t>The Cavern</t>
        </is>
      </c>
      <c r="C1050" s="27" t="n">
        <v>46072</v>
      </c>
      <c r="D1050" t="n">
        <v>0</v>
      </c>
      <c r="E1050" t="inlineStr">
        <is>
          <t>NOTAS MANUAIS + SERVIÇO</t>
        </is>
      </c>
    </row>
    <row r="1051">
      <c r="A1051" t="n">
        <v>176</v>
      </c>
      <c r="B1051" t="inlineStr">
        <is>
          <t>The Cavern</t>
        </is>
      </c>
      <c r="C1051" s="27" t="n">
        <v>46072</v>
      </c>
      <c r="D1051" t="n">
        <v>0</v>
      </c>
      <c r="E1051" t="inlineStr">
        <is>
          <t>AME</t>
        </is>
      </c>
    </row>
    <row r="1052">
      <c r="A1052" t="n">
        <v>176</v>
      </c>
      <c r="B1052" t="inlineStr">
        <is>
          <t>The Cavern</t>
        </is>
      </c>
      <c r="C1052" s="27" t="n">
        <v>46072</v>
      </c>
      <c r="D1052" t="n">
        <v>0</v>
      </c>
      <c r="E1052" t="inlineStr">
        <is>
          <t>OUTROS</t>
        </is>
      </c>
    </row>
    <row r="1053">
      <c r="A1053" t="n">
        <v>176</v>
      </c>
      <c r="B1053" t="inlineStr">
        <is>
          <t>The Cavern</t>
        </is>
      </c>
      <c r="C1053" s="27" t="n">
        <v>46072</v>
      </c>
      <c r="D1053" t="n">
        <v>0</v>
      </c>
      <c r="E1053" t="inlineStr">
        <is>
          <t>ANTECIPADO</t>
        </is>
      </c>
    </row>
    <row r="1054">
      <c r="A1054" t="n">
        <v>176</v>
      </c>
      <c r="B1054" t="inlineStr">
        <is>
          <t>The Cavern</t>
        </is>
      </c>
      <c r="C1054" s="27" t="n">
        <v>46072</v>
      </c>
      <c r="D1054" t="n">
        <v>0</v>
      </c>
      <c r="E1054" t="inlineStr">
        <is>
          <t>BÔNUS</t>
        </is>
      </c>
    </row>
    <row r="1055">
      <c r="A1055" t="n">
        <v>176</v>
      </c>
      <c r="B1055" t="inlineStr">
        <is>
          <t>The Cavern</t>
        </is>
      </c>
      <c r="C1055" s="27" t="n">
        <v>46072</v>
      </c>
      <c r="D1055" t="n">
        <v>180.56</v>
      </c>
      <c r="E1055" t="inlineStr">
        <is>
          <t>DÉBITO</t>
        </is>
      </c>
    </row>
    <row r="1056">
      <c r="A1056" t="n">
        <v>176</v>
      </c>
      <c r="B1056" t="inlineStr">
        <is>
          <t>The Cavern</t>
        </is>
      </c>
      <c r="C1056" s="27" t="n">
        <v>46072</v>
      </c>
      <c r="D1056" t="n">
        <v>973.03</v>
      </c>
      <c r="E1056" t="inlineStr">
        <is>
          <t>VOUCHER</t>
        </is>
      </c>
    </row>
    <row r="1057">
      <c r="A1057" t="n">
        <v>176</v>
      </c>
      <c r="B1057" t="inlineStr">
        <is>
          <t>The Cavern</t>
        </is>
      </c>
      <c r="C1057" s="27" t="n">
        <v>46072</v>
      </c>
      <c r="D1057" t="n">
        <v>0</v>
      </c>
      <c r="E1057" t="inlineStr">
        <is>
          <t>ANTECIPADO</t>
        </is>
      </c>
    </row>
    <row r="1058">
      <c r="A1058" t="n">
        <v>176</v>
      </c>
      <c r="B1058" t="inlineStr">
        <is>
          <t>The Cavern</t>
        </is>
      </c>
      <c r="C1058" s="27" t="n">
        <v>46072</v>
      </c>
      <c r="D1058" t="n">
        <v>0</v>
      </c>
      <c r="E1058" t="inlineStr">
        <is>
          <t>UBER</t>
        </is>
      </c>
    </row>
    <row r="1059">
      <c r="A1059" t="n">
        <v>176</v>
      </c>
      <c r="B1059" t="inlineStr">
        <is>
          <t>The Cavern</t>
        </is>
      </c>
      <c r="C1059" s="27" t="n">
        <v>46072</v>
      </c>
      <c r="D1059" t="n">
        <v>0</v>
      </c>
      <c r="E1059" t="inlineStr">
        <is>
          <t>RAPPI</t>
        </is>
      </c>
    </row>
    <row r="1060">
      <c r="A1060" t="n">
        <v>176</v>
      </c>
      <c r="B1060" t="inlineStr">
        <is>
          <t>The Cavern</t>
        </is>
      </c>
      <c r="C1060" s="27" t="n">
        <v>46072</v>
      </c>
      <c r="D1060" t="n">
        <v>194.12</v>
      </c>
      <c r="E1060" t="inlineStr">
        <is>
          <t>PIX</t>
        </is>
      </c>
    </row>
    <row r="1061">
      <c r="A1061" t="n">
        <v>176</v>
      </c>
      <c r="B1061" t="inlineStr">
        <is>
          <t>The Cavern</t>
        </is>
      </c>
      <c r="C1061" s="27" t="n">
        <v>46072</v>
      </c>
      <c r="D1061" t="n">
        <v>0</v>
      </c>
      <c r="E1061" t="inlineStr">
        <is>
          <t>IFOOD</t>
        </is>
      </c>
    </row>
    <row r="1062">
      <c r="A1062" t="n">
        <v>176</v>
      </c>
      <c r="B1062" t="inlineStr">
        <is>
          <t>The Cavern</t>
        </is>
      </c>
      <c r="C1062" s="27" t="n">
        <v>46072</v>
      </c>
      <c r="D1062" t="n">
        <v>0</v>
      </c>
      <c r="E1062" t="inlineStr">
        <is>
          <t>DELIVERY ONLINE</t>
        </is>
      </c>
    </row>
    <row r="1063">
      <c r="A1063" t="n">
        <v>176</v>
      </c>
      <c r="B1063" t="inlineStr">
        <is>
          <t>The Cavern</t>
        </is>
      </c>
      <c r="C1063" s="27" t="n">
        <v>46072</v>
      </c>
      <c r="D1063" t="n">
        <v>0</v>
      </c>
      <c r="E1063" t="inlineStr">
        <is>
          <t>APP</t>
        </is>
      </c>
    </row>
    <row r="1064">
      <c r="A1064" t="n">
        <v>176</v>
      </c>
      <c r="B1064" t="inlineStr">
        <is>
          <t>The Cavern</t>
        </is>
      </c>
      <c r="C1064" s="27" t="n">
        <v>46072</v>
      </c>
      <c r="D1064" t="n">
        <v>0</v>
      </c>
      <c r="E1064" t="inlineStr">
        <is>
          <t>DINHEIRO</t>
        </is>
      </c>
    </row>
    <row r="1065">
      <c r="A1065" t="n">
        <v>176</v>
      </c>
      <c r="B1065" t="inlineStr">
        <is>
          <t>The Cavern</t>
        </is>
      </c>
      <c r="C1065" s="27" t="n">
        <v>46072</v>
      </c>
      <c r="D1065" t="n">
        <v>1654.62</v>
      </c>
      <c r="E1065" t="inlineStr">
        <is>
          <t>CRÉDITO</t>
        </is>
      </c>
    </row>
    <row r="1066">
      <c r="A1066" t="n">
        <v>176</v>
      </c>
      <c r="B1066" t="inlineStr">
        <is>
          <t>The Cavern</t>
        </is>
      </c>
      <c r="C1066" s="27" t="n">
        <v>46072</v>
      </c>
      <c r="D1066" t="n">
        <v>0</v>
      </c>
      <c r="E1066" t="inlineStr">
        <is>
          <t>ANTECIPADO</t>
        </is>
      </c>
    </row>
    <row r="1067">
      <c r="A1067" t="n">
        <v>176</v>
      </c>
      <c r="B1067" t="inlineStr">
        <is>
          <t>The Cavern</t>
        </is>
      </c>
      <c r="C1067" s="27" t="n">
        <v>46072</v>
      </c>
      <c r="D1067" t="n">
        <v>0</v>
      </c>
      <c r="E1067" t="inlineStr">
        <is>
          <t>VOUCHER</t>
        </is>
      </c>
    </row>
    <row r="1068">
      <c r="A1068" t="n">
        <v>176</v>
      </c>
      <c r="B1068" t="inlineStr">
        <is>
          <t>The Cavern</t>
        </is>
      </c>
      <c r="C1068" s="27" t="n">
        <v>46072</v>
      </c>
      <c r="D1068" t="n">
        <v>0</v>
      </c>
      <c r="E1068" t="inlineStr">
        <is>
          <t>DÉBITO</t>
        </is>
      </c>
    </row>
    <row r="1069">
      <c r="A1069" t="n">
        <v>176</v>
      </c>
      <c r="B1069" t="inlineStr">
        <is>
          <t>The Cavern</t>
        </is>
      </c>
      <c r="C1069" s="27" t="n">
        <v>46072</v>
      </c>
      <c r="D1069" t="n">
        <v>0</v>
      </c>
      <c r="E1069" t="inlineStr">
        <is>
          <t>BÔNUS</t>
        </is>
      </c>
    </row>
    <row r="1070">
      <c r="A1070" t="n">
        <v>176</v>
      </c>
      <c r="B1070" t="inlineStr">
        <is>
          <t>The Cavern</t>
        </is>
      </c>
      <c r="C1070" s="27" t="n">
        <v>46072</v>
      </c>
      <c r="D1070" t="n">
        <v>0</v>
      </c>
      <c r="E1070" t="inlineStr">
        <is>
          <t>ANTECIPADO</t>
        </is>
      </c>
    </row>
    <row r="1071">
      <c r="A1071" t="n">
        <v>176</v>
      </c>
      <c r="B1071" t="inlineStr">
        <is>
          <t>The Cavern</t>
        </is>
      </c>
      <c r="C1071" s="27" t="n">
        <v>46072</v>
      </c>
      <c r="D1071" t="n">
        <v>0</v>
      </c>
      <c r="E1071" t="inlineStr">
        <is>
          <t>OUTROS</t>
        </is>
      </c>
    </row>
    <row r="1072">
      <c r="A1072" t="n">
        <v>176</v>
      </c>
      <c r="B1072" t="inlineStr">
        <is>
          <t>The Cavern</t>
        </is>
      </c>
      <c r="C1072" s="27" t="n">
        <v>46072</v>
      </c>
      <c r="D1072" t="n">
        <v>0</v>
      </c>
      <c r="E1072" t="inlineStr">
        <is>
          <t>AME</t>
        </is>
      </c>
    </row>
    <row r="1073">
      <c r="A1073" t="n">
        <v>176</v>
      </c>
      <c r="B1073" t="inlineStr">
        <is>
          <t>The Cavern</t>
        </is>
      </c>
      <c r="C1073" s="27" t="n">
        <v>46072</v>
      </c>
      <c r="D1073" t="n">
        <v>0</v>
      </c>
      <c r="E1073" t="inlineStr">
        <is>
          <t>NOTAS MANUAIS + SERVIÇO</t>
        </is>
      </c>
    </row>
    <row r="1074">
      <c r="A1074" t="n">
        <v>176</v>
      </c>
      <c r="B1074" t="inlineStr">
        <is>
          <t>The Cavern</t>
        </is>
      </c>
      <c r="C1074" s="27" t="n">
        <v>46072</v>
      </c>
      <c r="D1074" t="n">
        <v>0</v>
      </c>
      <c r="E1074" t="inlineStr">
        <is>
          <t>RECARGAS DEVOLVIDAS</t>
        </is>
      </c>
    </row>
    <row r="1075">
      <c r="A1075" t="n">
        <v>176</v>
      </c>
      <c r="B1075" t="inlineStr">
        <is>
          <t>The Cavern</t>
        </is>
      </c>
      <c r="C1075" s="27" t="n">
        <v>46072</v>
      </c>
      <c r="D1075" t="n">
        <v>0</v>
      </c>
      <c r="E1075" t="inlineStr">
        <is>
          <t>VOUCHER INTEGRADO</t>
        </is>
      </c>
    </row>
    <row r="1076">
      <c r="A1076" t="n">
        <v>176</v>
      </c>
      <c r="B1076" t="inlineStr">
        <is>
          <t>The Cavern</t>
        </is>
      </c>
      <c r="C1076" s="27" t="n">
        <v>46072</v>
      </c>
      <c r="D1076" t="n">
        <v>0</v>
      </c>
      <c r="E1076" t="inlineStr">
        <is>
          <t>MBWAY</t>
        </is>
      </c>
    </row>
    <row r="1077">
      <c r="A1077" t="n">
        <v>176</v>
      </c>
      <c r="B1077" t="inlineStr">
        <is>
          <t>The Cavern</t>
        </is>
      </c>
      <c r="C1077" s="27" t="n">
        <v>46072</v>
      </c>
      <c r="D1077" t="n">
        <v>0</v>
      </c>
      <c r="E1077" t="inlineStr">
        <is>
          <t>UBER</t>
        </is>
      </c>
    </row>
    <row r="1078">
      <c r="A1078" t="n">
        <v>176</v>
      </c>
      <c r="B1078" t="inlineStr">
        <is>
          <t>The Cavern</t>
        </is>
      </c>
      <c r="C1078" s="27" t="n">
        <v>46072</v>
      </c>
      <c r="D1078" t="n">
        <v>0</v>
      </c>
      <c r="E1078" t="inlineStr">
        <is>
          <t>RAPPI</t>
        </is>
      </c>
    </row>
    <row r="1079">
      <c r="A1079" t="n">
        <v>176</v>
      </c>
      <c r="B1079" t="inlineStr">
        <is>
          <t>The Cavern</t>
        </is>
      </c>
      <c r="C1079" s="27" t="n">
        <v>46072</v>
      </c>
      <c r="D1079" t="n">
        <v>111.87</v>
      </c>
      <c r="E1079" t="inlineStr">
        <is>
          <t>CRÉDITO</t>
        </is>
      </c>
    </row>
    <row r="1080">
      <c r="A1080" t="n">
        <v>176</v>
      </c>
      <c r="B1080" t="inlineStr">
        <is>
          <t>The Cavern</t>
        </is>
      </c>
      <c r="C1080" s="27" t="n">
        <v>46072</v>
      </c>
      <c r="D1080" t="n">
        <v>0</v>
      </c>
      <c r="E1080" t="inlineStr">
        <is>
          <t>DINHEIRO</t>
        </is>
      </c>
    </row>
    <row r="1081">
      <c r="A1081" t="n">
        <v>176</v>
      </c>
      <c r="B1081" t="inlineStr">
        <is>
          <t>The Cavern</t>
        </is>
      </c>
      <c r="C1081" s="27" t="n">
        <v>46072</v>
      </c>
      <c r="D1081" t="n">
        <v>0</v>
      </c>
      <c r="E1081" t="inlineStr">
        <is>
          <t>APP</t>
        </is>
      </c>
    </row>
    <row r="1082">
      <c r="A1082" t="n">
        <v>176</v>
      </c>
      <c r="B1082" t="inlineStr">
        <is>
          <t>The Cavern</t>
        </is>
      </c>
      <c r="C1082" s="27" t="n">
        <v>46072</v>
      </c>
      <c r="D1082" t="n">
        <v>0</v>
      </c>
      <c r="E1082" t="inlineStr">
        <is>
          <t>DELIVERY ONLINE</t>
        </is>
      </c>
    </row>
    <row r="1083">
      <c r="A1083" t="n">
        <v>176</v>
      </c>
      <c r="B1083" t="inlineStr">
        <is>
          <t>The Cavern</t>
        </is>
      </c>
      <c r="C1083" s="27" t="n">
        <v>46072</v>
      </c>
      <c r="D1083" t="n">
        <v>0</v>
      </c>
      <c r="E1083" t="inlineStr">
        <is>
          <t>IFOOD</t>
        </is>
      </c>
    </row>
    <row r="1084">
      <c r="A1084" t="n">
        <v>176</v>
      </c>
      <c r="B1084" t="inlineStr">
        <is>
          <t>The Cavern</t>
        </is>
      </c>
      <c r="C1084" s="27" t="n">
        <v>46072</v>
      </c>
      <c r="D1084" t="n">
        <v>0</v>
      </c>
      <c r="E1084" t="inlineStr">
        <is>
          <t>PIX</t>
        </is>
      </c>
    </row>
    <row r="1085">
      <c r="A1085" t="n">
        <v>176</v>
      </c>
      <c r="B1085" t="inlineStr">
        <is>
          <t>The Cavern</t>
        </is>
      </c>
      <c r="C1085" s="27" t="n">
        <v>46071</v>
      </c>
      <c r="D1085" t="n">
        <v>0</v>
      </c>
      <c r="E1085" t="inlineStr">
        <is>
          <t>NOTAS MANUAIS + SERVIÇO</t>
        </is>
      </c>
    </row>
    <row r="1086">
      <c r="A1086" t="n">
        <v>176</v>
      </c>
      <c r="B1086" t="inlineStr">
        <is>
          <t>The Cavern</t>
        </is>
      </c>
      <c r="C1086" s="27" t="n">
        <v>46071</v>
      </c>
      <c r="D1086" t="n">
        <v>0</v>
      </c>
      <c r="E1086" t="inlineStr">
        <is>
          <t>AME</t>
        </is>
      </c>
    </row>
    <row r="1087">
      <c r="A1087" t="n">
        <v>176</v>
      </c>
      <c r="B1087" t="inlineStr">
        <is>
          <t>The Cavern</t>
        </is>
      </c>
      <c r="C1087" s="27" t="n">
        <v>46071</v>
      </c>
      <c r="D1087" t="n">
        <v>0</v>
      </c>
      <c r="E1087" t="inlineStr">
        <is>
          <t>ANTECIPADO</t>
        </is>
      </c>
    </row>
    <row r="1088">
      <c r="A1088" t="n">
        <v>176</v>
      </c>
      <c r="B1088" t="inlineStr">
        <is>
          <t>The Cavern</t>
        </is>
      </c>
      <c r="C1088" s="27" t="n">
        <v>46071</v>
      </c>
      <c r="D1088" t="n">
        <v>0</v>
      </c>
      <c r="E1088" t="inlineStr">
        <is>
          <t>OUTROS</t>
        </is>
      </c>
    </row>
    <row r="1089">
      <c r="A1089" t="n">
        <v>176</v>
      </c>
      <c r="B1089" t="inlineStr">
        <is>
          <t>The Cavern</t>
        </is>
      </c>
      <c r="C1089" s="27" t="n">
        <v>46071</v>
      </c>
      <c r="D1089" t="n">
        <v>0</v>
      </c>
      <c r="E1089" t="inlineStr">
        <is>
          <t>CRÉDITO</t>
        </is>
      </c>
    </row>
    <row r="1090">
      <c r="A1090" t="n">
        <v>176</v>
      </c>
      <c r="B1090" t="inlineStr">
        <is>
          <t>The Cavern</t>
        </is>
      </c>
      <c r="C1090" s="27" t="n">
        <v>46071</v>
      </c>
      <c r="D1090" t="n">
        <v>0</v>
      </c>
      <c r="E1090" t="inlineStr">
        <is>
          <t>RECARGAS DEVOLVIDAS</t>
        </is>
      </c>
    </row>
    <row r="1091">
      <c r="A1091" t="n">
        <v>176</v>
      </c>
      <c r="B1091" t="inlineStr">
        <is>
          <t>The Cavern</t>
        </is>
      </c>
      <c r="C1091" s="27" t="n">
        <v>46071</v>
      </c>
      <c r="D1091" t="n">
        <v>0</v>
      </c>
      <c r="E1091" t="inlineStr">
        <is>
          <t>VOUCHER INTEGRADO</t>
        </is>
      </c>
    </row>
    <row r="1092">
      <c r="A1092" t="n">
        <v>176</v>
      </c>
      <c r="B1092" t="inlineStr">
        <is>
          <t>The Cavern</t>
        </is>
      </c>
      <c r="C1092" s="27" t="n">
        <v>46071</v>
      </c>
      <c r="D1092" t="n">
        <v>0</v>
      </c>
      <c r="E1092" t="inlineStr">
        <is>
          <t>MBWAY</t>
        </is>
      </c>
    </row>
    <row r="1093">
      <c r="A1093" t="n">
        <v>176</v>
      </c>
      <c r="B1093" t="inlineStr">
        <is>
          <t>The Cavern</t>
        </is>
      </c>
      <c r="C1093" s="27" t="n">
        <v>46071</v>
      </c>
      <c r="D1093" t="n">
        <v>0</v>
      </c>
      <c r="E1093" t="inlineStr">
        <is>
          <t>VOUCHER INTEGRADO</t>
        </is>
      </c>
    </row>
    <row r="1094">
      <c r="A1094" t="n">
        <v>176</v>
      </c>
      <c r="B1094" t="inlineStr">
        <is>
          <t>The Cavern</t>
        </is>
      </c>
      <c r="C1094" s="27" t="n">
        <v>46071</v>
      </c>
      <c r="D1094" t="n">
        <v>0</v>
      </c>
      <c r="E1094" t="inlineStr">
        <is>
          <t>BÔNUS</t>
        </is>
      </c>
    </row>
    <row r="1095">
      <c r="A1095" t="n">
        <v>176</v>
      </c>
      <c r="B1095" t="inlineStr">
        <is>
          <t>The Cavern</t>
        </is>
      </c>
      <c r="C1095" s="27" t="n">
        <v>46071</v>
      </c>
      <c r="D1095" t="n">
        <v>167.63</v>
      </c>
      <c r="E1095" t="inlineStr">
        <is>
          <t>DÉBITO</t>
        </is>
      </c>
    </row>
    <row r="1096">
      <c r="A1096" t="n">
        <v>176</v>
      </c>
      <c r="B1096" t="inlineStr">
        <is>
          <t>The Cavern</t>
        </is>
      </c>
      <c r="C1096" s="27" t="n">
        <v>46071</v>
      </c>
      <c r="D1096" t="n">
        <v>0</v>
      </c>
      <c r="E1096" t="inlineStr">
        <is>
          <t>VOUCHER</t>
        </is>
      </c>
    </row>
    <row r="1097">
      <c r="A1097" t="n">
        <v>176</v>
      </c>
      <c r="B1097" t="inlineStr">
        <is>
          <t>The Cavern</t>
        </is>
      </c>
      <c r="C1097" s="27" t="n">
        <v>46071</v>
      </c>
      <c r="D1097" t="n">
        <v>0</v>
      </c>
      <c r="E1097" t="inlineStr">
        <is>
          <t>ANTECIPADO</t>
        </is>
      </c>
    </row>
    <row r="1098">
      <c r="A1098" t="n">
        <v>176</v>
      </c>
      <c r="B1098" t="inlineStr">
        <is>
          <t>The Cavern</t>
        </is>
      </c>
      <c r="C1098" s="27" t="n">
        <v>46071</v>
      </c>
      <c r="D1098" t="n">
        <v>0</v>
      </c>
      <c r="E1098" t="inlineStr">
        <is>
          <t>UBER</t>
        </is>
      </c>
    </row>
    <row r="1099">
      <c r="A1099" t="n">
        <v>176</v>
      </c>
      <c r="B1099" t="inlineStr">
        <is>
          <t>The Cavern</t>
        </is>
      </c>
      <c r="C1099" s="27" t="n">
        <v>46071</v>
      </c>
      <c r="D1099" t="n">
        <v>0</v>
      </c>
      <c r="E1099" t="inlineStr">
        <is>
          <t>RAPPI</t>
        </is>
      </c>
    </row>
    <row r="1100">
      <c r="A1100" t="n">
        <v>176</v>
      </c>
      <c r="B1100" t="inlineStr">
        <is>
          <t>The Cavern</t>
        </is>
      </c>
      <c r="C1100" s="27" t="n">
        <v>46071</v>
      </c>
      <c r="D1100" t="n">
        <v>19</v>
      </c>
      <c r="E1100" t="inlineStr">
        <is>
          <t>PIX</t>
        </is>
      </c>
    </row>
    <row r="1101">
      <c r="A1101" t="n">
        <v>176</v>
      </c>
      <c r="B1101" t="inlineStr">
        <is>
          <t>The Cavern</t>
        </is>
      </c>
      <c r="C1101" s="27" t="n">
        <v>46071</v>
      </c>
      <c r="D1101" t="n">
        <v>0</v>
      </c>
      <c r="E1101" t="inlineStr">
        <is>
          <t>IFOOD</t>
        </is>
      </c>
    </row>
    <row r="1102">
      <c r="A1102" t="n">
        <v>176</v>
      </c>
      <c r="B1102" t="inlineStr">
        <is>
          <t>The Cavern</t>
        </is>
      </c>
      <c r="C1102" s="27" t="n">
        <v>46071</v>
      </c>
      <c r="D1102" t="n">
        <v>355.56</v>
      </c>
      <c r="E1102" t="inlineStr">
        <is>
          <t>CRÉDITO</t>
        </is>
      </c>
    </row>
    <row r="1103">
      <c r="A1103" t="n">
        <v>176</v>
      </c>
      <c r="B1103" t="inlineStr">
        <is>
          <t>The Cavern</t>
        </is>
      </c>
      <c r="C1103" s="27" t="n">
        <v>46071</v>
      </c>
      <c r="D1103" t="n">
        <v>0</v>
      </c>
      <c r="E1103" t="inlineStr">
        <is>
          <t>DINHEIRO</t>
        </is>
      </c>
    </row>
    <row r="1104">
      <c r="A1104" t="n">
        <v>176</v>
      </c>
      <c r="B1104" t="inlineStr">
        <is>
          <t>The Cavern</t>
        </is>
      </c>
      <c r="C1104" s="27" t="n">
        <v>46071</v>
      </c>
      <c r="D1104" t="n">
        <v>0</v>
      </c>
      <c r="E1104" t="inlineStr">
        <is>
          <t>APP</t>
        </is>
      </c>
    </row>
    <row r="1105">
      <c r="A1105" t="n">
        <v>176</v>
      </c>
      <c r="B1105" t="inlineStr">
        <is>
          <t>The Cavern</t>
        </is>
      </c>
      <c r="C1105" s="27" t="n">
        <v>46071</v>
      </c>
      <c r="D1105" t="n">
        <v>0</v>
      </c>
      <c r="E1105" t="inlineStr">
        <is>
          <t>DELIVERY ONLINE</t>
        </is>
      </c>
    </row>
    <row r="1106">
      <c r="A1106" t="n">
        <v>176</v>
      </c>
      <c r="B1106" t="inlineStr">
        <is>
          <t>The Cavern</t>
        </is>
      </c>
      <c r="C1106" s="27" t="n">
        <v>46071</v>
      </c>
      <c r="D1106" t="n">
        <v>0</v>
      </c>
      <c r="E1106" t="inlineStr">
        <is>
          <t>MBWAY</t>
        </is>
      </c>
    </row>
    <row r="1107">
      <c r="A1107" t="n">
        <v>176</v>
      </c>
      <c r="B1107" t="inlineStr">
        <is>
          <t>The Cavern</t>
        </is>
      </c>
      <c r="C1107" s="27" t="n">
        <v>46071</v>
      </c>
      <c r="D1107" t="n">
        <v>0</v>
      </c>
      <c r="E1107" t="inlineStr">
        <is>
          <t>DINHEIRO</t>
        </is>
      </c>
    </row>
    <row r="1108">
      <c r="A1108" t="n">
        <v>176</v>
      </c>
      <c r="B1108" t="inlineStr">
        <is>
          <t>The Cavern</t>
        </is>
      </c>
      <c r="C1108" s="27" t="n">
        <v>46071</v>
      </c>
      <c r="D1108" t="n">
        <v>0</v>
      </c>
      <c r="E1108" t="inlineStr">
        <is>
          <t>APP</t>
        </is>
      </c>
    </row>
    <row r="1109">
      <c r="A1109" t="n">
        <v>176</v>
      </c>
      <c r="B1109" t="inlineStr">
        <is>
          <t>The Cavern</t>
        </is>
      </c>
      <c r="C1109" s="27" t="n">
        <v>46071</v>
      </c>
      <c r="D1109" t="n">
        <v>0</v>
      </c>
      <c r="E1109" t="inlineStr">
        <is>
          <t>DELIVERY ONLINE</t>
        </is>
      </c>
    </row>
    <row r="1110">
      <c r="A1110" t="n">
        <v>176</v>
      </c>
      <c r="B1110" t="inlineStr">
        <is>
          <t>The Cavern</t>
        </is>
      </c>
      <c r="C1110" s="27" t="n">
        <v>46071</v>
      </c>
      <c r="D1110" t="n">
        <v>0</v>
      </c>
      <c r="E1110" t="inlineStr">
        <is>
          <t>IFOOD</t>
        </is>
      </c>
    </row>
    <row r="1111">
      <c r="A1111" t="n">
        <v>176</v>
      </c>
      <c r="B1111" t="inlineStr">
        <is>
          <t>The Cavern</t>
        </is>
      </c>
      <c r="C1111" s="27" t="n">
        <v>46071</v>
      </c>
      <c r="D1111" t="n">
        <v>0</v>
      </c>
      <c r="E1111" t="inlineStr">
        <is>
          <t>PIX</t>
        </is>
      </c>
    </row>
    <row r="1112">
      <c r="A1112" t="n">
        <v>176</v>
      </c>
      <c r="B1112" t="inlineStr">
        <is>
          <t>The Cavern</t>
        </is>
      </c>
      <c r="C1112" s="27" t="n">
        <v>46071</v>
      </c>
      <c r="D1112" t="n">
        <v>0</v>
      </c>
      <c r="E1112" t="inlineStr">
        <is>
          <t>RAPPI</t>
        </is>
      </c>
    </row>
    <row r="1113">
      <c r="A1113" t="n">
        <v>176</v>
      </c>
      <c r="B1113" t="inlineStr">
        <is>
          <t>The Cavern</t>
        </is>
      </c>
      <c r="C1113" s="27" t="n">
        <v>46071</v>
      </c>
      <c r="D1113" t="n">
        <v>0</v>
      </c>
      <c r="E1113" t="inlineStr">
        <is>
          <t>UBER</t>
        </is>
      </c>
    </row>
    <row r="1114">
      <c r="A1114" t="n">
        <v>176</v>
      </c>
      <c r="B1114" t="inlineStr">
        <is>
          <t>The Cavern</t>
        </is>
      </c>
      <c r="C1114" s="27" t="n">
        <v>46071</v>
      </c>
      <c r="D1114" t="n">
        <v>0</v>
      </c>
      <c r="E1114" t="inlineStr">
        <is>
          <t>ANTECIPADO</t>
        </is>
      </c>
    </row>
    <row r="1115">
      <c r="A1115" t="n">
        <v>176</v>
      </c>
      <c r="B1115" t="inlineStr">
        <is>
          <t>The Cavern</t>
        </is>
      </c>
      <c r="C1115" s="27" t="n">
        <v>46071</v>
      </c>
      <c r="D1115" t="n">
        <v>0</v>
      </c>
      <c r="E1115" t="inlineStr">
        <is>
          <t>VOUCHER</t>
        </is>
      </c>
    </row>
    <row r="1116">
      <c r="A1116" t="n">
        <v>176</v>
      </c>
      <c r="B1116" t="inlineStr">
        <is>
          <t>The Cavern</t>
        </is>
      </c>
      <c r="C1116" s="27" t="n">
        <v>46071</v>
      </c>
      <c r="D1116" t="n">
        <v>0</v>
      </c>
      <c r="E1116" t="inlineStr">
        <is>
          <t>BÔNUS</t>
        </is>
      </c>
    </row>
    <row r="1117">
      <c r="A1117" t="n">
        <v>176</v>
      </c>
      <c r="B1117" t="inlineStr">
        <is>
          <t>The Cavern</t>
        </is>
      </c>
      <c r="C1117" s="27" t="n">
        <v>46071</v>
      </c>
      <c r="D1117" t="n">
        <v>0</v>
      </c>
      <c r="E1117" t="inlineStr">
        <is>
          <t>ANTECIPADO</t>
        </is>
      </c>
    </row>
    <row r="1118">
      <c r="A1118" t="n">
        <v>176</v>
      </c>
      <c r="B1118" t="inlineStr">
        <is>
          <t>The Cavern</t>
        </is>
      </c>
      <c r="C1118" s="27" t="n">
        <v>46071</v>
      </c>
      <c r="D1118" t="n">
        <v>0</v>
      </c>
      <c r="E1118" t="inlineStr">
        <is>
          <t>OUTROS</t>
        </is>
      </c>
    </row>
    <row r="1119">
      <c r="A1119" t="n">
        <v>176</v>
      </c>
      <c r="B1119" t="inlineStr">
        <is>
          <t>The Cavern</t>
        </is>
      </c>
      <c r="C1119" s="27" t="n">
        <v>46071</v>
      </c>
      <c r="D1119" t="n">
        <v>154.81</v>
      </c>
      <c r="E1119" t="inlineStr">
        <is>
          <t>DÉBITO</t>
        </is>
      </c>
    </row>
    <row r="1120">
      <c r="A1120" t="n">
        <v>176</v>
      </c>
      <c r="B1120" t="inlineStr">
        <is>
          <t>The Cavern</t>
        </is>
      </c>
      <c r="C1120" s="27" t="n">
        <v>46071</v>
      </c>
      <c r="D1120" t="n">
        <v>0</v>
      </c>
      <c r="E1120" t="inlineStr">
        <is>
          <t>AME</t>
        </is>
      </c>
    </row>
    <row r="1121">
      <c r="A1121" t="n">
        <v>176</v>
      </c>
      <c r="B1121" t="inlineStr">
        <is>
          <t>The Cavern</t>
        </is>
      </c>
      <c r="C1121" s="27" t="n">
        <v>46071</v>
      </c>
      <c r="D1121" t="n">
        <v>0</v>
      </c>
      <c r="E1121" t="inlineStr">
        <is>
          <t>NOTAS MANUAIS + SERVIÇO</t>
        </is>
      </c>
    </row>
    <row r="1122">
      <c r="A1122" t="n">
        <v>176</v>
      </c>
      <c r="B1122" t="inlineStr">
        <is>
          <t>The Cavern</t>
        </is>
      </c>
      <c r="C1122" s="27" t="n">
        <v>46071</v>
      </c>
      <c r="D1122" t="n">
        <v>0</v>
      </c>
      <c r="E1122" t="inlineStr">
        <is>
          <t>RECARGAS DEVOLVIDAS</t>
        </is>
      </c>
    </row>
    <row r="1123">
      <c r="A1123" t="n">
        <v>176</v>
      </c>
      <c r="B1123" t="inlineStr">
        <is>
          <t>The Cavern</t>
        </is>
      </c>
      <c r="C1123" s="27" t="n">
        <v>46070</v>
      </c>
      <c r="D1123" t="n">
        <v>0</v>
      </c>
      <c r="E1123" t="inlineStr">
        <is>
          <t>VOUCHER</t>
        </is>
      </c>
    </row>
    <row r="1124">
      <c r="A1124" t="n">
        <v>176</v>
      </c>
      <c r="B1124" t="inlineStr">
        <is>
          <t>The Cavern</t>
        </is>
      </c>
      <c r="C1124" s="27" t="n">
        <v>46070</v>
      </c>
      <c r="D1124" t="n">
        <v>0</v>
      </c>
      <c r="E1124" t="inlineStr">
        <is>
          <t>UBER</t>
        </is>
      </c>
    </row>
    <row r="1125">
      <c r="A1125" t="n">
        <v>176</v>
      </c>
      <c r="B1125" t="inlineStr">
        <is>
          <t>The Cavern</t>
        </is>
      </c>
      <c r="C1125" s="27" t="n">
        <v>46070</v>
      </c>
      <c r="D1125" t="n">
        <v>0</v>
      </c>
      <c r="E1125" t="inlineStr">
        <is>
          <t>RAPPI</t>
        </is>
      </c>
    </row>
    <row r="1126">
      <c r="A1126" t="n">
        <v>176</v>
      </c>
      <c r="B1126" t="inlineStr">
        <is>
          <t>The Cavern</t>
        </is>
      </c>
      <c r="C1126" s="27" t="n">
        <v>46070</v>
      </c>
      <c r="D1126" t="n">
        <v>211.31</v>
      </c>
      <c r="E1126" t="inlineStr">
        <is>
          <t>PIX</t>
        </is>
      </c>
    </row>
    <row r="1127">
      <c r="A1127" t="n">
        <v>176</v>
      </c>
      <c r="B1127" t="inlineStr">
        <is>
          <t>The Cavern</t>
        </is>
      </c>
      <c r="C1127" s="27" t="n">
        <v>46070</v>
      </c>
      <c r="D1127" t="n">
        <v>0</v>
      </c>
      <c r="E1127" t="inlineStr">
        <is>
          <t>IFOOD</t>
        </is>
      </c>
    </row>
    <row r="1128">
      <c r="A1128" t="n">
        <v>176</v>
      </c>
      <c r="B1128" t="inlineStr">
        <is>
          <t>The Cavern</t>
        </is>
      </c>
      <c r="C1128" s="27" t="n">
        <v>46070</v>
      </c>
      <c r="D1128" t="n">
        <v>0</v>
      </c>
      <c r="E1128" t="inlineStr">
        <is>
          <t>DELIVERY ONLINE</t>
        </is>
      </c>
    </row>
    <row r="1129">
      <c r="A1129" t="n">
        <v>176</v>
      </c>
      <c r="B1129" t="inlineStr">
        <is>
          <t>The Cavern</t>
        </is>
      </c>
      <c r="C1129" s="27" t="n">
        <v>46070</v>
      </c>
      <c r="D1129" t="n">
        <v>0</v>
      </c>
      <c r="E1129" t="inlineStr">
        <is>
          <t>APP</t>
        </is>
      </c>
    </row>
    <row r="1130">
      <c r="A1130" t="n">
        <v>176</v>
      </c>
      <c r="B1130" t="inlineStr">
        <is>
          <t>The Cavern</t>
        </is>
      </c>
      <c r="C1130" s="27" t="n">
        <v>46070</v>
      </c>
      <c r="D1130" t="n">
        <v>0</v>
      </c>
      <c r="E1130" t="inlineStr">
        <is>
          <t>DINHEIRO</t>
        </is>
      </c>
    </row>
    <row r="1131">
      <c r="A1131" t="n">
        <v>176</v>
      </c>
      <c r="B1131" t="inlineStr">
        <is>
          <t>The Cavern</t>
        </is>
      </c>
      <c r="C1131" s="27" t="n">
        <v>46070</v>
      </c>
      <c r="D1131" t="n">
        <v>428.27</v>
      </c>
      <c r="E1131" t="inlineStr">
        <is>
          <t>CRÉDITO</t>
        </is>
      </c>
    </row>
    <row r="1132">
      <c r="A1132" t="n">
        <v>176</v>
      </c>
      <c r="B1132" t="inlineStr">
        <is>
          <t>The Cavern</t>
        </is>
      </c>
      <c r="C1132" s="27" t="n">
        <v>46070</v>
      </c>
      <c r="D1132" t="n">
        <v>194.92</v>
      </c>
      <c r="E1132" t="inlineStr">
        <is>
          <t>DÉBITO</t>
        </is>
      </c>
    </row>
    <row r="1133">
      <c r="A1133" t="n">
        <v>176</v>
      </c>
      <c r="B1133" t="inlineStr">
        <is>
          <t>The Cavern</t>
        </is>
      </c>
      <c r="C1133" s="27" t="n">
        <v>46070</v>
      </c>
      <c r="D1133" t="n">
        <v>0</v>
      </c>
      <c r="E1133" t="inlineStr">
        <is>
          <t>ANTECIPADO</t>
        </is>
      </c>
    </row>
    <row r="1134">
      <c r="A1134" t="n">
        <v>176</v>
      </c>
      <c r="B1134" t="inlineStr">
        <is>
          <t>The Cavern</t>
        </is>
      </c>
      <c r="C1134" s="27" t="n">
        <v>46070</v>
      </c>
      <c r="D1134" t="n">
        <v>0</v>
      </c>
      <c r="E1134" t="inlineStr">
        <is>
          <t>RECARGAS DEVOLVIDAS</t>
        </is>
      </c>
    </row>
    <row r="1135">
      <c r="A1135" t="n">
        <v>176</v>
      </c>
      <c r="B1135" t="inlineStr">
        <is>
          <t>The Cavern</t>
        </is>
      </c>
      <c r="C1135" s="27" t="n">
        <v>46070</v>
      </c>
      <c r="D1135" t="n">
        <v>0</v>
      </c>
      <c r="E1135" t="inlineStr">
        <is>
          <t>DELIVERY ONLINE</t>
        </is>
      </c>
    </row>
    <row r="1136">
      <c r="A1136" t="n">
        <v>176</v>
      </c>
      <c r="B1136" t="inlineStr">
        <is>
          <t>The Cavern</t>
        </is>
      </c>
      <c r="C1136" s="27" t="n">
        <v>46070</v>
      </c>
      <c r="D1136" t="n">
        <v>0</v>
      </c>
      <c r="E1136" t="inlineStr">
        <is>
          <t>IFOOD</t>
        </is>
      </c>
    </row>
    <row r="1137">
      <c r="A1137" t="n">
        <v>176</v>
      </c>
      <c r="B1137" t="inlineStr">
        <is>
          <t>The Cavern</t>
        </is>
      </c>
      <c r="C1137" s="27" t="n">
        <v>46070</v>
      </c>
      <c r="D1137" t="n">
        <v>0</v>
      </c>
      <c r="E1137" t="inlineStr">
        <is>
          <t>PIX</t>
        </is>
      </c>
    </row>
    <row r="1138">
      <c r="A1138" t="n">
        <v>176</v>
      </c>
      <c r="B1138" t="inlineStr">
        <is>
          <t>The Cavern</t>
        </is>
      </c>
      <c r="C1138" s="27" t="n">
        <v>46070</v>
      </c>
      <c r="D1138" t="n">
        <v>0</v>
      </c>
      <c r="E1138" t="inlineStr">
        <is>
          <t>RAPPI</t>
        </is>
      </c>
    </row>
    <row r="1139">
      <c r="A1139" t="n">
        <v>176</v>
      </c>
      <c r="B1139" t="inlineStr">
        <is>
          <t>The Cavern</t>
        </is>
      </c>
      <c r="C1139" s="27" t="n">
        <v>46070</v>
      </c>
      <c r="D1139" t="n">
        <v>0</v>
      </c>
      <c r="E1139" t="inlineStr">
        <is>
          <t>UBER</t>
        </is>
      </c>
    </row>
    <row r="1140">
      <c r="A1140" t="n">
        <v>176</v>
      </c>
      <c r="B1140" t="inlineStr">
        <is>
          <t>The Cavern</t>
        </is>
      </c>
      <c r="C1140" s="27" t="n">
        <v>46070</v>
      </c>
      <c r="D1140" t="n">
        <v>0</v>
      </c>
      <c r="E1140" t="inlineStr">
        <is>
          <t>ANTECIPADO</t>
        </is>
      </c>
    </row>
    <row r="1141">
      <c r="A1141" t="n">
        <v>176</v>
      </c>
      <c r="B1141" t="inlineStr">
        <is>
          <t>The Cavern</t>
        </is>
      </c>
      <c r="C1141" s="27" t="n">
        <v>46070</v>
      </c>
      <c r="D1141" t="n">
        <v>0</v>
      </c>
      <c r="E1141" t="inlineStr">
        <is>
          <t>VOUCHER</t>
        </is>
      </c>
    </row>
    <row r="1142">
      <c r="A1142" t="n">
        <v>176</v>
      </c>
      <c r="B1142" t="inlineStr">
        <is>
          <t>The Cavern</t>
        </is>
      </c>
      <c r="C1142" s="27" t="n">
        <v>46070</v>
      </c>
      <c r="D1142" t="n">
        <v>405.67</v>
      </c>
      <c r="E1142" t="inlineStr">
        <is>
          <t>DÉBITO</t>
        </is>
      </c>
    </row>
    <row r="1143">
      <c r="A1143" t="n">
        <v>176</v>
      </c>
      <c r="B1143" t="inlineStr">
        <is>
          <t>The Cavern</t>
        </is>
      </c>
      <c r="C1143" s="27" t="n">
        <v>46070</v>
      </c>
      <c r="D1143" t="n">
        <v>0</v>
      </c>
      <c r="E1143" t="inlineStr">
        <is>
          <t>BÔNUS</t>
        </is>
      </c>
    </row>
    <row r="1144">
      <c r="A1144" t="n">
        <v>176</v>
      </c>
      <c r="B1144" t="inlineStr">
        <is>
          <t>The Cavern</t>
        </is>
      </c>
      <c r="C1144" s="27" t="n">
        <v>46070</v>
      </c>
      <c r="D1144" t="n">
        <v>0</v>
      </c>
      <c r="E1144" t="inlineStr">
        <is>
          <t>ANTECIPADO</t>
        </is>
      </c>
    </row>
    <row r="1145">
      <c r="A1145" t="n">
        <v>176</v>
      </c>
      <c r="B1145" t="inlineStr">
        <is>
          <t>The Cavern</t>
        </is>
      </c>
      <c r="C1145" s="27" t="n">
        <v>46070</v>
      </c>
      <c r="D1145" t="n">
        <v>0</v>
      </c>
      <c r="E1145" t="inlineStr">
        <is>
          <t>OUTROS</t>
        </is>
      </c>
    </row>
    <row r="1146">
      <c r="A1146" t="n">
        <v>176</v>
      </c>
      <c r="B1146" t="inlineStr">
        <is>
          <t>The Cavern</t>
        </is>
      </c>
      <c r="C1146" s="27" t="n">
        <v>46070</v>
      </c>
      <c r="D1146" t="n">
        <v>0</v>
      </c>
      <c r="E1146" t="inlineStr">
        <is>
          <t>AME</t>
        </is>
      </c>
    </row>
    <row r="1147">
      <c r="A1147" t="n">
        <v>176</v>
      </c>
      <c r="B1147" t="inlineStr">
        <is>
          <t>The Cavern</t>
        </is>
      </c>
      <c r="C1147" s="27" t="n">
        <v>46070</v>
      </c>
      <c r="D1147" t="n">
        <v>0</v>
      </c>
      <c r="E1147" t="inlineStr">
        <is>
          <t>NOTAS MANUAIS + SERVIÇO</t>
        </is>
      </c>
    </row>
    <row r="1148">
      <c r="A1148" t="n">
        <v>176</v>
      </c>
      <c r="B1148" t="inlineStr">
        <is>
          <t>The Cavern</t>
        </is>
      </c>
      <c r="C1148" s="27" t="n">
        <v>46070</v>
      </c>
      <c r="D1148" t="n">
        <v>0</v>
      </c>
      <c r="E1148" t="inlineStr">
        <is>
          <t>APP</t>
        </is>
      </c>
    </row>
    <row r="1149">
      <c r="A1149" t="n">
        <v>176</v>
      </c>
      <c r="B1149" t="inlineStr">
        <is>
          <t>The Cavern</t>
        </is>
      </c>
      <c r="C1149" s="27" t="n">
        <v>46070</v>
      </c>
      <c r="D1149" t="n">
        <v>0</v>
      </c>
      <c r="E1149" t="inlineStr">
        <is>
          <t>VOUCHER INTEGRADO</t>
        </is>
      </c>
    </row>
    <row r="1150">
      <c r="A1150" t="n">
        <v>176</v>
      </c>
      <c r="B1150" t="inlineStr">
        <is>
          <t>The Cavern</t>
        </is>
      </c>
      <c r="C1150" s="27" t="n">
        <v>46070</v>
      </c>
      <c r="D1150" t="n">
        <v>0</v>
      </c>
      <c r="E1150" t="inlineStr">
        <is>
          <t>MBWAY</t>
        </is>
      </c>
    </row>
    <row r="1151">
      <c r="A1151" t="n">
        <v>176</v>
      </c>
      <c r="B1151" t="inlineStr">
        <is>
          <t>The Cavern</t>
        </is>
      </c>
      <c r="C1151" s="27" t="n">
        <v>46070</v>
      </c>
      <c r="D1151" t="n">
        <v>0</v>
      </c>
      <c r="E1151" t="inlineStr">
        <is>
          <t>DINHEIRO</t>
        </is>
      </c>
    </row>
    <row r="1152">
      <c r="A1152" t="n">
        <v>176</v>
      </c>
      <c r="B1152" t="inlineStr">
        <is>
          <t>The Cavern</t>
        </is>
      </c>
      <c r="C1152" s="27" t="n">
        <v>46070</v>
      </c>
      <c r="D1152" t="n">
        <v>502.85</v>
      </c>
      <c r="E1152" t="inlineStr">
        <is>
          <t>CRÉDITO</t>
        </is>
      </c>
    </row>
    <row r="1153">
      <c r="A1153" t="n">
        <v>176</v>
      </c>
      <c r="B1153" t="inlineStr">
        <is>
          <t>The Cavern</t>
        </is>
      </c>
      <c r="C1153" s="27" t="n">
        <v>46070</v>
      </c>
      <c r="D1153" t="n">
        <v>0</v>
      </c>
      <c r="E1153" t="inlineStr">
        <is>
          <t>MBWAY</t>
        </is>
      </c>
    </row>
    <row r="1154">
      <c r="A1154" t="n">
        <v>176</v>
      </c>
      <c r="B1154" t="inlineStr">
        <is>
          <t>The Cavern</t>
        </is>
      </c>
      <c r="C1154" s="27" t="n">
        <v>46070</v>
      </c>
      <c r="D1154" t="n">
        <v>0</v>
      </c>
      <c r="E1154" t="inlineStr">
        <is>
          <t>VOUCHER INTEGRADO</t>
        </is>
      </c>
    </row>
    <row r="1155">
      <c r="A1155" t="n">
        <v>176</v>
      </c>
      <c r="B1155" t="inlineStr">
        <is>
          <t>The Cavern</t>
        </is>
      </c>
      <c r="C1155" s="27" t="n">
        <v>46070</v>
      </c>
      <c r="D1155" t="n">
        <v>0</v>
      </c>
      <c r="E1155" t="inlineStr">
        <is>
          <t>RECARGAS DEVOLVIDAS</t>
        </is>
      </c>
    </row>
    <row r="1156">
      <c r="A1156" t="n">
        <v>176</v>
      </c>
      <c r="B1156" t="inlineStr">
        <is>
          <t>The Cavern</t>
        </is>
      </c>
      <c r="C1156" s="27" t="n">
        <v>46070</v>
      </c>
      <c r="D1156" t="n">
        <v>0</v>
      </c>
      <c r="E1156" t="inlineStr">
        <is>
          <t>NOTAS MANUAIS + SERVIÇO</t>
        </is>
      </c>
    </row>
    <row r="1157">
      <c r="A1157" t="n">
        <v>176</v>
      </c>
      <c r="B1157" t="inlineStr">
        <is>
          <t>The Cavern</t>
        </is>
      </c>
      <c r="C1157" s="27" t="n">
        <v>46070</v>
      </c>
      <c r="D1157" t="n">
        <v>0</v>
      </c>
      <c r="E1157" t="inlineStr">
        <is>
          <t>AME</t>
        </is>
      </c>
    </row>
    <row r="1158">
      <c r="A1158" t="n">
        <v>176</v>
      </c>
      <c r="B1158" t="inlineStr">
        <is>
          <t>The Cavern</t>
        </is>
      </c>
      <c r="C1158" s="27" t="n">
        <v>46070</v>
      </c>
      <c r="D1158" t="n">
        <v>0</v>
      </c>
      <c r="E1158" t="inlineStr">
        <is>
          <t>OUTROS</t>
        </is>
      </c>
    </row>
    <row r="1159">
      <c r="A1159" t="n">
        <v>176</v>
      </c>
      <c r="B1159" t="inlineStr">
        <is>
          <t>The Cavern</t>
        </is>
      </c>
      <c r="C1159" s="27" t="n">
        <v>46070</v>
      </c>
      <c r="D1159" t="n">
        <v>0</v>
      </c>
      <c r="E1159" t="inlineStr">
        <is>
          <t>ANTECIPADO</t>
        </is>
      </c>
    </row>
    <row r="1160">
      <c r="A1160" t="n">
        <v>176</v>
      </c>
      <c r="B1160" t="inlineStr">
        <is>
          <t>The Cavern</t>
        </is>
      </c>
      <c r="C1160" s="27" t="n">
        <v>46070</v>
      </c>
      <c r="D1160" t="n">
        <v>0</v>
      </c>
      <c r="E1160" t="inlineStr">
        <is>
          <t>BÔNUS</t>
        </is>
      </c>
    </row>
    <row r="1161">
      <c r="A1161" t="n">
        <v>176</v>
      </c>
      <c r="B1161" t="inlineStr">
        <is>
          <t>The Cavern</t>
        </is>
      </c>
      <c r="C1161" s="27" t="n">
        <v>46069</v>
      </c>
      <c r="D1161" t="n">
        <v>0</v>
      </c>
      <c r="E1161" t="inlineStr">
        <is>
          <t>RAPPI</t>
        </is>
      </c>
    </row>
    <row r="1162">
      <c r="A1162" t="n">
        <v>176</v>
      </c>
      <c r="B1162" t="inlineStr">
        <is>
          <t>The Cavern</t>
        </is>
      </c>
      <c r="C1162" s="27" t="n">
        <v>46069</v>
      </c>
      <c r="D1162" t="n">
        <v>0</v>
      </c>
      <c r="E1162" t="inlineStr">
        <is>
          <t>ANTECIPADO</t>
        </is>
      </c>
    </row>
    <row r="1163">
      <c r="A1163" t="n">
        <v>176</v>
      </c>
      <c r="B1163" t="inlineStr">
        <is>
          <t>The Cavern</t>
        </is>
      </c>
      <c r="C1163" s="27" t="n">
        <v>46069</v>
      </c>
      <c r="D1163" t="n">
        <v>0</v>
      </c>
      <c r="E1163" t="inlineStr">
        <is>
          <t>OUTROS</t>
        </is>
      </c>
    </row>
    <row r="1164">
      <c r="A1164" t="n">
        <v>176</v>
      </c>
      <c r="B1164" t="inlineStr">
        <is>
          <t>The Cavern</t>
        </is>
      </c>
      <c r="C1164" s="27" t="n">
        <v>46069</v>
      </c>
      <c r="D1164" t="n">
        <v>0</v>
      </c>
      <c r="E1164" t="inlineStr">
        <is>
          <t>AME</t>
        </is>
      </c>
    </row>
    <row r="1165">
      <c r="A1165" t="n">
        <v>176</v>
      </c>
      <c r="B1165" t="inlineStr">
        <is>
          <t>The Cavern</t>
        </is>
      </c>
      <c r="C1165" s="27" t="n">
        <v>46069</v>
      </c>
      <c r="D1165" t="n">
        <v>0</v>
      </c>
      <c r="E1165" t="inlineStr">
        <is>
          <t>NOTAS MANUAIS + SERVIÇO</t>
        </is>
      </c>
    </row>
    <row r="1166">
      <c r="A1166" t="n">
        <v>176</v>
      </c>
      <c r="B1166" t="inlineStr">
        <is>
          <t>The Cavern</t>
        </is>
      </c>
      <c r="C1166" s="27" t="n">
        <v>46069</v>
      </c>
      <c r="D1166" t="n">
        <v>0</v>
      </c>
      <c r="E1166" t="inlineStr">
        <is>
          <t>RECARGAS DEVOLVIDAS</t>
        </is>
      </c>
    </row>
    <row r="1167">
      <c r="A1167" t="n">
        <v>176</v>
      </c>
      <c r="B1167" t="inlineStr">
        <is>
          <t>The Cavern</t>
        </is>
      </c>
      <c r="C1167" s="27" t="n">
        <v>46069</v>
      </c>
      <c r="D1167" t="n">
        <v>0</v>
      </c>
      <c r="E1167" t="inlineStr">
        <is>
          <t>VOUCHER INTEGRADO</t>
        </is>
      </c>
    </row>
    <row r="1168">
      <c r="A1168" t="n">
        <v>176</v>
      </c>
      <c r="B1168" t="inlineStr">
        <is>
          <t>The Cavern</t>
        </is>
      </c>
      <c r="C1168" s="27" t="n">
        <v>46069</v>
      </c>
      <c r="D1168" t="n">
        <v>0</v>
      </c>
      <c r="E1168" t="inlineStr">
        <is>
          <t>MBWAY</t>
        </is>
      </c>
    </row>
    <row r="1169">
      <c r="A1169" t="n">
        <v>176</v>
      </c>
      <c r="B1169" t="inlineStr">
        <is>
          <t>The Cavern</t>
        </is>
      </c>
      <c r="C1169" s="27" t="n">
        <v>46069</v>
      </c>
      <c r="D1169" t="n">
        <v>1413.79</v>
      </c>
      <c r="E1169" t="inlineStr">
        <is>
          <t>CRÉDITO</t>
        </is>
      </c>
    </row>
    <row r="1170">
      <c r="A1170" t="n">
        <v>176</v>
      </c>
      <c r="B1170" t="inlineStr">
        <is>
          <t>The Cavern</t>
        </is>
      </c>
      <c r="C1170" s="27" t="n">
        <v>46069</v>
      </c>
      <c r="D1170" t="n">
        <v>0</v>
      </c>
      <c r="E1170" t="inlineStr">
        <is>
          <t>DINHEIRO</t>
        </is>
      </c>
    </row>
    <row r="1171">
      <c r="A1171" t="n">
        <v>176</v>
      </c>
      <c r="B1171" t="inlineStr">
        <is>
          <t>The Cavern</t>
        </is>
      </c>
      <c r="C1171" s="27" t="n">
        <v>46069</v>
      </c>
      <c r="D1171" t="n">
        <v>0</v>
      </c>
      <c r="E1171" t="inlineStr">
        <is>
          <t>APP</t>
        </is>
      </c>
    </row>
    <row r="1172">
      <c r="A1172" t="n">
        <v>176</v>
      </c>
      <c r="B1172" t="inlineStr">
        <is>
          <t>The Cavern</t>
        </is>
      </c>
      <c r="C1172" s="27" t="n">
        <v>46069</v>
      </c>
      <c r="D1172" t="n">
        <v>0</v>
      </c>
      <c r="E1172" t="inlineStr">
        <is>
          <t>DELIVERY ONLINE</t>
        </is>
      </c>
    </row>
    <row r="1173">
      <c r="A1173" t="n">
        <v>176</v>
      </c>
      <c r="B1173" t="inlineStr">
        <is>
          <t>The Cavern</t>
        </is>
      </c>
      <c r="C1173" s="27" t="n">
        <v>46069</v>
      </c>
      <c r="D1173" t="n">
        <v>0</v>
      </c>
      <c r="E1173" t="inlineStr">
        <is>
          <t>IFOOD</t>
        </is>
      </c>
    </row>
    <row r="1174">
      <c r="A1174" t="n">
        <v>176</v>
      </c>
      <c r="B1174" t="inlineStr">
        <is>
          <t>The Cavern</t>
        </is>
      </c>
      <c r="C1174" s="27" t="n">
        <v>46069</v>
      </c>
      <c r="D1174" t="n">
        <v>27.5</v>
      </c>
      <c r="E1174" t="inlineStr">
        <is>
          <t>PIX</t>
        </is>
      </c>
    </row>
    <row r="1175">
      <c r="A1175" t="n">
        <v>176</v>
      </c>
      <c r="B1175" t="inlineStr">
        <is>
          <t>The Cavern</t>
        </is>
      </c>
      <c r="C1175" s="27" t="n">
        <v>46069</v>
      </c>
      <c r="D1175" t="n">
        <v>0</v>
      </c>
      <c r="E1175" t="inlineStr">
        <is>
          <t>BÔNUS</t>
        </is>
      </c>
    </row>
    <row r="1176">
      <c r="A1176" t="n">
        <v>176</v>
      </c>
      <c r="B1176" t="inlineStr">
        <is>
          <t>The Cavern</t>
        </is>
      </c>
      <c r="C1176" s="27" t="n">
        <v>46069</v>
      </c>
      <c r="D1176" t="n">
        <v>0</v>
      </c>
      <c r="E1176" t="inlineStr">
        <is>
          <t>UBER</t>
        </is>
      </c>
    </row>
    <row r="1177">
      <c r="A1177" t="n">
        <v>176</v>
      </c>
      <c r="B1177" t="inlineStr">
        <is>
          <t>The Cavern</t>
        </is>
      </c>
      <c r="C1177" s="27" t="n">
        <v>46069</v>
      </c>
      <c r="D1177" t="n">
        <v>0</v>
      </c>
      <c r="E1177" t="inlineStr">
        <is>
          <t>ANTECIPADO</t>
        </is>
      </c>
    </row>
    <row r="1178">
      <c r="A1178" t="n">
        <v>176</v>
      </c>
      <c r="B1178" t="inlineStr">
        <is>
          <t>The Cavern</t>
        </is>
      </c>
      <c r="C1178" s="27" t="n">
        <v>46069</v>
      </c>
      <c r="D1178" t="n">
        <v>185.32</v>
      </c>
      <c r="E1178" t="inlineStr">
        <is>
          <t>VOUCHER</t>
        </is>
      </c>
    </row>
    <row r="1179">
      <c r="A1179" t="n">
        <v>176</v>
      </c>
      <c r="B1179" t="inlineStr">
        <is>
          <t>The Cavern</t>
        </is>
      </c>
      <c r="C1179" s="27" t="n">
        <v>46069</v>
      </c>
      <c r="D1179" t="n">
        <v>813.5599999999999</v>
      </c>
      <c r="E1179" t="inlineStr">
        <is>
          <t>DÉBITO</t>
        </is>
      </c>
    </row>
    <row r="1180">
      <c r="A1180" t="n">
        <v>176</v>
      </c>
      <c r="B1180" t="inlineStr">
        <is>
          <t>The Cavern</t>
        </is>
      </c>
      <c r="C1180" s="27" t="n">
        <v>46069</v>
      </c>
      <c r="D1180" t="n">
        <v>0</v>
      </c>
      <c r="E1180" t="inlineStr">
        <is>
          <t>BÔNUS</t>
        </is>
      </c>
    </row>
    <row r="1181">
      <c r="A1181" t="n">
        <v>176</v>
      </c>
      <c r="B1181" t="inlineStr">
        <is>
          <t>The Cavern</t>
        </is>
      </c>
      <c r="C1181" s="27" t="n">
        <v>46069</v>
      </c>
      <c r="D1181" t="n">
        <v>0</v>
      </c>
      <c r="E1181" t="inlineStr">
        <is>
          <t>ANTECIPADO</t>
        </is>
      </c>
    </row>
    <row r="1182">
      <c r="A1182" t="n">
        <v>176</v>
      </c>
      <c r="B1182" t="inlineStr">
        <is>
          <t>The Cavern</t>
        </is>
      </c>
      <c r="C1182" s="27" t="n">
        <v>46069</v>
      </c>
      <c r="D1182" t="n">
        <v>0</v>
      </c>
      <c r="E1182" t="inlineStr">
        <is>
          <t>OUTROS</t>
        </is>
      </c>
    </row>
    <row r="1183">
      <c r="A1183" t="n">
        <v>176</v>
      </c>
      <c r="B1183" t="inlineStr">
        <is>
          <t>The Cavern</t>
        </is>
      </c>
      <c r="C1183" s="27" t="n">
        <v>46069</v>
      </c>
      <c r="D1183" t="n">
        <v>0</v>
      </c>
      <c r="E1183" t="inlineStr">
        <is>
          <t>AME</t>
        </is>
      </c>
    </row>
    <row r="1184">
      <c r="A1184" t="n">
        <v>176</v>
      </c>
      <c r="B1184" t="inlineStr">
        <is>
          <t>The Cavern</t>
        </is>
      </c>
      <c r="C1184" s="27" t="n">
        <v>46069</v>
      </c>
      <c r="D1184" t="n">
        <v>0</v>
      </c>
      <c r="E1184" t="inlineStr">
        <is>
          <t>NOTAS MANUAIS + SERVIÇO</t>
        </is>
      </c>
    </row>
    <row r="1185">
      <c r="A1185" t="n">
        <v>176</v>
      </c>
      <c r="B1185" t="inlineStr">
        <is>
          <t>The Cavern</t>
        </is>
      </c>
      <c r="C1185" s="27" t="n">
        <v>46069</v>
      </c>
      <c r="D1185" t="n">
        <v>0</v>
      </c>
      <c r="E1185" t="inlineStr">
        <is>
          <t>RECARGAS DEVOLVIDAS</t>
        </is>
      </c>
    </row>
    <row r="1186">
      <c r="A1186" t="n">
        <v>176</v>
      </c>
      <c r="B1186" t="inlineStr">
        <is>
          <t>The Cavern</t>
        </is>
      </c>
      <c r="C1186" s="27" t="n">
        <v>46069</v>
      </c>
      <c r="D1186" t="n">
        <v>0</v>
      </c>
      <c r="E1186" t="inlineStr">
        <is>
          <t>VOUCHER INTEGRADO</t>
        </is>
      </c>
    </row>
    <row r="1187">
      <c r="A1187" t="n">
        <v>176</v>
      </c>
      <c r="B1187" t="inlineStr">
        <is>
          <t>The Cavern</t>
        </is>
      </c>
      <c r="C1187" s="27" t="n">
        <v>46069</v>
      </c>
      <c r="D1187" t="n">
        <v>0</v>
      </c>
      <c r="E1187" t="inlineStr">
        <is>
          <t>MBWAY</t>
        </is>
      </c>
    </row>
    <row r="1188">
      <c r="A1188" t="n">
        <v>176</v>
      </c>
      <c r="B1188" t="inlineStr">
        <is>
          <t>The Cavern</t>
        </is>
      </c>
      <c r="C1188" s="27" t="n">
        <v>46069</v>
      </c>
      <c r="D1188" t="n">
        <v>0</v>
      </c>
      <c r="E1188" t="inlineStr">
        <is>
          <t>VOUCHER</t>
        </is>
      </c>
    </row>
    <row r="1189">
      <c r="A1189" t="n">
        <v>176</v>
      </c>
      <c r="B1189" t="inlineStr">
        <is>
          <t>The Cavern</t>
        </is>
      </c>
      <c r="C1189" s="27" t="n">
        <v>46069</v>
      </c>
      <c r="D1189" t="n">
        <v>0</v>
      </c>
      <c r="E1189" t="inlineStr">
        <is>
          <t>ANTECIPADO</t>
        </is>
      </c>
    </row>
    <row r="1190">
      <c r="A1190" t="n">
        <v>176</v>
      </c>
      <c r="B1190" t="inlineStr">
        <is>
          <t>The Cavern</t>
        </is>
      </c>
      <c r="C1190" s="27" t="n">
        <v>46069</v>
      </c>
      <c r="D1190" t="n">
        <v>0</v>
      </c>
      <c r="E1190" t="inlineStr">
        <is>
          <t>UBER</t>
        </is>
      </c>
    </row>
    <row r="1191">
      <c r="A1191" t="n">
        <v>176</v>
      </c>
      <c r="B1191" t="inlineStr">
        <is>
          <t>The Cavern</t>
        </is>
      </c>
      <c r="C1191" s="27" t="n">
        <v>46069</v>
      </c>
      <c r="D1191" t="n">
        <v>0</v>
      </c>
      <c r="E1191" t="inlineStr">
        <is>
          <t>RAPPI</t>
        </is>
      </c>
    </row>
    <row r="1192">
      <c r="A1192" t="n">
        <v>176</v>
      </c>
      <c r="B1192" t="inlineStr">
        <is>
          <t>The Cavern</t>
        </is>
      </c>
      <c r="C1192" s="27" t="n">
        <v>46069</v>
      </c>
      <c r="D1192" t="n">
        <v>0</v>
      </c>
      <c r="E1192" t="inlineStr">
        <is>
          <t>PIX</t>
        </is>
      </c>
    </row>
    <row r="1193">
      <c r="A1193" t="n">
        <v>176</v>
      </c>
      <c r="B1193" t="inlineStr">
        <is>
          <t>The Cavern</t>
        </is>
      </c>
      <c r="C1193" s="27" t="n">
        <v>46069</v>
      </c>
      <c r="D1193" t="n">
        <v>0</v>
      </c>
      <c r="E1193" t="inlineStr">
        <is>
          <t>IFOOD</t>
        </is>
      </c>
    </row>
    <row r="1194">
      <c r="A1194" t="n">
        <v>176</v>
      </c>
      <c r="B1194" t="inlineStr">
        <is>
          <t>The Cavern</t>
        </is>
      </c>
      <c r="C1194" s="27" t="n">
        <v>46069</v>
      </c>
      <c r="D1194" t="n">
        <v>0</v>
      </c>
      <c r="E1194" t="inlineStr">
        <is>
          <t>DELIVERY ONLINE</t>
        </is>
      </c>
    </row>
    <row r="1195">
      <c r="A1195" t="n">
        <v>176</v>
      </c>
      <c r="B1195" t="inlineStr">
        <is>
          <t>The Cavern</t>
        </is>
      </c>
      <c r="C1195" s="27" t="n">
        <v>46069</v>
      </c>
      <c r="D1195" t="n">
        <v>0</v>
      </c>
      <c r="E1195" t="inlineStr">
        <is>
          <t>APP</t>
        </is>
      </c>
    </row>
    <row r="1196">
      <c r="A1196" t="n">
        <v>176</v>
      </c>
      <c r="B1196" t="inlineStr">
        <is>
          <t>The Cavern</t>
        </is>
      </c>
      <c r="C1196" s="27" t="n">
        <v>46069</v>
      </c>
      <c r="D1196" t="n">
        <v>20</v>
      </c>
      <c r="E1196" t="inlineStr">
        <is>
          <t>DINHEIRO</t>
        </is>
      </c>
    </row>
    <row r="1197">
      <c r="A1197" t="n">
        <v>176</v>
      </c>
      <c r="B1197" t="inlineStr">
        <is>
          <t>The Cavern</t>
        </is>
      </c>
      <c r="C1197" s="27" t="n">
        <v>46069</v>
      </c>
      <c r="D1197" t="n">
        <v>462.17</v>
      </c>
      <c r="E1197" t="inlineStr">
        <is>
          <t>CRÉDITO</t>
        </is>
      </c>
    </row>
    <row r="1198">
      <c r="A1198" t="n">
        <v>176</v>
      </c>
      <c r="B1198" t="inlineStr">
        <is>
          <t>The Cavern</t>
        </is>
      </c>
      <c r="C1198" s="27" t="n">
        <v>46069</v>
      </c>
      <c r="D1198" t="n">
        <v>0</v>
      </c>
      <c r="E1198" t="inlineStr">
        <is>
          <t>DÉBITO</t>
        </is>
      </c>
    </row>
    <row r="1199">
      <c r="A1199" t="n">
        <v>176</v>
      </c>
      <c r="B1199" t="inlineStr">
        <is>
          <t>The Cavern</t>
        </is>
      </c>
      <c r="C1199" s="27" t="n">
        <v>46068</v>
      </c>
      <c r="D1199" t="n">
        <v>0</v>
      </c>
      <c r="E1199" t="inlineStr">
        <is>
          <t>DELIVERY ONLINE</t>
        </is>
      </c>
    </row>
    <row r="1200">
      <c r="A1200" t="n">
        <v>176</v>
      </c>
      <c r="B1200" t="inlineStr">
        <is>
          <t>The Cavern</t>
        </is>
      </c>
      <c r="C1200" s="27" t="n">
        <v>46068</v>
      </c>
      <c r="D1200" t="n">
        <v>0</v>
      </c>
      <c r="E1200" t="inlineStr">
        <is>
          <t>VOUCHER</t>
        </is>
      </c>
    </row>
    <row r="1201">
      <c r="A1201" t="n">
        <v>176</v>
      </c>
      <c r="B1201" t="inlineStr">
        <is>
          <t>The Cavern</t>
        </is>
      </c>
      <c r="C1201" s="27" t="n">
        <v>46068</v>
      </c>
      <c r="D1201" t="n">
        <v>0</v>
      </c>
      <c r="E1201" t="inlineStr">
        <is>
          <t>ANTECIPADO</t>
        </is>
      </c>
    </row>
    <row r="1202">
      <c r="A1202" t="n">
        <v>176</v>
      </c>
      <c r="B1202" t="inlineStr">
        <is>
          <t>The Cavern</t>
        </is>
      </c>
      <c r="C1202" s="27" t="n">
        <v>46068</v>
      </c>
      <c r="D1202" t="n">
        <v>0</v>
      </c>
      <c r="E1202" t="inlineStr">
        <is>
          <t>UBER</t>
        </is>
      </c>
    </row>
    <row r="1203">
      <c r="A1203" t="n">
        <v>176</v>
      </c>
      <c r="B1203" t="inlineStr">
        <is>
          <t>The Cavern</t>
        </is>
      </c>
      <c r="C1203" s="27" t="n">
        <v>46068</v>
      </c>
      <c r="D1203" t="n">
        <v>0</v>
      </c>
      <c r="E1203" t="inlineStr">
        <is>
          <t>RAPPI</t>
        </is>
      </c>
    </row>
    <row r="1204">
      <c r="A1204" t="n">
        <v>176</v>
      </c>
      <c r="B1204" t="inlineStr">
        <is>
          <t>The Cavern</t>
        </is>
      </c>
      <c r="C1204" s="27" t="n">
        <v>46068</v>
      </c>
      <c r="D1204" t="n">
        <v>500.59</v>
      </c>
      <c r="E1204" t="inlineStr">
        <is>
          <t>PIX</t>
        </is>
      </c>
    </row>
    <row r="1205">
      <c r="A1205" t="n">
        <v>176</v>
      </c>
      <c r="B1205" t="inlineStr">
        <is>
          <t>The Cavern</t>
        </is>
      </c>
      <c r="C1205" s="27" t="n">
        <v>46068</v>
      </c>
      <c r="D1205" t="n">
        <v>0</v>
      </c>
      <c r="E1205" t="inlineStr">
        <is>
          <t>IFOOD</t>
        </is>
      </c>
    </row>
    <row r="1206">
      <c r="A1206" t="n">
        <v>176</v>
      </c>
      <c r="B1206" t="inlineStr">
        <is>
          <t>The Cavern</t>
        </is>
      </c>
      <c r="C1206" s="27" t="n">
        <v>46068</v>
      </c>
      <c r="D1206" t="n">
        <v>0</v>
      </c>
      <c r="E1206" t="inlineStr">
        <is>
          <t>NOTAS MANUAIS + SERVIÇO</t>
        </is>
      </c>
    </row>
    <row r="1207">
      <c r="A1207" t="n">
        <v>176</v>
      </c>
      <c r="B1207" t="inlineStr">
        <is>
          <t>The Cavern</t>
        </is>
      </c>
      <c r="C1207" s="27" t="n">
        <v>46068</v>
      </c>
      <c r="D1207" t="n">
        <v>0</v>
      </c>
      <c r="E1207" t="inlineStr">
        <is>
          <t>APP</t>
        </is>
      </c>
    </row>
    <row r="1208">
      <c r="A1208" t="n">
        <v>176</v>
      </c>
      <c r="B1208" t="inlineStr">
        <is>
          <t>The Cavern</t>
        </is>
      </c>
      <c r="C1208" s="27" t="n">
        <v>46068</v>
      </c>
      <c r="D1208" t="n">
        <v>0</v>
      </c>
      <c r="E1208" t="inlineStr">
        <is>
          <t>MBWAY</t>
        </is>
      </c>
    </row>
    <row r="1209">
      <c r="A1209" t="n">
        <v>176</v>
      </c>
      <c r="B1209" t="inlineStr">
        <is>
          <t>The Cavern</t>
        </is>
      </c>
      <c r="C1209" s="27" t="n">
        <v>46068</v>
      </c>
      <c r="D1209" t="n">
        <v>2014.79</v>
      </c>
      <c r="E1209" t="inlineStr">
        <is>
          <t>DÉBITO</t>
        </is>
      </c>
    </row>
    <row r="1210">
      <c r="A1210" t="n">
        <v>176</v>
      </c>
      <c r="B1210" t="inlineStr">
        <is>
          <t>The Cavern</t>
        </is>
      </c>
      <c r="C1210" s="27" t="n">
        <v>46068</v>
      </c>
      <c r="D1210" t="n">
        <v>0</v>
      </c>
      <c r="E1210" t="inlineStr">
        <is>
          <t>BÔNUS</t>
        </is>
      </c>
    </row>
    <row r="1211">
      <c r="A1211" t="n">
        <v>176</v>
      </c>
      <c r="B1211" t="inlineStr">
        <is>
          <t>The Cavern</t>
        </is>
      </c>
      <c r="C1211" s="27" t="n">
        <v>46068</v>
      </c>
      <c r="D1211" t="n">
        <v>0</v>
      </c>
      <c r="E1211" t="inlineStr">
        <is>
          <t>ANTECIPADO</t>
        </is>
      </c>
    </row>
    <row r="1212">
      <c r="A1212" t="n">
        <v>176</v>
      </c>
      <c r="B1212" t="inlineStr">
        <is>
          <t>The Cavern</t>
        </is>
      </c>
      <c r="C1212" s="27" t="n">
        <v>46068</v>
      </c>
      <c r="D1212" t="n">
        <v>0</v>
      </c>
      <c r="E1212" t="inlineStr">
        <is>
          <t>OUTROS</t>
        </is>
      </c>
    </row>
    <row r="1213">
      <c r="A1213" t="n">
        <v>176</v>
      </c>
      <c r="B1213" t="inlineStr">
        <is>
          <t>The Cavern</t>
        </is>
      </c>
      <c r="C1213" s="27" t="n">
        <v>46068</v>
      </c>
      <c r="D1213" t="n">
        <v>0</v>
      </c>
      <c r="E1213" t="inlineStr">
        <is>
          <t>AME</t>
        </is>
      </c>
    </row>
    <row r="1214">
      <c r="A1214" t="n">
        <v>176</v>
      </c>
      <c r="B1214" t="inlineStr">
        <is>
          <t>The Cavern</t>
        </is>
      </c>
      <c r="C1214" s="27" t="n">
        <v>46068</v>
      </c>
      <c r="D1214" t="n">
        <v>0</v>
      </c>
      <c r="E1214" t="inlineStr">
        <is>
          <t>RECARGAS DEVOLVIDAS</t>
        </is>
      </c>
    </row>
    <row r="1215">
      <c r="A1215" t="n">
        <v>176</v>
      </c>
      <c r="B1215" t="inlineStr">
        <is>
          <t>The Cavern</t>
        </is>
      </c>
      <c r="C1215" s="27" t="n">
        <v>46068</v>
      </c>
      <c r="D1215" t="n">
        <v>0</v>
      </c>
      <c r="E1215" t="inlineStr">
        <is>
          <t>MBWAY</t>
        </is>
      </c>
    </row>
    <row r="1216">
      <c r="A1216" t="n">
        <v>176</v>
      </c>
      <c r="B1216" t="inlineStr">
        <is>
          <t>The Cavern</t>
        </is>
      </c>
      <c r="C1216" s="27" t="n">
        <v>46068</v>
      </c>
      <c r="D1216" t="n">
        <v>0</v>
      </c>
      <c r="E1216" t="inlineStr">
        <is>
          <t>VOUCHER INTEGRADO</t>
        </is>
      </c>
    </row>
    <row r="1217">
      <c r="A1217" t="n">
        <v>176</v>
      </c>
      <c r="B1217" t="inlineStr">
        <is>
          <t>The Cavern</t>
        </is>
      </c>
      <c r="C1217" s="27" t="n">
        <v>46068</v>
      </c>
      <c r="D1217" t="n">
        <v>87.01000000000001</v>
      </c>
      <c r="E1217" t="inlineStr">
        <is>
          <t>DINHEIRO</t>
        </is>
      </c>
    </row>
    <row r="1218">
      <c r="A1218" t="n">
        <v>176</v>
      </c>
      <c r="B1218" t="inlineStr">
        <is>
          <t>The Cavern</t>
        </is>
      </c>
      <c r="C1218" s="27" t="n">
        <v>46068</v>
      </c>
      <c r="D1218" t="n">
        <v>0</v>
      </c>
      <c r="E1218" t="inlineStr">
        <is>
          <t>VOUCHER</t>
        </is>
      </c>
    </row>
    <row r="1219">
      <c r="A1219" t="n">
        <v>176</v>
      </c>
      <c r="B1219" t="inlineStr">
        <is>
          <t>The Cavern</t>
        </is>
      </c>
      <c r="C1219" s="27" t="n">
        <v>46068</v>
      </c>
      <c r="D1219" t="n">
        <v>0</v>
      </c>
      <c r="E1219" t="inlineStr">
        <is>
          <t>MBWAY</t>
        </is>
      </c>
    </row>
    <row r="1220">
      <c r="A1220" t="n">
        <v>176</v>
      </c>
      <c r="B1220" t="inlineStr">
        <is>
          <t>The Cavern</t>
        </is>
      </c>
      <c r="C1220" s="27" t="n">
        <v>46068</v>
      </c>
      <c r="D1220" t="n">
        <v>0</v>
      </c>
      <c r="E1220" t="inlineStr">
        <is>
          <t>VOUCHER INTEGRADO</t>
        </is>
      </c>
    </row>
    <row r="1221">
      <c r="A1221" t="n">
        <v>176</v>
      </c>
      <c r="B1221" t="inlineStr">
        <is>
          <t>The Cavern</t>
        </is>
      </c>
      <c r="C1221" s="27" t="n">
        <v>46068</v>
      </c>
      <c r="D1221" t="n">
        <v>0</v>
      </c>
      <c r="E1221" t="inlineStr">
        <is>
          <t>RECARGAS DEVOLVIDAS</t>
        </is>
      </c>
    </row>
    <row r="1222">
      <c r="A1222" t="n">
        <v>176</v>
      </c>
      <c r="B1222" t="inlineStr">
        <is>
          <t>The Cavern</t>
        </is>
      </c>
      <c r="C1222" s="27" t="n">
        <v>46068</v>
      </c>
      <c r="D1222" t="n">
        <v>0</v>
      </c>
      <c r="E1222" t="inlineStr">
        <is>
          <t>NOTAS MANUAIS + SERVIÇO</t>
        </is>
      </c>
    </row>
    <row r="1223">
      <c r="A1223" t="n">
        <v>176</v>
      </c>
      <c r="B1223" t="inlineStr">
        <is>
          <t>The Cavern</t>
        </is>
      </c>
      <c r="C1223" s="27" t="n">
        <v>46068</v>
      </c>
      <c r="D1223" t="n">
        <v>0</v>
      </c>
      <c r="E1223" t="inlineStr">
        <is>
          <t>AME</t>
        </is>
      </c>
    </row>
    <row r="1224">
      <c r="A1224" t="n">
        <v>176</v>
      </c>
      <c r="B1224" t="inlineStr">
        <is>
          <t>The Cavern</t>
        </is>
      </c>
      <c r="C1224" s="27" t="n">
        <v>46068</v>
      </c>
      <c r="D1224" t="n">
        <v>0</v>
      </c>
      <c r="E1224" t="inlineStr">
        <is>
          <t>OUTROS</t>
        </is>
      </c>
    </row>
    <row r="1225">
      <c r="A1225" t="n">
        <v>176</v>
      </c>
      <c r="B1225" t="inlineStr">
        <is>
          <t>The Cavern</t>
        </is>
      </c>
      <c r="C1225" s="27" t="n">
        <v>46068</v>
      </c>
      <c r="D1225" t="n">
        <v>0</v>
      </c>
      <c r="E1225" t="inlineStr">
        <is>
          <t>ANTECIPADO</t>
        </is>
      </c>
    </row>
    <row r="1226">
      <c r="A1226" t="n">
        <v>176</v>
      </c>
      <c r="B1226" t="inlineStr">
        <is>
          <t>The Cavern</t>
        </is>
      </c>
      <c r="C1226" s="27" t="n">
        <v>46068</v>
      </c>
      <c r="D1226" t="n">
        <v>0</v>
      </c>
      <c r="E1226" t="inlineStr">
        <is>
          <t>BÔNUS</t>
        </is>
      </c>
    </row>
    <row r="1227">
      <c r="A1227" t="n">
        <v>176</v>
      </c>
      <c r="B1227" t="inlineStr">
        <is>
          <t>The Cavern</t>
        </is>
      </c>
      <c r="C1227" s="27" t="n">
        <v>46068</v>
      </c>
      <c r="D1227" t="n">
        <v>0</v>
      </c>
      <c r="E1227" t="inlineStr">
        <is>
          <t>DÉBITO</t>
        </is>
      </c>
    </row>
    <row r="1228">
      <c r="A1228" t="n">
        <v>176</v>
      </c>
      <c r="B1228" t="inlineStr">
        <is>
          <t>The Cavern</t>
        </is>
      </c>
      <c r="C1228" s="27" t="n">
        <v>46068</v>
      </c>
      <c r="D1228" t="n">
        <v>0</v>
      </c>
      <c r="E1228" t="inlineStr">
        <is>
          <t>CRÉDITO</t>
        </is>
      </c>
    </row>
    <row r="1229">
      <c r="A1229" t="n">
        <v>176</v>
      </c>
      <c r="B1229" t="inlineStr">
        <is>
          <t>The Cavern</t>
        </is>
      </c>
      <c r="C1229" s="27" t="n">
        <v>46068</v>
      </c>
      <c r="D1229" t="n">
        <v>0</v>
      </c>
      <c r="E1229" t="inlineStr">
        <is>
          <t>ANTECIPADO</t>
        </is>
      </c>
    </row>
    <row r="1230">
      <c r="A1230" t="n">
        <v>176</v>
      </c>
      <c r="B1230" t="inlineStr">
        <is>
          <t>The Cavern</t>
        </is>
      </c>
      <c r="C1230" s="27" t="n">
        <v>46068</v>
      </c>
      <c r="D1230" t="n">
        <v>0</v>
      </c>
      <c r="E1230" t="inlineStr">
        <is>
          <t>UBER</t>
        </is>
      </c>
    </row>
    <row r="1231">
      <c r="A1231" t="n">
        <v>176</v>
      </c>
      <c r="B1231" t="inlineStr">
        <is>
          <t>The Cavern</t>
        </is>
      </c>
      <c r="C1231" s="27" t="n">
        <v>46068</v>
      </c>
      <c r="D1231" t="n">
        <v>0</v>
      </c>
      <c r="E1231" t="inlineStr">
        <is>
          <t>RAPPI</t>
        </is>
      </c>
    </row>
    <row r="1232">
      <c r="A1232" t="n">
        <v>176</v>
      </c>
      <c r="B1232" t="inlineStr">
        <is>
          <t>The Cavern</t>
        </is>
      </c>
      <c r="C1232" s="27" t="n">
        <v>46068</v>
      </c>
      <c r="D1232" t="n">
        <v>0</v>
      </c>
      <c r="E1232" t="inlineStr">
        <is>
          <t>PIX</t>
        </is>
      </c>
    </row>
    <row r="1233">
      <c r="A1233" t="n">
        <v>176</v>
      </c>
      <c r="B1233" t="inlineStr">
        <is>
          <t>The Cavern</t>
        </is>
      </c>
      <c r="C1233" s="27" t="n">
        <v>46068</v>
      </c>
      <c r="D1233" t="n">
        <v>0</v>
      </c>
      <c r="E1233" t="inlineStr">
        <is>
          <t>IFOOD</t>
        </is>
      </c>
    </row>
    <row r="1234">
      <c r="A1234" t="n">
        <v>176</v>
      </c>
      <c r="B1234" t="inlineStr">
        <is>
          <t>The Cavern</t>
        </is>
      </c>
      <c r="C1234" s="27" t="n">
        <v>46068</v>
      </c>
      <c r="D1234" t="n">
        <v>0</v>
      </c>
      <c r="E1234" t="inlineStr">
        <is>
          <t>DELIVERY ONLINE</t>
        </is>
      </c>
    </row>
    <row r="1235">
      <c r="A1235" t="n">
        <v>176</v>
      </c>
      <c r="B1235" t="inlineStr">
        <is>
          <t>The Cavern</t>
        </is>
      </c>
      <c r="C1235" s="27" t="n">
        <v>46068</v>
      </c>
      <c r="D1235" t="n">
        <v>0</v>
      </c>
      <c r="E1235" t="inlineStr">
        <is>
          <t>APP</t>
        </is>
      </c>
    </row>
    <row r="1236">
      <c r="A1236" t="n">
        <v>176</v>
      </c>
      <c r="B1236" t="inlineStr">
        <is>
          <t>The Cavern</t>
        </is>
      </c>
      <c r="C1236" s="27" t="n">
        <v>46068</v>
      </c>
      <c r="D1236" t="n">
        <v>0</v>
      </c>
      <c r="E1236" t="inlineStr">
        <is>
          <t>DINHEIRO</t>
        </is>
      </c>
    </row>
    <row r="1237">
      <c r="A1237" t="n">
        <v>176</v>
      </c>
      <c r="B1237" t="inlineStr">
        <is>
          <t>The Cavern</t>
        </is>
      </c>
      <c r="C1237" s="27" t="n">
        <v>46068</v>
      </c>
      <c r="D1237" t="n">
        <v>0</v>
      </c>
      <c r="E1237" t="inlineStr">
        <is>
          <t>CRÉDITO</t>
        </is>
      </c>
    </row>
    <row r="1238">
      <c r="A1238" t="n">
        <v>176</v>
      </c>
      <c r="B1238" t="inlineStr">
        <is>
          <t>The Cavern</t>
        </is>
      </c>
      <c r="C1238" s="27" t="n">
        <v>46068</v>
      </c>
      <c r="D1238" t="n">
        <v>7351.76</v>
      </c>
      <c r="E1238" t="inlineStr">
        <is>
          <t>CRÉDITO</t>
        </is>
      </c>
    </row>
    <row r="1239">
      <c r="A1239" t="n">
        <v>176</v>
      </c>
      <c r="B1239" t="inlineStr">
        <is>
          <t>The Cavern</t>
        </is>
      </c>
      <c r="C1239" s="27" t="n">
        <v>46068</v>
      </c>
      <c r="D1239" t="n">
        <v>0</v>
      </c>
      <c r="E1239" t="inlineStr">
        <is>
          <t>VOUCHER INTEGRADO</t>
        </is>
      </c>
    </row>
    <row r="1240">
      <c r="A1240" t="n">
        <v>176</v>
      </c>
      <c r="B1240" t="inlineStr">
        <is>
          <t>The Cavern</t>
        </is>
      </c>
      <c r="C1240" s="27" t="n">
        <v>46068</v>
      </c>
      <c r="D1240" t="n">
        <v>0</v>
      </c>
      <c r="E1240" t="inlineStr">
        <is>
          <t>RECARGAS DEVOLVIDAS</t>
        </is>
      </c>
    </row>
    <row r="1241">
      <c r="A1241" t="n">
        <v>176</v>
      </c>
      <c r="B1241" t="inlineStr">
        <is>
          <t>The Cavern</t>
        </is>
      </c>
      <c r="C1241" s="27" t="n">
        <v>46068</v>
      </c>
      <c r="D1241" t="n">
        <v>0</v>
      </c>
      <c r="E1241" t="inlineStr">
        <is>
          <t>NOTAS MANUAIS + SERVIÇO</t>
        </is>
      </c>
    </row>
    <row r="1242">
      <c r="A1242" t="n">
        <v>176</v>
      </c>
      <c r="B1242" t="inlineStr">
        <is>
          <t>The Cavern</t>
        </is>
      </c>
      <c r="C1242" s="27" t="n">
        <v>46068</v>
      </c>
      <c r="D1242" t="n">
        <v>0</v>
      </c>
      <c r="E1242" t="inlineStr">
        <is>
          <t>AME</t>
        </is>
      </c>
    </row>
    <row r="1243">
      <c r="A1243" t="n">
        <v>176</v>
      </c>
      <c r="B1243" t="inlineStr">
        <is>
          <t>The Cavern</t>
        </is>
      </c>
      <c r="C1243" s="27" t="n">
        <v>46068</v>
      </c>
      <c r="D1243" t="n">
        <v>0</v>
      </c>
      <c r="E1243" t="inlineStr">
        <is>
          <t>OUTROS</t>
        </is>
      </c>
    </row>
    <row r="1244">
      <c r="A1244" t="n">
        <v>176</v>
      </c>
      <c r="B1244" t="inlineStr">
        <is>
          <t>The Cavern</t>
        </is>
      </c>
      <c r="C1244" s="27" t="n">
        <v>46068</v>
      </c>
      <c r="D1244" t="n">
        <v>0</v>
      </c>
      <c r="E1244" t="inlineStr">
        <is>
          <t>ANTECIPADO</t>
        </is>
      </c>
    </row>
    <row r="1245">
      <c r="A1245" t="n">
        <v>176</v>
      </c>
      <c r="B1245" t="inlineStr">
        <is>
          <t>The Cavern</t>
        </is>
      </c>
      <c r="C1245" s="27" t="n">
        <v>46068</v>
      </c>
      <c r="D1245" t="n">
        <v>0</v>
      </c>
      <c r="E1245" t="inlineStr">
        <is>
          <t>BÔNUS</t>
        </is>
      </c>
    </row>
    <row r="1246">
      <c r="A1246" t="n">
        <v>176</v>
      </c>
      <c r="B1246" t="inlineStr">
        <is>
          <t>The Cavern</t>
        </is>
      </c>
      <c r="C1246" s="27" t="n">
        <v>46068</v>
      </c>
      <c r="D1246" t="n">
        <v>57.63</v>
      </c>
      <c r="E1246" t="inlineStr">
        <is>
          <t>DÉBITO</t>
        </is>
      </c>
    </row>
    <row r="1247">
      <c r="A1247" t="n">
        <v>176</v>
      </c>
      <c r="B1247" t="inlineStr">
        <is>
          <t>The Cavern</t>
        </is>
      </c>
      <c r="C1247" s="27" t="n">
        <v>46068</v>
      </c>
      <c r="D1247" t="n">
        <v>0</v>
      </c>
      <c r="E1247" t="inlineStr">
        <is>
          <t>ANTECIPADO</t>
        </is>
      </c>
    </row>
    <row r="1248">
      <c r="A1248" t="n">
        <v>176</v>
      </c>
      <c r="B1248" t="inlineStr">
        <is>
          <t>The Cavern</t>
        </is>
      </c>
      <c r="C1248" s="27" t="n">
        <v>46068</v>
      </c>
      <c r="D1248" t="n">
        <v>0</v>
      </c>
      <c r="E1248" t="inlineStr">
        <is>
          <t>UBER</t>
        </is>
      </c>
    </row>
    <row r="1249">
      <c r="A1249" t="n">
        <v>176</v>
      </c>
      <c r="B1249" t="inlineStr">
        <is>
          <t>The Cavern</t>
        </is>
      </c>
      <c r="C1249" s="27" t="n">
        <v>46068</v>
      </c>
      <c r="D1249" t="n">
        <v>0</v>
      </c>
      <c r="E1249" t="inlineStr">
        <is>
          <t>RAPPI</t>
        </is>
      </c>
    </row>
    <row r="1250">
      <c r="A1250" t="n">
        <v>176</v>
      </c>
      <c r="B1250" t="inlineStr">
        <is>
          <t>The Cavern</t>
        </is>
      </c>
      <c r="C1250" s="27" t="n">
        <v>46068</v>
      </c>
      <c r="D1250" t="n">
        <v>0</v>
      </c>
      <c r="E1250" t="inlineStr">
        <is>
          <t>PIX</t>
        </is>
      </c>
    </row>
    <row r="1251">
      <c r="A1251" t="n">
        <v>176</v>
      </c>
      <c r="B1251" t="inlineStr">
        <is>
          <t>The Cavern</t>
        </is>
      </c>
      <c r="C1251" s="27" t="n">
        <v>46068</v>
      </c>
      <c r="D1251" t="n">
        <v>0</v>
      </c>
      <c r="E1251" t="inlineStr">
        <is>
          <t>IFOOD</t>
        </is>
      </c>
    </row>
    <row r="1252">
      <c r="A1252" t="n">
        <v>176</v>
      </c>
      <c r="B1252" t="inlineStr">
        <is>
          <t>The Cavern</t>
        </is>
      </c>
      <c r="C1252" s="27" t="n">
        <v>46068</v>
      </c>
      <c r="D1252" t="n">
        <v>0</v>
      </c>
      <c r="E1252" t="inlineStr">
        <is>
          <t>DELIVERY ONLINE</t>
        </is>
      </c>
    </row>
    <row r="1253">
      <c r="A1253" t="n">
        <v>176</v>
      </c>
      <c r="B1253" t="inlineStr">
        <is>
          <t>The Cavern</t>
        </is>
      </c>
      <c r="C1253" s="27" t="n">
        <v>46068</v>
      </c>
      <c r="D1253" t="n">
        <v>0</v>
      </c>
      <c r="E1253" t="inlineStr">
        <is>
          <t>APP</t>
        </is>
      </c>
    </row>
    <row r="1254">
      <c r="A1254" t="n">
        <v>176</v>
      </c>
      <c r="B1254" t="inlineStr">
        <is>
          <t>The Cavern</t>
        </is>
      </c>
      <c r="C1254" s="27" t="n">
        <v>46068</v>
      </c>
      <c r="D1254" t="n">
        <v>0</v>
      </c>
      <c r="E1254" t="inlineStr">
        <is>
          <t>DINHEIRO</t>
        </is>
      </c>
    </row>
    <row r="1255">
      <c r="A1255" t="n">
        <v>176</v>
      </c>
      <c r="B1255" t="inlineStr">
        <is>
          <t>The Cavern</t>
        </is>
      </c>
      <c r="C1255" s="27" t="n">
        <v>46068</v>
      </c>
      <c r="D1255" t="n">
        <v>0</v>
      </c>
      <c r="E1255" t="inlineStr">
        <is>
          <t>VOUCHER</t>
        </is>
      </c>
    </row>
    <row r="1256">
      <c r="A1256" t="n">
        <v>176</v>
      </c>
      <c r="B1256" t="inlineStr">
        <is>
          <t>The Cavern</t>
        </is>
      </c>
      <c r="C1256" s="27" t="n">
        <v>46067</v>
      </c>
      <c r="D1256" t="n">
        <v>0</v>
      </c>
      <c r="E1256" t="inlineStr">
        <is>
          <t>BÔNUS</t>
        </is>
      </c>
    </row>
    <row r="1257">
      <c r="A1257" t="n">
        <v>176</v>
      </c>
      <c r="B1257" t="inlineStr">
        <is>
          <t>The Cavern</t>
        </is>
      </c>
      <c r="C1257" s="27" t="n">
        <v>46067</v>
      </c>
      <c r="D1257" t="n">
        <v>9</v>
      </c>
      <c r="E1257" t="inlineStr">
        <is>
          <t>DÉBITO</t>
        </is>
      </c>
    </row>
    <row r="1258">
      <c r="A1258" t="n">
        <v>176</v>
      </c>
      <c r="B1258" t="inlineStr">
        <is>
          <t>The Cavern</t>
        </is>
      </c>
      <c r="C1258" s="27" t="n">
        <v>46067</v>
      </c>
      <c r="D1258" t="n">
        <v>249.73</v>
      </c>
      <c r="E1258" t="inlineStr">
        <is>
          <t>VOUCHER</t>
        </is>
      </c>
    </row>
    <row r="1259">
      <c r="A1259" t="n">
        <v>176</v>
      </c>
      <c r="B1259" t="inlineStr">
        <is>
          <t>The Cavern</t>
        </is>
      </c>
      <c r="C1259" s="27" t="n">
        <v>46067</v>
      </c>
      <c r="D1259" t="n">
        <v>0</v>
      </c>
      <c r="E1259" t="inlineStr">
        <is>
          <t>ANTECIPADO</t>
        </is>
      </c>
    </row>
    <row r="1260">
      <c r="A1260" t="n">
        <v>176</v>
      </c>
      <c r="B1260" t="inlineStr">
        <is>
          <t>The Cavern</t>
        </is>
      </c>
      <c r="C1260" s="27" t="n">
        <v>46067</v>
      </c>
      <c r="D1260" t="n">
        <v>0</v>
      </c>
      <c r="E1260" t="inlineStr">
        <is>
          <t>UBER</t>
        </is>
      </c>
    </row>
    <row r="1261">
      <c r="A1261" t="n">
        <v>176</v>
      </c>
      <c r="B1261" t="inlineStr">
        <is>
          <t>The Cavern</t>
        </is>
      </c>
      <c r="C1261" s="27" t="n">
        <v>46067</v>
      </c>
      <c r="D1261" t="n">
        <v>0</v>
      </c>
      <c r="E1261" t="inlineStr">
        <is>
          <t>RAPPI</t>
        </is>
      </c>
    </row>
    <row r="1262">
      <c r="A1262" t="n">
        <v>176</v>
      </c>
      <c r="B1262" t="inlineStr">
        <is>
          <t>The Cavern</t>
        </is>
      </c>
      <c r="C1262" s="27" t="n">
        <v>46067</v>
      </c>
      <c r="D1262" t="n">
        <v>0</v>
      </c>
      <c r="E1262" t="inlineStr">
        <is>
          <t>PIX</t>
        </is>
      </c>
    </row>
    <row r="1263">
      <c r="A1263" t="n">
        <v>176</v>
      </c>
      <c r="B1263" t="inlineStr">
        <is>
          <t>The Cavern</t>
        </is>
      </c>
      <c r="C1263" s="27" t="n">
        <v>46067</v>
      </c>
      <c r="D1263" t="n">
        <v>0</v>
      </c>
      <c r="E1263" t="inlineStr">
        <is>
          <t>IFOOD</t>
        </is>
      </c>
    </row>
    <row r="1264">
      <c r="A1264" t="n">
        <v>176</v>
      </c>
      <c r="B1264" t="inlineStr">
        <is>
          <t>The Cavern</t>
        </is>
      </c>
      <c r="C1264" s="27" t="n">
        <v>46067</v>
      </c>
      <c r="D1264" t="n">
        <v>0</v>
      </c>
      <c r="E1264" t="inlineStr">
        <is>
          <t>DELIVERY ONLINE</t>
        </is>
      </c>
    </row>
    <row r="1265">
      <c r="A1265" t="n">
        <v>176</v>
      </c>
      <c r="B1265" t="inlineStr">
        <is>
          <t>The Cavern</t>
        </is>
      </c>
      <c r="C1265" s="27" t="n">
        <v>46067</v>
      </c>
      <c r="D1265" t="n">
        <v>0</v>
      </c>
      <c r="E1265" t="inlineStr">
        <is>
          <t>ANTECIPADO</t>
        </is>
      </c>
    </row>
    <row r="1266">
      <c r="A1266" t="n">
        <v>176</v>
      </c>
      <c r="B1266" t="inlineStr">
        <is>
          <t>The Cavern</t>
        </is>
      </c>
      <c r="C1266" s="27" t="n">
        <v>46067</v>
      </c>
      <c r="D1266" t="n">
        <v>0</v>
      </c>
      <c r="E1266" t="inlineStr">
        <is>
          <t>OUTROS</t>
        </is>
      </c>
    </row>
    <row r="1267">
      <c r="A1267" t="n">
        <v>176</v>
      </c>
      <c r="B1267" t="inlineStr">
        <is>
          <t>The Cavern</t>
        </is>
      </c>
      <c r="C1267" s="27" t="n">
        <v>46067</v>
      </c>
      <c r="D1267" t="n">
        <v>0</v>
      </c>
      <c r="E1267" t="inlineStr">
        <is>
          <t>AME</t>
        </is>
      </c>
    </row>
    <row r="1268">
      <c r="A1268" t="n">
        <v>176</v>
      </c>
      <c r="B1268" t="inlineStr">
        <is>
          <t>The Cavern</t>
        </is>
      </c>
      <c r="C1268" s="27" t="n">
        <v>46067</v>
      </c>
      <c r="D1268" t="n">
        <v>0</v>
      </c>
      <c r="E1268" t="inlineStr">
        <is>
          <t>NOTAS MANUAIS + SERVIÇO</t>
        </is>
      </c>
    </row>
    <row r="1269">
      <c r="A1269" t="n">
        <v>176</v>
      </c>
      <c r="B1269" t="inlineStr">
        <is>
          <t>The Cavern</t>
        </is>
      </c>
      <c r="C1269" s="27" t="n">
        <v>46067</v>
      </c>
      <c r="D1269" t="n">
        <v>0</v>
      </c>
      <c r="E1269" t="inlineStr">
        <is>
          <t>RECARGAS DEVOLVIDAS</t>
        </is>
      </c>
    </row>
    <row r="1270">
      <c r="A1270" t="n">
        <v>176</v>
      </c>
      <c r="B1270" t="inlineStr">
        <is>
          <t>The Cavern</t>
        </is>
      </c>
      <c r="C1270" s="27" t="n">
        <v>46067</v>
      </c>
      <c r="D1270" t="n">
        <v>0</v>
      </c>
      <c r="E1270" t="inlineStr">
        <is>
          <t>VOUCHER INTEGRADO</t>
        </is>
      </c>
    </row>
    <row r="1271">
      <c r="A1271" t="n">
        <v>176</v>
      </c>
      <c r="B1271" t="inlineStr">
        <is>
          <t>The Cavern</t>
        </is>
      </c>
      <c r="C1271" s="27" t="n">
        <v>46067</v>
      </c>
      <c r="D1271" t="n">
        <v>0</v>
      </c>
      <c r="E1271" t="inlineStr">
        <is>
          <t>MBWAY</t>
        </is>
      </c>
    </row>
    <row r="1272">
      <c r="A1272" t="n">
        <v>176</v>
      </c>
      <c r="B1272" t="inlineStr">
        <is>
          <t>The Cavern</t>
        </is>
      </c>
      <c r="C1272" s="27" t="n">
        <v>46067</v>
      </c>
      <c r="D1272" t="n">
        <v>0</v>
      </c>
      <c r="E1272" t="inlineStr">
        <is>
          <t>DINHEIRO</t>
        </is>
      </c>
    </row>
    <row r="1273">
      <c r="A1273" t="n">
        <v>176</v>
      </c>
      <c r="B1273" t="inlineStr">
        <is>
          <t>The Cavern</t>
        </is>
      </c>
      <c r="C1273" s="27" t="n">
        <v>46067</v>
      </c>
      <c r="D1273" t="n">
        <v>1118.13</v>
      </c>
      <c r="E1273" t="inlineStr">
        <is>
          <t>CRÉDITO</t>
        </is>
      </c>
    </row>
    <row r="1274">
      <c r="A1274" t="n">
        <v>176</v>
      </c>
      <c r="B1274" t="inlineStr">
        <is>
          <t>The Cavern</t>
        </is>
      </c>
      <c r="C1274" s="27" t="n">
        <v>46067</v>
      </c>
      <c r="D1274" t="n">
        <v>0</v>
      </c>
      <c r="E1274" t="inlineStr">
        <is>
          <t>APP</t>
        </is>
      </c>
    </row>
    <row r="1275">
      <c r="A1275" t="n">
        <v>176</v>
      </c>
      <c r="B1275" t="inlineStr">
        <is>
          <t>The Cavern</t>
        </is>
      </c>
      <c r="C1275" s="27" t="n">
        <v>46067</v>
      </c>
      <c r="D1275" t="n">
        <v>0</v>
      </c>
      <c r="E1275" t="inlineStr">
        <is>
          <t>ANTECIPADO</t>
        </is>
      </c>
    </row>
    <row r="1276">
      <c r="A1276" t="n">
        <v>176</v>
      </c>
      <c r="B1276" t="inlineStr">
        <is>
          <t>The Cavern</t>
        </is>
      </c>
      <c r="C1276" s="27" t="n">
        <v>46067</v>
      </c>
      <c r="D1276" t="n">
        <v>0</v>
      </c>
      <c r="E1276" t="inlineStr">
        <is>
          <t>MBWAY</t>
        </is>
      </c>
    </row>
    <row r="1277">
      <c r="A1277" t="n">
        <v>176</v>
      </c>
      <c r="B1277" t="inlineStr">
        <is>
          <t>The Cavern</t>
        </is>
      </c>
      <c r="C1277" s="27" t="n">
        <v>46067</v>
      </c>
      <c r="D1277" t="n">
        <v>0</v>
      </c>
      <c r="E1277" t="inlineStr">
        <is>
          <t>VOUCHER INTEGRADO</t>
        </is>
      </c>
    </row>
    <row r="1278">
      <c r="A1278" t="n">
        <v>176</v>
      </c>
      <c r="B1278" t="inlineStr">
        <is>
          <t>The Cavern</t>
        </is>
      </c>
      <c r="C1278" s="27" t="n">
        <v>46067</v>
      </c>
      <c r="D1278" t="n">
        <v>0</v>
      </c>
      <c r="E1278" t="inlineStr">
        <is>
          <t>DELIVERY ONLINE</t>
        </is>
      </c>
    </row>
    <row r="1279">
      <c r="A1279" t="n">
        <v>176</v>
      </c>
      <c r="B1279" t="inlineStr">
        <is>
          <t>The Cavern</t>
        </is>
      </c>
      <c r="C1279" s="27" t="n">
        <v>46067</v>
      </c>
      <c r="D1279" t="n">
        <v>0</v>
      </c>
      <c r="E1279" t="inlineStr">
        <is>
          <t>APP</t>
        </is>
      </c>
    </row>
    <row r="1280">
      <c r="A1280" t="n">
        <v>176</v>
      </c>
      <c r="B1280" t="inlineStr">
        <is>
          <t>The Cavern</t>
        </is>
      </c>
      <c r="C1280" s="27" t="n">
        <v>46067</v>
      </c>
      <c r="D1280" t="n">
        <v>100</v>
      </c>
      <c r="E1280" t="inlineStr">
        <is>
          <t>DINHEIRO</t>
        </is>
      </c>
    </row>
    <row r="1281">
      <c r="A1281" t="n">
        <v>176</v>
      </c>
      <c r="B1281" t="inlineStr">
        <is>
          <t>The Cavern</t>
        </is>
      </c>
      <c r="C1281" s="27" t="n">
        <v>46067</v>
      </c>
      <c r="D1281" t="n">
        <v>4504.75</v>
      </c>
      <c r="E1281" t="inlineStr">
        <is>
          <t>CRÉDITO</t>
        </is>
      </c>
    </row>
    <row r="1282">
      <c r="A1282" t="n">
        <v>176</v>
      </c>
      <c r="B1282" t="inlineStr">
        <is>
          <t>The Cavern</t>
        </is>
      </c>
      <c r="C1282" s="27" t="n">
        <v>46067</v>
      </c>
      <c r="D1282" t="n">
        <v>0</v>
      </c>
      <c r="E1282" t="inlineStr">
        <is>
          <t>RECARGAS DEVOLVIDAS</t>
        </is>
      </c>
    </row>
    <row r="1283">
      <c r="A1283" t="n">
        <v>176</v>
      </c>
      <c r="B1283" t="inlineStr">
        <is>
          <t>The Cavern</t>
        </is>
      </c>
      <c r="C1283" s="27" t="n">
        <v>46067</v>
      </c>
      <c r="D1283" t="n">
        <v>0</v>
      </c>
      <c r="E1283" t="inlineStr">
        <is>
          <t>NOTAS MANUAIS + SERVIÇO</t>
        </is>
      </c>
    </row>
    <row r="1284">
      <c r="A1284" t="n">
        <v>176</v>
      </c>
      <c r="B1284" t="inlineStr">
        <is>
          <t>The Cavern</t>
        </is>
      </c>
      <c r="C1284" s="27" t="n">
        <v>46067</v>
      </c>
      <c r="D1284" t="n">
        <v>0</v>
      </c>
      <c r="E1284" t="inlineStr">
        <is>
          <t>AME</t>
        </is>
      </c>
    </row>
    <row r="1285">
      <c r="A1285" t="n">
        <v>176</v>
      </c>
      <c r="B1285" t="inlineStr">
        <is>
          <t>The Cavern</t>
        </is>
      </c>
      <c r="C1285" s="27" t="n">
        <v>46067</v>
      </c>
      <c r="D1285" t="n">
        <v>0</v>
      </c>
      <c r="E1285" t="inlineStr">
        <is>
          <t>OUTROS</t>
        </is>
      </c>
    </row>
    <row r="1286">
      <c r="A1286" t="n">
        <v>176</v>
      </c>
      <c r="B1286" t="inlineStr">
        <is>
          <t>The Cavern</t>
        </is>
      </c>
      <c r="C1286" s="27" t="n">
        <v>46067</v>
      </c>
      <c r="D1286" t="n">
        <v>0</v>
      </c>
      <c r="E1286" t="inlineStr">
        <is>
          <t>BÔNUS</t>
        </is>
      </c>
    </row>
    <row r="1287">
      <c r="A1287" t="n">
        <v>176</v>
      </c>
      <c r="B1287" t="inlineStr">
        <is>
          <t>The Cavern</t>
        </is>
      </c>
      <c r="C1287" s="27" t="n">
        <v>46067</v>
      </c>
      <c r="D1287" t="n">
        <v>1517.59</v>
      </c>
      <c r="E1287" t="inlineStr">
        <is>
          <t>DÉBITO</t>
        </is>
      </c>
    </row>
    <row r="1288">
      <c r="A1288" t="n">
        <v>176</v>
      </c>
      <c r="B1288" t="inlineStr">
        <is>
          <t>The Cavern</t>
        </is>
      </c>
      <c r="C1288" s="27" t="n">
        <v>46067</v>
      </c>
      <c r="D1288" t="n">
        <v>0</v>
      </c>
      <c r="E1288" t="inlineStr">
        <is>
          <t>VOUCHER</t>
        </is>
      </c>
    </row>
    <row r="1289">
      <c r="A1289" t="n">
        <v>176</v>
      </c>
      <c r="B1289" t="inlineStr">
        <is>
          <t>The Cavern</t>
        </is>
      </c>
      <c r="C1289" s="27" t="n">
        <v>46067</v>
      </c>
      <c r="D1289" t="n">
        <v>0</v>
      </c>
      <c r="E1289" t="inlineStr">
        <is>
          <t>ANTECIPADO</t>
        </is>
      </c>
    </row>
    <row r="1290">
      <c r="A1290" t="n">
        <v>176</v>
      </c>
      <c r="B1290" t="inlineStr">
        <is>
          <t>The Cavern</t>
        </is>
      </c>
      <c r="C1290" s="27" t="n">
        <v>46067</v>
      </c>
      <c r="D1290" t="n">
        <v>0</v>
      </c>
      <c r="E1290" t="inlineStr">
        <is>
          <t>UBER</t>
        </is>
      </c>
    </row>
    <row r="1291">
      <c r="A1291" t="n">
        <v>176</v>
      </c>
      <c r="B1291" t="inlineStr">
        <is>
          <t>The Cavern</t>
        </is>
      </c>
      <c r="C1291" s="27" t="n">
        <v>46067</v>
      </c>
      <c r="D1291" t="n">
        <v>0</v>
      </c>
      <c r="E1291" t="inlineStr">
        <is>
          <t>RAPPI</t>
        </is>
      </c>
    </row>
    <row r="1292">
      <c r="A1292" t="n">
        <v>176</v>
      </c>
      <c r="B1292" t="inlineStr">
        <is>
          <t>The Cavern</t>
        </is>
      </c>
      <c r="C1292" s="27" t="n">
        <v>46067</v>
      </c>
      <c r="D1292" t="n">
        <v>0</v>
      </c>
      <c r="E1292" t="inlineStr">
        <is>
          <t>IFOOD</t>
        </is>
      </c>
    </row>
    <row r="1293">
      <c r="A1293" t="n">
        <v>176</v>
      </c>
      <c r="B1293" t="inlineStr">
        <is>
          <t>The Cavern</t>
        </is>
      </c>
      <c r="C1293" s="27" t="n">
        <v>46067</v>
      </c>
      <c r="D1293" t="n">
        <v>227.13</v>
      </c>
      <c r="E1293" t="inlineStr">
        <is>
          <t>PIX</t>
        </is>
      </c>
    </row>
    <row r="1294">
      <c r="A1294" t="n">
        <v>176</v>
      </c>
      <c r="B1294" t="inlineStr">
        <is>
          <t>The Cavern</t>
        </is>
      </c>
      <c r="C1294" s="27" t="n">
        <v>46066</v>
      </c>
      <c r="D1294" t="n">
        <v>0</v>
      </c>
      <c r="E1294" t="inlineStr">
        <is>
          <t>MBWAY</t>
        </is>
      </c>
    </row>
    <row r="1295">
      <c r="A1295" t="n">
        <v>176</v>
      </c>
      <c r="B1295" t="inlineStr">
        <is>
          <t>The Cavern</t>
        </is>
      </c>
      <c r="C1295" s="27" t="n">
        <v>46066</v>
      </c>
      <c r="D1295" t="n">
        <v>0</v>
      </c>
      <c r="E1295" t="inlineStr">
        <is>
          <t>VOUCHER INTEGRADO</t>
        </is>
      </c>
    </row>
    <row r="1296">
      <c r="A1296" t="n">
        <v>176</v>
      </c>
      <c r="B1296" t="inlineStr">
        <is>
          <t>The Cavern</t>
        </is>
      </c>
      <c r="C1296" s="27" t="n">
        <v>46066</v>
      </c>
      <c r="D1296" t="n">
        <v>0</v>
      </c>
      <c r="E1296" t="inlineStr">
        <is>
          <t>AME</t>
        </is>
      </c>
    </row>
    <row r="1297">
      <c r="A1297" t="n">
        <v>176</v>
      </c>
      <c r="B1297" t="inlineStr">
        <is>
          <t>The Cavern</t>
        </is>
      </c>
      <c r="C1297" s="27" t="n">
        <v>46066</v>
      </c>
      <c r="D1297" t="n">
        <v>0</v>
      </c>
      <c r="E1297" t="inlineStr">
        <is>
          <t>RECARGAS DEVOLVIDAS</t>
        </is>
      </c>
    </row>
    <row r="1298">
      <c r="A1298" t="n">
        <v>176</v>
      </c>
      <c r="B1298" t="inlineStr">
        <is>
          <t>The Cavern</t>
        </is>
      </c>
      <c r="C1298" s="27" t="n">
        <v>46066</v>
      </c>
      <c r="D1298" t="n">
        <v>0</v>
      </c>
      <c r="E1298" t="inlineStr">
        <is>
          <t>NOTAS MANUAIS + SERVIÇO</t>
        </is>
      </c>
    </row>
    <row r="1299">
      <c r="A1299" t="n">
        <v>176</v>
      </c>
      <c r="B1299" t="inlineStr">
        <is>
          <t>The Cavern</t>
        </is>
      </c>
      <c r="C1299" s="27" t="n">
        <v>46066</v>
      </c>
      <c r="D1299" t="n">
        <v>0</v>
      </c>
      <c r="E1299" t="inlineStr">
        <is>
          <t>RECARGAS DEVOLVIDAS</t>
        </is>
      </c>
    </row>
    <row r="1300">
      <c r="A1300" t="n">
        <v>176</v>
      </c>
      <c r="B1300" t="inlineStr">
        <is>
          <t>The Cavern</t>
        </is>
      </c>
      <c r="C1300" s="27" t="n">
        <v>46066</v>
      </c>
      <c r="D1300" t="n">
        <v>0</v>
      </c>
      <c r="E1300" t="inlineStr">
        <is>
          <t>MBWAY</t>
        </is>
      </c>
    </row>
    <row r="1301">
      <c r="A1301" t="n">
        <v>176</v>
      </c>
      <c r="B1301" t="inlineStr">
        <is>
          <t>The Cavern</t>
        </is>
      </c>
      <c r="C1301" s="27" t="n">
        <v>46066</v>
      </c>
      <c r="D1301" t="n">
        <v>433.92</v>
      </c>
      <c r="E1301" t="inlineStr">
        <is>
          <t>CRÉDITO</t>
        </is>
      </c>
    </row>
    <row r="1302">
      <c r="A1302" t="n">
        <v>176</v>
      </c>
      <c r="B1302" t="inlineStr">
        <is>
          <t>The Cavern</t>
        </is>
      </c>
      <c r="C1302" s="27" t="n">
        <v>46066</v>
      </c>
      <c r="D1302" t="n">
        <v>78</v>
      </c>
      <c r="E1302" t="inlineStr">
        <is>
          <t>DINHEIRO</t>
        </is>
      </c>
    </row>
    <row r="1303">
      <c r="A1303" t="n">
        <v>176</v>
      </c>
      <c r="B1303" t="inlineStr">
        <is>
          <t>The Cavern</t>
        </is>
      </c>
      <c r="C1303" s="27" t="n">
        <v>46066</v>
      </c>
      <c r="D1303" t="n">
        <v>0</v>
      </c>
      <c r="E1303" t="inlineStr">
        <is>
          <t>APP</t>
        </is>
      </c>
    </row>
    <row r="1304">
      <c r="A1304" t="n">
        <v>176</v>
      </c>
      <c r="B1304" t="inlineStr">
        <is>
          <t>The Cavern</t>
        </is>
      </c>
      <c r="C1304" s="27" t="n">
        <v>46066</v>
      </c>
      <c r="D1304" t="n">
        <v>0</v>
      </c>
      <c r="E1304" t="inlineStr">
        <is>
          <t>DELIVERY ONLINE</t>
        </is>
      </c>
    </row>
    <row r="1305">
      <c r="A1305" t="n">
        <v>176</v>
      </c>
      <c r="B1305" t="inlineStr">
        <is>
          <t>The Cavern</t>
        </is>
      </c>
      <c r="C1305" s="27" t="n">
        <v>46066</v>
      </c>
      <c r="D1305" t="n">
        <v>0</v>
      </c>
      <c r="E1305" t="inlineStr">
        <is>
          <t>VOUCHER INTEGRADO</t>
        </is>
      </c>
    </row>
    <row r="1306">
      <c r="A1306" t="n">
        <v>176</v>
      </c>
      <c r="B1306" t="inlineStr">
        <is>
          <t>The Cavern</t>
        </is>
      </c>
      <c r="C1306" s="27" t="n">
        <v>46066</v>
      </c>
      <c r="D1306" t="n">
        <v>0</v>
      </c>
      <c r="E1306" t="inlineStr">
        <is>
          <t>ANTECIPADO</t>
        </is>
      </c>
    </row>
    <row r="1307">
      <c r="A1307" t="n">
        <v>176</v>
      </c>
      <c r="B1307" t="inlineStr">
        <is>
          <t>The Cavern</t>
        </is>
      </c>
      <c r="C1307" s="27" t="n">
        <v>46066</v>
      </c>
      <c r="D1307" t="n">
        <v>0</v>
      </c>
      <c r="E1307" t="inlineStr">
        <is>
          <t>NOTAS MANUAIS + SERVIÇO</t>
        </is>
      </c>
    </row>
    <row r="1308">
      <c r="A1308" t="n">
        <v>176</v>
      </c>
      <c r="B1308" t="inlineStr">
        <is>
          <t>The Cavern</t>
        </is>
      </c>
      <c r="C1308" s="27" t="n">
        <v>46066</v>
      </c>
      <c r="D1308" t="n">
        <v>0</v>
      </c>
      <c r="E1308" t="inlineStr">
        <is>
          <t>AME</t>
        </is>
      </c>
    </row>
    <row r="1309">
      <c r="A1309" t="n">
        <v>176</v>
      </c>
      <c r="B1309" t="inlineStr">
        <is>
          <t>The Cavern</t>
        </is>
      </c>
      <c r="C1309" s="27" t="n">
        <v>46066</v>
      </c>
      <c r="D1309" t="n">
        <v>0</v>
      </c>
      <c r="E1309" t="inlineStr">
        <is>
          <t>OUTROS</t>
        </is>
      </c>
    </row>
    <row r="1310">
      <c r="A1310" t="n">
        <v>176</v>
      </c>
      <c r="B1310" t="inlineStr">
        <is>
          <t>The Cavern</t>
        </is>
      </c>
      <c r="C1310" s="27" t="n">
        <v>46066</v>
      </c>
      <c r="D1310" t="n">
        <v>0</v>
      </c>
      <c r="E1310" t="inlineStr">
        <is>
          <t>ANTECIPADO</t>
        </is>
      </c>
    </row>
    <row r="1311">
      <c r="A1311" t="n">
        <v>176</v>
      </c>
      <c r="B1311" t="inlineStr">
        <is>
          <t>The Cavern</t>
        </is>
      </c>
      <c r="C1311" s="27" t="n">
        <v>46066</v>
      </c>
      <c r="D1311" t="n">
        <v>0</v>
      </c>
      <c r="E1311" t="inlineStr">
        <is>
          <t>BÔNUS</t>
        </is>
      </c>
    </row>
    <row r="1312">
      <c r="A1312" t="n">
        <v>176</v>
      </c>
      <c r="B1312" t="inlineStr">
        <is>
          <t>The Cavern</t>
        </is>
      </c>
      <c r="C1312" s="27" t="n">
        <v>46066</v>
      </c>
      <c r="D1312" t="n">
        <v>192.1</v>
      </c>
      <c r="E1312" t="inlineStr">
        <is>
          <t>DÉBITO</t>
        </is>
      </c>
    </row>
    <row r="1313">
      <c r="A1313" t="n">
        <v>176</v>
      </c>
      <c r="B1313" t="inlineStr">
        <is>
          <t>The Cavern</t>
        </is>
      </c>
      <c r="C1313" s="27" t="n">
        <v>46066</v>
      </c>
      <c r="D1313" t="n">
        <v>793.4299999999999</v>
      </c>
      <c r="E1313" t="inlineStr">
        <is>
          <t>CRÉDITO</t>
        </is>
      </c>
    </row>
    <row r="1314">
      <c r="A1314" t="n">
        <v>176</v>
      </c>
      <c r="B1314" t="inlineStr">
        <is>
          <t>The Cavern</t>
        </is>
      </c>
      <c r="C1314" s="27" t="n">
        <v>46066</v>
      </c>
      <c r="D1314" t="n">
        <v>0</v>
      </c>
      <c r="E1314" t="inlineStr">
        <is>
          <t>VOUCHER</t>
        </is>
      </c>
    </row>
    <row r="1315">
      <c r="A1315" t="n">
        <v>176</v>
      </c>
      <c r="B1315" t="inlineStr">
        <is>
          <t>The Cavern</t>
        </is>
      </c>
      <c r="C1315" s="27" t="n">
        <v>46066</v>
      </c>
      <c r="D1315" t="n">
        <v>0</v>
      </c>
      <c r="E1315" t="inlineStr">
        <is>
          <t>ANTECIPADO</t>
        </is>
      </c>
    </row>
    <row r="1316">
      <c r="A1316" t="n">
        <v>176</v>
      </c>
      <c r="B1316" t="inlineStr">
        <is>
          <t>The Cavern</t>
        </is>
      </c>
      <c r="C1316" s="27" t="n">
        <v>46066</v>
      </c>
      <c r="D1316" t="n">
        <v>0</v>
      </c>
      <c r="E1316" t="inlineStr">
        <is>
          <t>UBER</t>
        </is>
      </c>
    </row>
    <row r="1317">
      <c r="A1317" t="n">
        <v>176</v>
      </c>
      <c r="B1317" t="inlineStr">
        <is>
          <t>The Cavern</t>
        </is>
      </c>
      <c r="C1317" s="27" t="n">
        <v>46066</v>
      </c>
      <c r="D1317" t="n">
        <v>0</v>
      </c>
      <c r="E1317" t="inlineStr">
        <is>
          <t>RAPPI</t>
        </is>
      </c>
    </row>
    <row r="1318">
      <c r="A1318" t="n">
        <v>176</v>
      </c>
      <c r="B1318" t="inlineStr">
        <is>
          <t>The Cavern</t>
        </is>
      </c>
      <c r="C1318" s="27" t="n">
        <v>46066</v>
      </c>
      <c r="D1318" t="n">
        <v>94.92</v>
      </c>
      <c r="E1318" t="inlineStr">
        <is>
          <t>PIX</t>
        </is>
      </c>
    </row>
    <row r="1319">
      <c r="A1319" t="n">
        <v>176</v>
      </c>
      <c r="B1319" t="inlineStr">
        <is>
          <t>The Cavern</t>
        </is>
      </c>
      <c r="C1319" s="27" t="n">
        <v>46066</v>
      </c>
      <c r="D1319" t="n">
        <v>0</v>
      </c>
      <c r="E1319" t="inlineStr">
        <is>
          <t>DINHEIRO</t>
        </is>
      </c>
    </row>
    <row r="1320">
      <c r="A1320" t="n">
        <v>176</v>
      </c>
      <c r="B1320" t="inlineStr">
        <is>
          <t>The Cavern</t>
        </is>
      </c>
      <c r="C1320" s="27" t="n">
        <v>46066</v>
      </c>
      <c r="D1320" t="n">
        <v>0</v>
      </c>
      <c r="E1320" t="inlineStr">
        <is>
          <t>OUTROS</t>
        </is>
      </c>
    </row>
    <row r="1321">
      <c r="A1321" t="n">
        <v>176</v>
      </c>
      <c r="B1321" t="inlineStr">
        <is>
          <t>The Cavern</t>
        </is>
      </c>
      <c r="C1321" s="27" t="n">
        <v>46066</v>
      </c>
      <c r="D1321" t="n">
        <v>0</v>
      </c>
      <c r="E1321" t="inlineStr">
        <is>
          <t>BÔNUS</t>
        </is>
      </c>
    </row>
    <row r="1322">
      <c r="A1322" t="n">
        <v>176</v>
      </c>
      <c r="B1322" t="inlineStr">
        <is>
          <t>The Cavern</t>
        </is>
      </c>
      <c r="C1322" s="27" t="n">
        <v>46066</v>
      </c>
      <c r="D1322" t="n">
        <v>292.31</v>
      </c>
      <c r="E1322" t="inlineStr">
        <is>
          <t>DÉBITO</t>
        </is>
      </c>
    </row>
    <row r="1323">
      <c r="A1323" t="n">
        <v>176</v>
      </c>
      <c r="B1323" t="inlineStr">
        <is>
          <t>The Cavern</t>
        </is>
      </c>
      <c r="C1323" s="27" t="n">
        <v>46066</v>
      </c>
      <c r="D1323" t="n">
        <v>391.65</v>
      </c>
      <c r="E1323" t="inlineStr">
        <is>
          <t>VOUCHER</t>
        </is>
      </c>
    </row>
    <row r="1324">
      <c r="A1324" t="n">
        <v>176</v>
      </c>
      <c r="B1324" t="inlineStr">
        <is>
          <t>The Cavern</t>
        </is>
      </c>
      <c r="C1324" s="27" t="n">
        <v>46066</v>
      </c>
      <c r="D1324" t="n">
        <v>0</v>
      </c>
      <c r="E1324" t="inlineStr">
        <is>
          <t>ANTECIPADO</t>
        </is>
      </c>
    </row>
    <row r="1325">
      <c r="A1325" t="n">
        <v>176</v>
      </c>
      <c r="B1325" t="inlineStr">
        <is>
          <t>The Cavern</t>
        </is>
      </c>
      <c r="C1325" s="27" t="n">
        <v>46066</v>
      </c>
      <c r="D1325" t="n">
        <v>0</v>
      </c>
      <c r="E1325" t="inlineStr">
        <is>
          <t>UBER</t>
        </is>
      </c>
    </row>
    <row r="1326">
      <c r="A1326" t="n">
        <v>176</v>
      </c>
      <c r="B1326" t="inlineStr">
        <is>
          <t>The Cavern</t>
        </is>
      </c>
      <c r="C1326" s="27" t="n">
        <v>46066</v>
      </c>
      <c r="D1326" t="n">
        <v>0</v>
      </c>
      <c r="E1326" t="inlineStr">
        <is>
          <t>RAPPI</t>
        </is>
      </c>
    </row>
    <row r="1327">
      <c r="A1327" t="n">
        <v>176</v>
      </c>
      <c r="B1327" t="inlineStr">
        <is>
          <t>The Cavern</t>
        </is>
      </c>
      <c r="C1327" s="27" t="n">
        <v>46066</v>
      </c>
      <c r="D1327" t="n">
        <v>0</v>
      </c>
      <c r="E1327" t="inlineStr">
        <is>
          <t>PIX</t>
        </is>
      </c>
    </row>
    <row r="1328">
      <c r="A1328" t="n">
        <v>176</v>
      </c>
      <c r="B1328" t="inlineStr">
        <is>
          <t>The Cavern</t>
        </is>
      </c>
      <c r="C1328" s="27" t="n">
        <v>46066</v>
      </c>
      <c r="D1328" t="n">
        <v>0</v>
      </c>
      <c r="E1328" t="inlineStr">
        <is>
          <t>IFOOD</t>
        </is>
      </c>
    </row>
    <row r="1329">
      <c r="A1329" t="n">
        <v>176</v>
      </c>
      <c r="B1329" t="inlineStr">
        <is>
          <t>The Cavern</t>
        </is>
      </c>
      <c r="C1329" s="27" t="n">
        <v>46066</v>
      </c>
      <c r="D1329" t="n">
        <v>0</v>
      </c>
      <c r="E1329" t="inlineStr">
        <is>
          <t>DELIVERY ONLINE</t>
        </is>
      </c>
    </row>
    <row r="1330">
      <c r="A1330" t="n">
        <v>176</v>
      </c>
      <c r="B1330" t="inlineStr">
        <is>
          <t>The Cavern</t>
        </is>
      </c>
      <c r="C1330" s="27" t="n">
        <v>46066</v>
      </c>
      <c r="D1330" t="n">
        <v>0</v>
      </c>
      <c r="E1330" t="inlineStr">
        <is>
          <t>APP</t>
        </is>
      </c>
    </row>
    <row r="1331">
      <c r="A1331" t="n">
        <v>176</v>
      </c>
      <c r="B1331" t="inlineStr">
        <is>
          <t>The Cavern</t>
        </is>
      </c>
      <c r="C1331" s="27" t="n">
        <v>46066</v>
      </c>
      <c r="D1331" t="n">
        <v>0</v>
      </c>
      <c r="E1331" t="inlineStr">
        <is>
          <t>IFOOD</t>
        </is>
      </c>
    </row>
    <row r="1332">
      <c r="A1332" t="n">
        <v>176</v>
      </c>
      <c r="B1332" t="inlineStr">
        <is>
          <t>The Cavern</t>
        </is>
      </c>
      <c r="C1332" s="27" t="n">
        <v>46065</v>
      </c>
      <c r="D1332" t="n">
        <v>0</v>
      </c>
      <c r="E1332" t="inlineStr">
        <is>
          <t>MBWAY</t>
        </is>
      </c>
    </row>
    <row r="1333">
      <c r="A1333" t="n">
        <v>176</v>
      </c>
      <c r="B1333" t="inlineStr">
        <is>
          <t>The Cavern</t>
        </is>
      </c>
      <c r="C1333" s="27" t="n">
        <v>46065</v>
      </c>
      <c r="D1333" t="n">
        <v>0</v>
      </c>
      <c r="E1333" t="inlineStr">
        <is>
          <t>VOUCHER INTEGRADO</t>
        </is>
      </c>
    </row>
    <row r="1334">
      <c r="A1334" t="n">
        <v>176</v>
      </c>
      <c r="B1334" t="inlineStr">
        <is>
          <t>The Cavern</t>
        </is>
      </c>
      <c r="C1334" s="27" t="n">
        <v>46065</v>
      </c>
      <c r="D1334" t="n">
        <v>0</v>
      </c>
      <c r="E1334" t="inlineStr">
        <is>
          <t>RECARGAS DEVOLVIDAS</t>
        </is>
      </c>
    </row>
    <row r="1335">
      <c r="A1335" t="n">
        <v>176</v>
      </c>
      <c r="B1335" t="inlineStr">
        <is>
          <t>The Cavern</t>
        </is>
      </c>
      <c r="C1335" s="27" t="n">
        <v>46065</v>
      </c>
      <c r="D1335" t="n">
        <v>0</v>
      </c>
      <c r="E1335" t="inlineStr">
        <is>
          <t>NOTAS MANUAIS + SERVIÇO</t>
        </is>
      </c>
    </row>
    <row r="1336">
      <c r="A1336" t="n">
        <v>176</v>
      </c>
      <c r="B1336" t="inlineStr">
        <is>
          <t>The Cavern</t>
        </is>
      </c>
      <c r="C1336" s="27" t="n">
        <v>46065</v>
      </c>
      <c r="D1336" t="n">
        <v>0</v>
      </c>
      <c r="E1336" t="inlineStr">
        <is>
          <t>AME</t>
        </is>
      </c>
    </row>
    <row r="1337">
      <c r="A1337" t="n">
        <v>176</v>
      </c>
      <c r="B1337" t="inlineStr">
        <is>
          <t>The Cavern</t>
        </is>
      </c>
      <c r="C1337" s="27" t="n">
        <v>46065</v>
      </c>
      <c r="D1337" t="n">
        <v>0</v>
      </c>
      <c r="E1337" t="inlineStr">
        <is>
          <t>OUTROS</t>
        </is>
      </c>
    </row>
    <row r="1338">
      <c r="A1338" t="n">
        <v>176</v>
      </c>
      <c r="B1338" t="inlineStr">
        <is>
          <t>The Cavern</t>
        </is>
      </c>
      <c r="C1338" s="27" t="n">
        <v>46065</v>
      </c>
      <c r="D1338" t="n">
        <v>0</v>
      </c>
      <c r="E1338" t="inlineStr">
        <is>
          <t>ANTECIPADO</t>
        </is>
      </c>
    </row>
    <row r="1339">
      <c r="A1339" t="n">
        <v>176</v>
      </c>
      <c r="B1339" t="inlineStr">
        <is>
          <t>The Cavern</t>
        </is>
      </c>
      <c r="C1339" s="27" t="n">
        <v>46065</v>
      </c>
      <c r="D1339" t="n">
        <v>0</v>
      </c>
      <c r="E1339" t="inlineStr">
        <is>
          <t>BÔNUS</t>
        </is>
      </c>
    </row>
    <row r="1340">
      <c r="A1340" t="n">
        <v>176</v>
      </c>
      <c r="B1340" t="inlineStr">
        <is>
          <t>The Cavern</t>
        </is>
      </c>
      <c r="C1340" s="27" t="n">
        <v>46065</v>
      </c>
      <c r="D1340" t="n">
        <v>185.32</v>
      </c>
      <c r="E1340" t="inlineStr">
        <is>
          <t>DÉBITO</t>
        </is>
      </c>
    </row>
    <row r="1341">
      <c r="A1341" t="n">
        <v>176</v>
      </c>
      <c r="B1341" t="inlineStr">
        <is>
          <t>The Cavern</t>
        </is>
      </c>
      <c r="C1341" s="27" t="n">
        <v>46065</v>
      </c>
      <c r="D1341" t="n">
        <v>0</v>
      </c>
      <c r="E1341" t="inlineStr">
        <is>
          <t>ANTECIPADO</t>
        </is>
      </c>
    </row>
    <row r="1342">
      <c r="A1342" t="n">
        <v>176</v>
      </c>
      <c r="B1342" t="inlineStr">
        <is>
          <t>The Cavern</t>
        </is>
      </c>
      <c r="C1342" s="27" t="n">
        <v>46065</v>
      </c>
      <c r="D1342" t="n">
        <v>4229.94</v>
      </c>
      <c r="E1342" t="inlineStr">
        <is>
          <t>CRÉDITO</t>
        </is>
      </c>
    </row>
    <row r="1343">
      <c r="A1343" t="n">
        <v>176</v>
      </c>
      <c r="B1343" t="inlineStr">
        <is>
          <t>The Cavern</t>
        </is>
      </c>
      <c r="C1343" s="27" t="n">
        <v>46065</v>
      </c>
      <c r="D1343" t="n">
        <v>0</v>
      </c>
      <c r="E1343" t="inlineStr">
        <is>
          <t>DINHEIRO</t>
        </is>
      </c>
    </row>
    <row r="1344">
      <c r="A1344" t="n">
        <v>176</v>
      </c>
      <c r="B1344" t="inlineStr">
        <is>
          <t>The Cavern</t>
        </is>
      </c>
      <c r="C1344" s="27" t="n">
        <v>46065</v>
      </c>
      <c r="D1344" t="n">
        <v>0</v>
      </c>
      <c r="E1344" t="inlineStr">
        <is>
          <t>APP</t>
        </is>
      </c>
    </row>
    <row r="1345">
      <c r="A1345" t="n">
        <v>176</v>
      </c>
      <c r="B1345" t="inlineStr">
        <is>
          <t>The Cavern</t>
        </is>
      </c>
      <c r="C1345" s="27" t="n">
        <v>46065</v>
      </c>
      <c r="D1345" t="n">
        <v>0</v>
      </c>
      <c r="E1345" t="inlineStr">
        <is>
          <t>DELIVERY ONLINE</t>
        </is>
      </c>
    </row>
    <row r="1346">
      <c r="A1346" t="n">
        <v>176</v>
      </c>
      <c r="B1346" t="inlineStr">
        <is>
          <t>The Cavern</t>
        </is>
      </c>
      <c r="C1346" s="27" t="n">
        <v>46065</v>
      </c>
      <c r="D1346" t="n">
        <v>0</v>
      </c>
      <c r="E1346" t="inlineStr">
        <is>
          <t>IFOOD</t>
        </is>
      </c>
    </row>
    <row r="1347">
      <c r="A1347" t="n">
        <v>176</v>
      </c>
      <c r="B1347" t="inlineStr">
        <is>
          <t>The Cavern</t>
        </is>
      </c>
      <c r="C1347" s="27" t="n">
        <v>46065</v>
      </c>
      <c r="D1347" t="n">
        <v>180.35</v>
      </c>
      <c r="E1347" t="inlineStr">
        <is>
          <t>PIX</t>
        </is>
      </c>
    </row>
    <row r="1348">
      <c r="A1348" t="n">
        <v>176</v>
      </c>
      <c r="B1348" t="inlineStr">
        <is>
          <t>The Cavern</t>
        </is>
      </c>
      <c r="C1348" s="27" t="n">
        <v>46065</v>
      </c>
      <c r="D1348" t="n">
        <v>0</v>
      </c>
      <c r="E1348" t="inlineStr">
        <is>
          <t>RAPPI</t>
        </is>
      </c>
    </row>
    <row r="1349">
      <c r="A1349" t="n">
        <v>176</v>
      </c>
      <c r="B1349" t="inlineStr">
        <is>
          <t>The Cavern</t>
        </is>
      </c>
      <c r="C1349" s="27" t="n">
        <v>46065</v>
      </c>
      <c r="D1349" t="n">
        <v>0</v>
      </c>
      <c r="E1349" t="inlineStr">
        <is>
          <t>UBER</t>
        </is>
      </c>
    </row>
    <row r="1350">
      <c r="A1350" t="n">
        <v>176</v>
      </c>
      <c r="B1350" t="inlineStr">
        <is>
          <t>The Cavern</t>
        </is>
      </c>
      <c r="C1350" s="27" t="n">
        <v>46065</v>
      </c>
      <c r="D1350" t="n">
        <v>0</v>
      </c>
      <c r="E1350" t="inlineStr">
        <is>
          <t>ANTECIPADO</t>
        </is>
      </c>
    </row>
    <row r="1351">
      <c r="A1351" t="n">
        <v>176</v>
      </c>
      <c r="B1351" t="inlineStr">
        <is>
          <t>The Cavern</t>
        </is>
      </c>
      <c r="C1351" s="27" t="n">
        <v>46065</v>
      </c>
      <c r="D1351" t="n">
        <v>2231.14</v>
      </c>
      <c r="E1351" t="inlineStr">
        <is>
          <t>VOUCHER</t>
        </is>
      </c>
    </row>
    <row r="1352">
      <c r="A1352" t="n">
        <v>176</v>
      </c>
      <c r="B1352" t="inlineStr">
        <is>
          <t>The Cavern</t>
        </is>
      </c>
      <c r="C1352" s="27" t="n">
        <v>46065</v>
      </c>
      <c r="D1352" t="n">
        <v>1387.42</v>
      </c>
      <c r="E1352" t="inlineStr">
        <is>
          <t>DÉBITO</t>
        </is>
      </c>
    </row>
    <row r="1353">
      <c r="A1353" t="n">
        <v>176</v>
      </c>
      <c r="B1353" t="inlineStr">
        <is>
          <t>The Cavern</t>
        </is>
      </c>
      <c r="C1353" s="27" t="n">
        <v>46065</v>
      </c>
      <c r="D1353" t="n">
        <v>0</v>
      </c>
      <c r="E1353" t="inlineStr">
        <is>
          <t>BÔNUS</t>
        </is>
      </c>
    </row>
    <row r="1354">
      <c r="A1354" t="n">
        <v>176</v>
      </c>
      <c r="B1354" t="inlineStr">
        <is>
          <t>The Cavern</t>
        </is>
      </c>
      <c r="C1354" s="27" t="n">
        <v>46065</v>
      </c>
      <c r="D1354" t="n">
        <v>0</v>
      </c>
      <c r="E1354" t="inlineStr">
        <is>
          <t>ANTECIPADO</t>
        </is>
      </c>
    </row>
    <row r="1355">
      <c r="A1355" t="n">
        <v>176</v>
      </c>
      <c r="B1355" t="inlineStr">
        <is>
          <t>The Cavern</t>
        </is>
      </c>
      <c r="C1355" s="27" t="n">
        <v>46065</v>
      </c>
      <c r="D1355" t="n">
        <v>0</v>
      </c>
      <c r="E1355" t="inlineStr">
        <is>
          <t>OUTROS</t>
        </is>
      </c>
    </row>
    <row r="1356">
      <c r="A1356" t="n">
        <v>176</v>
      </c>
      <c r="B1356" t="inlineStr">
        <is>
          <t>The Cavern</t>
        </is>
      </c>
      <c r="C1356" s="27" t="n">
        <v>46065</v>
      </c>
      <c r="D1356" t="n">
        <v>0</v>
      </c>
      <c r="E1356" t="inlineStr">
        <is>
          <t>AME</t>
        </is>
      </c>
    </row>
    <row r="1357">
      <c r="A1357" t="n">
        <v>176</v>
      </c>
      <c r="B1357" t="inlineStr">
        <is>
          <t>The Cavern</t>
        </is>
      </c>
      <c r="C1357" s="27" t="n">
        <v>46065</v>
      </c>
      <c r="D1357" t="n">
        <v>0</v>
      </c>
      <c r="E1357" t="inlineStr">
        <is>
          <t>NOTAS MANUAIS + SERVIÇO</t>
        </is>
      </c>
    </row>
    <row r="1358">
      <c r="A1358" t="n">
        <v>176</v>
      </c>
      <c r="B1358" t="inlineStr">
        <is>
          <t>The Cavern</t>
        </is>
      </c>
      <c r="C1358" s="27" t="n">
        <v>46065</v>
      </c>
      <c r="D1358" t="n">
        <v>0</v>
      </c>
      <c r="E1358" t="inlineStr">
        <is>
          <t>RECARGAS DEVOLVIDAS</t>
        </is>
      </c>
    </row>
    <row r="1359">
      <c r="A1359" t="n">
        <v>176</v>
      </c>
      <c r="B1359" t="inlineStr">
        <is>
          <t>The Cavern</t>
        </is>
      </c>
      <c r="C1359" s="27" t="n">
        <v>46065</v>
      </c>
      <c r="D1359" t="n">
        <v>0</v>
      </c>
      <c r="E1359" t="inlineStr">
        <is>
          <t>VOUCHER INTEGRADO</t>
        </is>
      </c>
    </row>
    <row r="1360">
      <c r="A1360" t="n">
        <v>176</v>
      </c>
      <c r="B1360" t="inlineStr">
        <is>
          <t>The Cavern</t>
        </is>
      </c>
      <c r="C1360" s="27" t="n">
        <v>46065</v>
      </c>
      <c r="D1360" t="n">
        <v>0</v>
      </c>
      <c r="E1360" t="inlineStr">
        <is>
          <t>MBWAY</t>
        </is>
      </c>
    </row>
    <row r="1361">
      <c r="A1361" t="n">
        <v>176</v>
      </c>
      <c r="B1361" t="inlineStr">
        <is>
          <t>The Cavern</t>
        </is>
      </c>
      <c r="C1361" s="27" t="n">
        <v>46065</v>
      </c>
      <c r="D1361" t="n">
        <v>544.66</v>
      </c>
      <c r="E1361" t="inlineStr">
        <is>
          <t>CRÉDITO</t>
        </is>
      </c>
    </row>
    <row r="1362">
      <c r="A1362" t="n">
        <v>176</v>
      </c>
      <c r="B1362" t="inlineStr">
        <is>
          <t>The Cavern</t>
        </is>
      </c>
      <c r="C1362" s="27" t="n">
        <v>46065</v>
      </c>
      <c r="D1362" t="n">
        <v>0</v>
      </c>
      <c r="E1362" t="inlineStr">
        <is>
          <t>DINHEIRO</t>
        </is>
      </c>
    </row>
    <row r="1363">
      <c r="A1363" t="n">
        <v>176</v>
      </c>
      <c r="B1363" t="inlineStr">
        <is>
          <t>The Cavern</t>
        </is>
      </c>
      <c r="C1363" s="27" t="n">
        <v>46065</v>
      </c>
      <c r="D1363" t="n">
        <v>0</v>
      </c>
      <c r="E1363" t="inlineStr">
        <is>
          <t>APP</t>
        </is>
      </c>
    </row>
    <row r="1364">
      <c r="A1364" t="n">
        <v>176</v>
      </c>
      <c r="B1364" t="inlineStr">
        <is>
          <t>The Cavern</t>
        </is>
      </c>
      <c r="C1364" s="27" t="n">
        <v>46065</v>
      </c>
      <c r="D1364" t="n">
        <v>0</v>
      </c>
      <c r="E1364" t="inlineStr">
        <is>
          <t>DELIVERY ONLINE</t>
        </is>
      </c>
    </row>
    <row r="1365">
      <c r="A1365" t="n">
        <v>176</v>
      </c>
      <c r="B1365" t="inlineStr">
        <is>
          <t>The Cavern</t>
        </is>
      </c>
      <c r="C1365" s="27" t="n">
        <v>46065</v>
      </c>
      <c r="D1365" t="n">
        <v>0</v>
      </c>
      <c r="E1365" t="inlineStr">
        <is>
          <t>IFOOD</t>
        </is>
      </c>
    </row>
    <row r="1366">
      <c r="A1366" t="n">
        <v>176</v>
      </c>
      <c r="B1366" t="inlineStr">
        <is>
          <t>The Cavern</t>
        </is>
      </c>
      <c r="C1366" s="27" t="n">
        <v>46065</v>
      </c>
      <c r="D1366" t="n">
        <v>202.27</v>
      </c>
      <c r="E1366" t="inlineStr">
        <is>
          <t>PIX</t>
        </is>
      </c>
    </row>
    <row r="1367">
      <c r="A1367" t="n">
        <v>176</v>
      </c>
      <c r="B1367" t="inlineStr">
        <is>
          <t>The Cavern</t>
        </is>
      </c>
      <c r="C1367" s="27" t="n">
        <v>46065</v>
      </c>
      <c r="D1367" t="n">
        <v>0</v>
      </c>
      <c r="E1367" t="inlineStr">
        <is>
          <t>RAPPI</t>
        </is>
      </c>
    </row>
    <row r="1368">
      <c r="A1368" t="n">
        <v>176</v>
      </c>
      <c r="B1368" t="inlineStr">
        <is>
          <t>The Cavern</t>
        </is>
      </c>
      <c r="C1368" s="27" t="n">
        <v>46065</v>
      </c>
      <c r="D1368" t="n">
        <v>0</v>
      </c>
      <c r="E1368" t="inlineStr">
        <is>
          <t>UBER</t>
        </is>
      </c>
    </row>
    <row r="1369">
      <c r="A1369" t="n">
        <v>176</v>
      </c>
      <c r="B1369" t="inlineStr">
        <is>
          <t>The Cavern</t>
        </is>
      </c>
      <c r="C1369" s="27" t="n">
        <v>46065</v>
      </c>
      <c r="D1369" t="n">
        <v>0</v>
      </c>
      <c r="E1369" t="inlineStr">
        <is>
          <t>VOUCHER</t>
        </is>
      </c>
    </row>
    <row r="1370">
      <c r="A1370" t="n">
        <v>176</v>
      </c>
      <c r="B1370" t="inlineStr">
        <is>
          <t>The Cavern</t>
        </is>
      </c>
      <c r="C1370" s="27" t="n">
        <v>46064</v>
      </c>
      <c r="D1370" t="n">
        <v>0</v>
      </c>
      <c r="E1370" t="inlineStr">
        <is>
          <t>IFOOD</t>
        </is>
      </c>
    </row>
    <row r="1371">
      <c r="A1371" t="n">
        <v>176</v>
      </c>
      <c r="B1371" t="inlineStr">
        <is>
          <t>The Cavern</t>
        </is>
      </c>
      <c r="C1371" s="27" t="n">
        <v>46064</v>
      </c>
      <c r="D1371" t="n">
        <v>0</v>
      </c>
      <c r="E1371" t="inlineStr">
        <is>
          <t>DINHEIRO</t>
        </is>
      </c>
    </row>
    <row r="1372">
      <c r="A1372" t="n">
        <v>176</v>
      </c>
      <c r="B1372" t="inlineStr">
        <is>
          <t>The Cavern</t>
        </is>
      </c>
      <c r="C1372" s="27" t="n">
        <v>46064</v>
      </c>
      <c r="D1372" t="n">
        <v>1988.68</v>
      </c>
      <c r="E1372" t="inlineStr">
        <is>
          <t>CRÉDITO</t>
        </is>
      </c>
    </row>
    <row r="1373">
      <c r="A1373" t="n">
        <v>176</v>
      </c>
      <c r="B1373" t="inlineStr">
        <is>
          <t>The Cavern</t>
        </is>
      </c>
      <c r="C1373" s="27" t="n">
        <v>46064</v>
      </c>
      <c r="D1373" t="n">
        <v>422.9</v>
      </c>
      <c r="E1373" t="inlineStr">
        <is>
          <t>DÉBITO</t>
        </is>
      </c>
    </row>
    <row r="1374">
      <c r="A1374" t="n">
        <v>176</v>
      </c>
      <c r="B1374" t="inlineStr">
        <is>
          <t>The Cavern</t>
        </is>
      </c>
      <c r="C1374" s="27" t="n">
        <v>46064</v>
      </c>
      <c r="D1374" t="n">
        <v>0</v>
      </c>
      <c r="E1374" t="inlineStr">
        <is>
          <t>DINHEIRO</t>
        </is>
      </c>
    </row>
    <row r="1375">
      <c r="A1375" t="n">
        <v>176</v>
      </c>
      <c r="B1375" t="inlineStr">
        <is>
          <t>The Cavern</t>
        </is>
      </c>
      <c r="C1375" s="27" t="n">
        <v>46064</v>
      </c>
      <c r="D1375" t="n">
        <v>0</v>
      </c>
      <c r="E1375" t="inlineStr">
        <is>
          <t>APP</t>
        </is>
      </c>
    </row>
    <row r="1376">
      <c r="A1376" t="n">
        <v>176</v>
      </c>
      <c r="B1376" t="inlineStr">
        <is>
          <t>The Cavern</t>
        </is>
      </c>
      <c r="C1376" s="27" t="n">
        <v>46064</v>
      </c>
      <c r="D1376" t="n">
        <v>0</v>
      </c>
      <c r="E1376" t="inlineStr">
        <is>
          <t>DELIVERY ONLINE</t>
        </is>
      </c>
    </row>
    <row r="1377">
      <c r="A1377" t="n">
        <v>176</v>
      </c>
      <c r="B1377" t="inlineStr">
        <is>
          <t>The Cavern</t>
        </is>
      </c>
      <c r="C1377" s="27" t="n">
        <v>46064</v>
      </c>
      <c r="D1377" t="n">
        <v>0</v>
      </c>
      <c r="E1377" t="inlineStr">
        <is>
          <t>PIX</t>
        </is>
      </c>
    </row>
    <row r="1378">
      <c r="A1378" t="n">
        <v>176</v>
      </c>
      <c r="B1378" t="inlineStr">
        <is>
          <t>The Cavern</t>
        </is>
      </c>
      <c r="C1378" s="27" t="n">
        <v>46064</v>
      </c>
      <c r="D1378" t="n">
        <v>0</v>
      </c>
      <c r="E1378" t="inlineStr">
        <is>
          <t>RAPPI</t>
        </is>
      </c>
    </row>
    <row r="1379">
      <c r="A1379" t="n">
        <v>176</v>
      </c>
      <c r="B1379" t="inlineStr">
        <is>
          <t>The Cavern</t>
        </is>
      </c>
      <c r="C1379" s="27" t="n">
        <v>46064</v>
      </c>
      <c r="D1379" t="n">
        <v>0</v>
      </c>
      <c r="E1379" t="inlineStr">
        <is>
          <t>UBER</t>
        </is>
      </c>
    </row>
    <row r="1380">
      <c r="A1380" t="n">
        <v>176</v>
      </c>
      <c r="B1380" t="inlineStr">
        <is>
          <t>The Cavern</t>
        </is>
      </c>
      <c r="C1380" s="27" t="n">
        <v>46064</v>
      </c>
      <c r="D1380" t="n">
        <v>0</v>
      </c>
      <c r="E1380" t="inlineStr">
        <is>
          <t>ANTECIPADO</t>
        </is>
      </c>
    </row>
    <row r="1381">
      <c r="A1381" t="n">
        <v>176</v>
      </c>
      <c r="B1381" t="inlineStr">
        <is>
          <t>The Cavern</t>
        </is>
      </c>
      <c r="C1381" s="27" t="n">
        <v>46064</v>
      </c>
      <c r="D1381" t="n">
        <v>0</v>
      </c>
      <c r="E1381" t="inlineStr">
        <is>
          <t>VOUCHER</t>
        </is>
      </c>
    </row>
    <row r="1382">
      <c r="A1382" t="n">
        <v>176</v>
      </c>
      <c r="B1382" t="inlineStr">
        <is>
          <t>The Cavern</t>
        </is>
      </c>
      <c r="C1382" s="27" t="n">
        <v>46064</v>
      </c>
      <c r="D1382" t="n">
        <v>600.88</v>
      </c>
      <c r="E1382" t="inlineStr">
        <is>
          <t>CRÉDITO</t>
        </is>
      </c>
    </row>
    <row r="1383">
      <c r="A1383" t="n">
        <v>176</v>
      </c>
      <c r="B1383" t="inlineStr">
        <is>
          <t>The Cavern</t>
        </is>
      </c>
      <c r="C1383" s="27" t="n">
        <v>46064</v>
      </c>
      <c r="D1383" t="n">
        <v>0</v>
      </c>
      <c r="E1383" t="inlineStr">
        <is>
          <t>BÔNUS</t>
        </is>
      </c>
    </row>
    <row r="1384">
      <c r="A1384" t="n">
        <v>176</v>
      </c>
      <c r="B1384" t="inlineStr">
        <is>
          <t>The Cavern</t>
        </is>
      </c>
      <c r="C1384" s="27" t="n">
        <v>46064</v>
      </c>
      <c r="D1384" t="n">
        <v>0</v>
      </c>
      <c r="E1384" t="inlineStr">
        <is>
          <t>ANTECIPADO</t>
        </is>
      </c>
    </row>
    <row r="1385">
      <c r="A1385" t="n">
        <v>176</v>
      </c>
      <c r="B1385" t="inlineStr">
        <is>
          <t>The Cavern</t>
        </is>
      </c>
      <c r="C1385" s="27" t="n">
        <v>46064</v>
      </c>
      <c r="D1385" t="n">
        <v>0</v>
      </c>
      <c r="E1385" t="inlineStr">
        <is>
          <t>OUTROS</t>
        </is>
      </c>
    </row>
    <row r="1386">
      <c r="A1386" t="n">
        <v>176</v>
      </c>
      <c r="B1386" t="inlineStr">
        <is>
          <t>The Cavern</t>
        </is>
      </c>
      <c r="C1386" s="27" t="n">
        <v>46064</v>
      </c>
      <c r="D1386" t="n">
        <v>0</v>
      </c>
      <c r="E1386" t="inlineStr">
        <is>
          <t>AME</t>
        </is>
      </c>
    </row>
    <row r="1387">
      <c r="A1387" t="n">
        <v>176</v>
      </c>
      <c r="B1387" t="inlineStr">
        <is>
          <t>The Cavern</t>
        </is>
      </c>
      <c r="C1387" s="27" t="n">
        <v>46064</v>
      </c>
      <c r="D1387" t="n">
        <v>0</v>
      </c>
      <c r="E1387" t="inlineStr">
        <is>
          <t>NOTAS MANUAIS + SERVIÇO</t>
        </is>
      </c>
    </row>
    <row r="1388">
      <c r="A1388" t="n">
        <v>176</v>
      </c>
      <c r="B1388" t="inlineStr">
        <is>
          <t>The Cavern</t>
        </is>
      </c>
      <c r="C1388" s="27" t="n">
        <v>46064</v>
      </c>
      <c r="D1388" t="n">
        <v>0</v>
      </c>
      <c r="E1388" t="inlineStr">
        <is>
          <t>RECARGAS DEVOLVIDAS</t>
        </is>
      </c>
    </row>
    <row r="1389">
      <c r="A1389" t="n">
        <v>176</v>
      </c>
      <c r="B1389" t="inlineStr">
        <is>
          <t>The Cavern</t>
        </is>
      </c>
      <c r="C1389" s="27" t="n">
        <v>46064</v>
      </c>
      <c r="D1389" t="n">
        <v>0</v>
      </c>
      <c r="E1389" t="inlineStr">
        <is>
          <t>VOUCHER INTEGRADO</t>
        </is>
      </c>
    </row>
    <row r="1390">
      <c r="A1390" t="n">
        <v>176</v>
      </c>
      <c r="B1390" t="inlineStr">
        <is>
          <t>The Cavern</t>
        </is>
      </c>
      <c r="C1390" s="27" t="n">
        <v>46064</v>
      </c>
      <c r="D1390" t="n">
        <v>0</v>
      </c>
      <c r="E1390" t="inlineStr">
        <is>
          <t>MBWAY</t>
        </is>
      </c>
    </row>
    <row r="1391">
      <c r="A1391" t="n">
        <v>176</v>
      </c>
      <c r="B1391" t="inlineStr">
        <is>
          <t>The Cavern</t>
        </is>
      </c>
      <c r="C1391" s="27" t="n">
        <v>46064</v>
      </c>
      <c r="D1391" t="n">
        <v>0</v>
      </c>
      <c r="E1391" t="inlineStr">
        <is>
          <t>BÔNUS</t>
        </is>
      </c>
    </row>
    <row r="1392">
      <c r="A1392" t="n">
        <v>176</v>
      </c>
      <c r="B1392" t="inlineStr">
        <is>
          <t>The Cavern</t>
        </is>
      </c>
      <c r="C1392" s="27" t="n">
        <v>46064</v>
      </c>
      <c r="D1392" t="n">
        <v>0</v>
      </c>
      <c r="E1392" t="inlineStr">
        <is>
          <t>DELIVERY ONLINE</t>
        </is>
      </c>
    </row>
    <row r="1393">
      <c r="A1393" t="n">
        <v>176</v>
      </c>
      <c r="B1393" t="inlineStr">
        <is>
          <t>The Cavern</t>
        </is>
      </c>
      <c r="C1393" s="27" t="n">
        <v>46064</v>
      </c>
      <c r="D1393" t="n">
        <v>0</v>
      </c>
      <c r="E1393" t="inlineStr">
        <is>
          <t>IFOOD</t>
        </is>
      </c>
    </row>
    <row r="1394">
      <c r="A1394" t="n">
        <v>176</v>
      </c>
      <c r="B1394" t="inlineStr">
        <is>
          <t>The Cavern</t>
        </is>
      </c>
      <c r="C1394" s="27" t="n">
        <v>46064</v>
      </c>
      <c r="D1394" t="n">
        <v>200.9</v>
      </c>
      <c r="E1394" t="inlineStr">
        <is>
          <t>PIX</t>
        </is>
      </c>
    </row>
    <row r="1395">
      <c r="A1395" t="n">
        <v>176</v>
      </c>
      <c r="B1395" t="inlineStr">
        <is>
          <t>The Cavern</t>
        </is>
      </c>
      <c r="C1395" s="27" t="n">
        <v>46064</v>
      </c>
      <c r="D1395" t="n">
        <v>0</v>
      </c>
      <c r="E1395" t="inlineStr">
        <is>
          <t>RAPPI</t>
        </is>
      </c>
    </row>
    <row r="1396">
      <c r="A1396" t="n">
        <v>176</v>
      </c>
      <c r="B1396" t="inlineStr">
        <is>
          <t>The Cavern</t>
        </is>
      </c>
      <c r="C1396" s="27" t="n">
        <v>46064</v>
      </c>
      <c r="D1396" t="n">
        <v>0</v>
      </c>
      <c r="E1396" t="inlineStr">
        <is>
          <t>UBER</t>
        </is>
      </c>
    </row>
    <row r="1397">
      <c r="A1397" t="n">
        <v>176</v>
      </c>
      <c r="B1397" t="inlineStr">
        <is>
          <t>The Cavern</t>
        </is>
      </c>
      <c r="C1397" s="27" t="n">
        <v>46064</v>
      </c>
      <c r="D1397" t="n">
        <v>0</v>
      </c>
      <c r="E1397" t="inlineStr">
        <is>
          <t>ANTECIPADO</t>
        </is>
      </c>
    </row>
    <row r="1398">
      <c r="A1398" t="n">
        <v>176</v>
      </c>
      <c r="B1398" t="inlineStr">
        <is>
          <t>The Cavern</t>
        </is>
      </c>
      <c r="C1398" s="27" t="n">
        <v>46064</v>
      </c>
      <c r="D1398" t="n">
        <v>793.4400000000001</v>
      </c>
      <c r="E1398" t="inlineStr">
        <is>
          <t>VOUCHER</t>
        </is>
      </c>
    </row>
    <row r="1399">
      <c r="A1399" t="n">
        <v>176</v>
      </c>
      <c r="B1399" t="inlineStr">
        <is>
          <t>The Cavern</t>
        </is>
      </c>
      <c r="C1399" s="27" t="n">
        <v>46064</v>
      </c>
      <c r="D1399" t="n">
        <v>639.99</v>
      </c>
      <c r="E1399" t="inlineStr">
        <is>
          <t>DÉBITO</t>
        </is>
      </c>
    </row>
    <row r="1400">
      <c r="A1400" t="n">
        <v>176</v>
      </c>
      <c r="B1400" t="inlineStr">
        <is>
          <t>The Cavern</t>
        </is>
      </c>
      <c r="C1400" s="27" t="n">
        <v>46064</v>
      </c>
      <c r="D1400" t="n">
        <v>0</v>
      </c>
      <c r="E1400" t="inlineStr">
        <is>
          <t>APP</t>
        </is>
      </c>
    </row>
    <row r="1401">
      <c r="A1401" t="n">
        <v>176</v>
      </c>
      <c r="B1401" t="inlineStr">
        <is>
          <t>The Cavern</t>
        </is>
      </c>
      <c r="C1401" s="27" t="n">
        <v>46064</v>
      </c>
      <c r="D1401" t="n">
        <v>0</v>
      </c>
      <c r="E1401" t="inlineStr">
        <is>
          <t>ANTECIPADO</t>
        </is>
      </c>
    </row>
    <row r="1402">
      <c r="A1402" t="n">
        <v>176</v>
      </c>
      <c r="B1402" t="inlineStr">
        <is>
          <t>The Cavern</t>
        </is>
      </c>
      <c r="C1402" s="27" t="n">
        <v>46064</v>
      </c>
      <c r="D1402" t="n">
        <v>0</v>
      </c>
      <c r="E1402" t="inlineStr">
        <is>
          <t>OUTROS</t>
        </is>
      </c>
    </row>
    <row r="1403">
      <c r="A1403" t="n">
        <v>176</v>
      </c>
      <c r="B1403" t="inlineStr">
        <is>
          <t>The Cavern</t>
        </is>
      </c>
      <c r="C1403" s="27" t="n">
        <v>46064</v>
      </c>
      <c r="D1403" t="n">
        <v>0</v>
      </c>
      <c r="E1403" t="inlineStr">
        <is>
          <t>AME</t>
        </is>
      </c>
    </row>
    <row r="1404">
      <c r="A1404" t="n">
        <v>176</v>
      </c>
      <c r="B1404" t="inlineStr">
        <is>
          <t>The Cavern</t>
        </is>
      </c>
      <c r="C1404" s="27" t="n">
        <v>46064</v>
      </c>
      <c r="D1404" t="n">
        <v>0</v>
      </c>
      <c r="E1404" t="inlineStr">
        <is>
          <t>NOTAS MANUAIS + SERVIÇO</t>
        </is>
      </c>
    </row>
    <row r="1405">
      <c r="A1405" t="n">
        <v>176</v>
      </c>
      <c r="B1405" t="inlineStr">
        <is>
          <t>The Cavern</t>
        </is>
      </c>
      <c r="C1405" s="27" t="n">
        <v>46064</v>
      </c>
      <c r="D1405" t="n">
        <v>0</v>
      </c>
      <c r="E1405" t="inlineStr">
        <is>
          <t>RECARGAS DEVOLVIDAS</t>
        </is>
      </c>
    </row>
    <row r="1406">
      <c r="A1406" t="n">
        <v>176</v>
      </c>
      <c r="B1406" t="inlineStr">
        <is>
          <t>The Cavern</t>
        </is>
      </c>
      <c r="C1406" s="27" t="n">
        <v>46064</v>
      </c>
      <c r="D1406" t="n">
        <v>0</v>
      </c>
      <c r="E1406" t="inlineStr">
        <is>
          <t>VOUCHER INTEGRADO</t>
        </is>
      </c>
    </row>
    <row r="1407">
      <c r="A1407" t="n">
        <v>176</v>
      </c>
      <c r="B1407" t="inlineStr">
        <is>
          <t>The Cavern</t>
        </is>
      </c>
      <c r="C1407" s="27" t="n">
        <v>46064</v>
      </c>
      <c r="D1407" t="n">
        <v>0</v>
      </c>
      <c r="E1407" t="inlineStr">
        <is>
          <t>MBWAY</t>
        </is>
      </c>
    </row>
    <row r="1408">
      <c r="A1408" t="n">
        <v>176</v>
      </c>
      <c r="B1408" t="inlineStr">
        <is>
          <t>The Cavern</t>
        </is>
      </c>
      <c r="C1408" s="27" t="n">
        <v>46063</v>
      </c>
      <c r="D1408" t="n">
        <v>100.45</v>
      </c>
      <c r="E1408" t="inlineStr">
        <is>
          <t>DINHEIRO</t>
        </is>
      </c>
    </row>
    <row r="1409">
      <c r="A1409" t="n">
        <v>176</v>
      </c>
      <c r="B1409" t="inlineStr">
        <is>
          <t>The Cavern</t>
        </is>
      </c>
      <c r="C1409" s="27" t="n">
        <v>46063</v>
      </c>
      <c r="D1409" t="n">
        <v>0</v>
      </c>
      <c r="E1409" t="inlineStr">
        <is>
          <t>ANTECIPADO</t>
        </is>
      </c>
    </row>
    <row r="1410">
      <c r="A1410" t="n">
        <v>176</v>
      </c>
      <c r="B1410" t="inlineStr">
        <is>
          <t>The Cavern</t>
        </is>
      </c>
      <c r="C1410" s="27" t="n">
        <v>46063</v>
      </c>
      <c r="D1410" t="n">
        <v>0</v>
      </c>
      <c r="E1410" t="inlineStr">
        <is>
          <t>BÔNUS</t>
        </is>
      </c>
    </row>
    <row r="1411">
      <c r="A1411" t="n">
        <v>176</v>
      </c>
      <c r="B1411" t="inlineStr">
        <is>
          <t>The Cavern</t>
        </is>
      </c>
      <c r="C1411" s="27" t="n">
        <v>46063</v>
      </c>
      <c r="D1411" t="n">
        <v>550.15</v>
      </c>
      <c r="E1411" t="inlineStr">
        <is>
          <t>DÉBITO</t>
        </is>
      </c>
    </row>
    <row r="1412">
      <c r="A1412" t="n">
        <v>176</v>
      </c>
      <c r="B1412" t="inlineStr">
        <is>
          <t>The Cavern</t>
        </is>
      </c>
      <c r="C1412" s="27" t="n">
        <v>46063</v>
      </c>
      <c r="D1412" t="n">
        <v>1814.88</v>
      </c>
      <c r="E1412" t="inlineStr">
        <is>
          <t>VOUCHER</t>
        </is>
      </c>
    </row>
    <row r="1413">
      <c r="A1413" t="n">
        <v>176</v>
      </c>
      <c r="B1413" t="inlineStr">
        <is>
          <t>The Cavern</t>
        </is>
      </c>
      <c r="C1413" s="27" t="n">
        <v>46063</v>
      </c>
      <c r="D1413" t="n">
        <v>0</v>
      </c>
      <c r="E1413" t="inlineStr">
        <is>
          <t>ANTECIPADO</t>
        </is>
      </c>
    </row>
    <row r="1414">
      <c r="A1414" t="n">
        <v>176</v>
      </c>
      <c r="B1414" t="inlineStr">
        <is>
          <t>The Cavern</t>
        </is>
      </c>
      <c r="C1414" s="27" t="n">
        <v>46063</v>
      </c>
      <c r="D1414" t="n">
        <v>0</v>
      </c>
      <c r="E1414" t="inlineStr">
        <is>
          <t>UBER</t>
        </is>
      </c>
    </row>
    <row r="1415">
      <c r="A1415" t="n">
        <v>176</v>
      </c>
      <c r="B1415" t="inlineStr">
        <is>
          <t>The Cavern</t>
        </is>
      </c>
      <c r="C1415" s="27" t="n">
        <v>46063</v>
      </c>
      <c r="D1415" t="n">
        <v>0</v>
      </c>
      <c r="E1415" t="inlineStr">
        <is>
          <t>RAPPI</t>
        </is>
      </c>
    </row>
    <row r="1416">
      <c r="A1416" t="n">
        <v>176</v>
      </c>
      <c r="B1416" t="inlineStr">
        <is>
          <t>The Cavern</t>
        </is>
      </c>
      <c r="C1416" s="27" t="n">
        <v>46063</v>
      </c>
      <c r="D1416" t="n">
        <v>136.61</v>
      </c>
      <c r="E1416" t="inlineStr">
        <is>
          <t>PIX</t>
        </is>
      </c>
    </row>
    <row r="1417">
      <c r="A1417" t="n">
        <v>176</v>
      </c>
      <c r="B1417" t="inlineStr">
        <is>
          <t>The Cavern</t>
        </is>
      </c>
      <c r="C1417" s="27" t="n">
        <v>46063</v>
      </c>
      <c r="D1417" t="n">
        <v>0</v>
      </c>
      <c r="E1417" t="inlineStr">
        <is>
          <t>IFOOD</t>
        </is>
      </c>
    </row>
    <row r="1418">
      <c r="A1418" t="n">
        <v>176</v>
      </c>
      <c r="B1418" t="inlineStr">
        <is>
          <t>The Cavern</t>
        </is>
      </c>
      <c r="C1418" s="27" t="n">
        <v>46063</v>
      </c>
      <c r="D1418" t="n">
        <v>0</v>
      </c>
      <c r="E1418" t="inlineStr">
        <is>
          <t>DELIVERY ONLINE</t>
        </is>
      </c>
    </row>
    <row r="1419">
      <c r="A1419" t="n">
        <v>176</v>
      </c>
      <c r="B1419" t="inlineStr">
        <is>
          <t>The Cavern</t>
        </is>
      </c>
      <c r="C1419" s="27" t="n">
        <v>46063</v>
      </c>
      <c r="D1419" t="n">
        <v>0</v>
      </c>
      <c r="E1419" t="inlineStr">
        <is>
          <t>APP</t>
        </is>
      </c>
    </row>
    <row r="1420">
      <c r="A1420" t="n">
        <v>176</v>
      </c>
      <c r="B1420" t="inlineStr">
        <is>
          <t>The Cavern</t>
        </is>
      </c>
      <c r="C1420" s="27" t="n">
        <v>46063</v>
      </c>
      <c r="D1420" t="n">
        <v>0</v>
      </c>
      <c r="E1420" t="inlineStr">
        <is>
          <t>VOUCHER INTEGRADO</t>
        </is>
      </c>
    </row>
    <row r="1421">
      <c r="A1421" t="n">
        <v>176</v>
      </c>
      <c r="B1421" t="inlineStr">
        <is>
          <t>The Cavern</t>
        </is>
      </c>
      <c r="C1421" s="27" t="n">
        <v>46063</v>
      </c>
      <c r="D1421" t="n">
        <v>3954.29</v>
      </c>
      <c r="E1421" t="inlineStr">
        <is>
          <t>CRÉDITO</t>
        </is>
      </c>
    </row>
    <row r="1422">
      <c r="A1422" t="n">
        <v>176</v>
      </c>
      <c r="B1422" t="inlineStr">
        <is>
          <t>The Cavern</t>
        </is>
      </c>
      <c r="C1422" s="27" t="n">
        <v>46063</v>
      </c>
      <c r="D1422" t="n">
        <v>0</v>
      </c>
      <c r="E1422" t="inlineStr">
        <is>
          <t>DELIVERY ONLINE</t>
        </is>
      </c>
    </row>
    <row r="1423">
      <c r="A1423" t="n">
        <v>176</v>
      </c>
      <c r="B1423" t="inlineStr">
        <is>
          <t>The Cavern</t>
        </is>
      </c>
      <c r="C1423" s="27" t="n">
        <v>46063</v>
      </c>
      <c r="D1423" t="n">
        <v>0</v>
      </c>
      <c r="E1423" t="inlineStr">
        <is>
          <t>IFOOD</t>
        </is>
      </c>
    </row>
    <row r="1424">
      <c r="A1424" t="n">
        <v>176</v>
      </c>
      <c r="B1424" t="inlineStr">
        <is>
          <t>The Cavern</t>
        </is>
      </c>
      <c r="C1424" s="27" t="n">
        <v>46063</v>
      </c>
      <c r="D1424" t="n">
        <v>0</v>
      </c>
      <c r="E1424" t="inlineStr">
        <is>
          <t>BÔNUS</t>
        </is>
      </c>
    </row>
    <row r="1425">
      <c r="A1425" t="n">
        <v>176</v>
      </c>
      <c r="B1425" t="inlineStr">
        <is>
          <t>The Cavern</t>
        </is>
      </c>
      <c r="C1425" s="27" t="n">
        <v>46063</v>
      </c>
      <c r="D1425" t="n">
        <v>0</v>
      </c>
      <c r="E1425" t="inlineStr">
        <is>
          <t>DÉBITO</t>
        </is>
      </c>
    </row>
    <row r="1426">
      <c r="A1426" t="n">
        <v>176</v>
      </c>
      <c r="B1426" t="inlineStr">
        <is>
          <t>The Cavern</t>
        </is>
      </c>
      <c r="C1426" s="27" t="n">
        <v>46063</v>
      </c>
      <c r="D1426" t="n">
        <v>0</v>
      </c>
      <c r="E1426" t="inlineStr">
        <is>
          <t>VOUCHER</t>
        </is>
      </c>
    </row>
    <row r="1427">
      <c r="A1427" t="n">
        <v>176</v>
      </c>
      <c r="B1427" t="inlineStr">
        <is>
          <t>The Cavern</t>
        </is>
      </c>
      <c r="C1427" s="27" t="n">
        <v>46063</v>
      </c>
      <c r="D1427" t="n">
        <v>0</v>
      </c>
      <c r="E1427" t="inlineStr">
        <is>
          <t>ANTECIPADO</t>
        </is>
      </c>
    </row>
    <row r="1428">
      <c r="A1428" t="n">
        <v>176</v>
      </c>
      <c r="B1428" t="inlineStr">
        <is>
          <t>The Cavern</t>
        </is>
      </c>
      <c r="C1428" s="27" t="n">
        <v>46063</v>
      </c>
      <c r="D1428" t="n">
        <v>0</v>
      </c>
      <c r="E1428" t="inlineStr">
        <is>
          <t>UBER</t>
        </is>
      </c>
    </row>
    <row r="1429">
      <c r="A1429" t="n">
        <v>176</v>
      </c>
      <c r="B1429" t="inlineStr">
        <is>
          <t>The Cavern</t>
        </is>
      </c>
      <c r="C1429" s="27" t="n">
        <v>46063</v>
      </c>
      <c r="D1429" t="n">
        <v>77.97</v>
      </c>
      <c r="E1429" t="inlineStr">
        <is>
          <t>PIX</t>
        </is>
      </c>
    </row>
    <row r="1430">
      <c r="A1430" t="n">
        <v>176</v>
      </c>
      <c r="B1430" t="inlineStr">
        <is>
          <t>The Cavern</t>
        </is>
      </c>
      <c r="C1430" s="27" t="n">
        <v>46063</v>
      </c>
      <c r="D1430" t="n">
        <v>0</v>
      </c>
      <c r="E1430" t="inlineStr">
        <is>
          <t>RAPPI</t>
        </is>
      </c>
    </row>
    <row r="1431">
      <c r="A1431" t="n">
        <v>176</v>
      </c>
      <c r="B1431" t="inlineStr">
        <is>
          <t>The Cavern</t>
        </is>
      </c>
      <c r="C1431" s="27" t="n">
        <v>46063</v>
      </c>
      <c r="D1431" t="n">
        <v>0</v>
      </c>
      <c r="E1431" t="inlineStr">
        <is>
          <t>MBWAY</t>
        </is>
      </c>
    </row>
    <row r="1432">
      <c r="A1432" t="n">
        <v>176</v>
      </c>
      <c r="B1432" t="inlineStr">
        <is>
          <t>The Cavern</t>
        </is>
      </c>
      <c r="C1432" s="27" t="n">
        <v>46063</v>
      </c>
      <c r="D1432" t="n">
        <v>0</v>
      </c>
      <c r="E1432" t="inlineStr">
        <is>
          <t>AME</t>
        </is>
      </c>
    </row>
    <row r="1433">
      <c r="A1433" t="n">
        <v>176</v>
      </c>
      <c r="B1433" t="inlineStr">
        <is>
          <t>The Cavern</t>
        </is>
      </c>
      <c r="C1433" s="27" t="n">
        <v>46063</v>
      </c>
      <c r="D1433" t="n">
        <v>0</v>
      </c>
      <c r="E1433" t="inlineStr">
        <is>
          <t>RECARGAS DEVOLVIDAS</t>
        </is>
      </c>
    </row>
    <row r="1434">
      <c r="A1434" t="n">
        <v>176</v>
      </c>
      <c r="B1434" t="inlineStr">
        <is>
          <t>The Cavern</t>
        </is>
      </c>
      <c r="C1434" s="27" t="n">
        <v>46063</v>
      </c>
      <c r="D1434" t="n">
        <v>0</v>
      </c>
      <c r="E1434" t="inlineStr">
        <is>
          <t>NOTAS MANUAIS + SERVIÇO</t>
        </is>
      </c>
    </row>
    <row r="1435">
      <c r="A1435" t="n">
        <v>176</v>
      </c>
      <c r="B1435" t="inlineStr">
        <is>
          <t>The Cavern</t>
        </is>
      </c>
      <c r="C1435" s="27" t="n">
        <v>46063</v>
      </c>
      <c r="D1435" t="n">
        <v>0</v>
      </c>
      <c r="E1435" t="inlineStr">
        <is>
          <t>AME</t>
        </is>
      </c>
    </row>
    <row r="1436">
      <c r="A1436" t="n">
        <v>176</v>
      </c>
      <c r="B1436" t="inlineStr">
        <is>
          <t>The Cavern</t>
        </is>
      </c>
      <c r="C1436" s="27" t="n">
        <v>46063</v>
      </c>
      <c r="D1436" t="n">
        <v>0</v>
      </c>
      <c r="E1436" t="inlineStr">
        <is>
          <t>OUTROS</t>
        </is>
      </c>
    </row>
    <row r="1437">
      <c r="A1437" t="n">
        <v>176</v>
      </c>
      <c r="B1437" t="inlineStr">
        <is>
          <t>The Cavern</t>
        </is>
      </c>
      <c r="C1437" s="27" t="n">
        <v>46063</v>
      </c>
      <c r="D1437" t="n">
        <v>0</v>
      </c>
      <c r="E1437" t="inlineStr">
        <is>
          <t>MBWAY</t>
        </is>
      </c>
    </row>
    <row r="1438">
      <c r="A1438" t="n">
        <v>176</v>
      </c>
      <c r="B1438" t="inlineStr">
        <is>
          <t>The Cavern</t>
        </is>
      </c>
      <c r="C1438" s="27" t="n">
        <v>46063</v>
      </c>
      <c r="D1438" t="n">
        <v>0</v>
      </c>
      <c r="E1438" t="inlineStr">
        <is>
          <t>VOUCHER INTEGRADO</t>
        </is>
      </c>
    </row>
    <row r="1439">
      <c r="A1439" t="n">
        <v>176</v>
      </c>
      <c r="B1439" t="inlineStr">
        <is>
          <t>The Cavern</t>
        </is>
      </c>
      <c r="C1439" s="27" t="n">
        <v>46063</v>
      </c>
      <c r="D1439" t="n">
        <v>0</v>
      </c>
      <c r="E1439" t="inlineStr">
        <is>
          <t>RECARGAS DEVOLVIDAS</t>
        </is>
      </c>
    </row>
    <row r="1440">
      <c r="A1440" t="n">
        <v>176</v>
      </c>
      <c r="B1440" t="inlineStr">
        <is>
          <t>The Cavern</t>
        </is>
      </c>
      <c r="C1440" s="27" t="n">
        <v>46063</v>
      </c>
      <c r="D1440" t="n">
        <v>0</v>
      </c>
      <c r="E1440" t="inlineStr">
        <is>
          <t>NOTAS MANUAIS + SERVIÇO</t>
        </is>
      </c>
    </row>
    <row r="1441">
      <c r="A1441" t="n">
        <v>176</v>
      </c>
      <c r="B1441" t="inlineStr">
        <is>
          <t>The Cavern</t>
        </is>
      </c>
      <c r="C1441" s="27" t="n">
        <v>46063</v>
      </c>
      <c r="D1441" t="n">
        <v>0</v>
      </c>
      <c r="E1441" t="inlineStr">
        <is>
          <t>ANTECIPADO</t>
        </is>
      </c>
    </row>
    <row r="1442">
      <c r="A1442" t="n">
        <v>176</v>
      </c>
      <c r="B1442" t="inlineStr">
        <is>
          <t>The Cavern</t>
        </is>
      </c>
      <c r="C1442" s="27" t="n">
        <v>46063</v>
      </c>
      <c r="D1442" t="n">
        <v>1603.47</v>
      </c>
      <c r="E1442" t="inlineStr">
        <is>
          <t>CRÉDITO</t>
        </is>
      </c>
    </row>
    <row r="1443">
      <c r="A1443" t="n">
        <v>176</v>
      </c>
      <c r="B1443" t="inlineStr">
        <is>
          <t>The Cavern</t>
        </is>
      </c>
      <c r="C1443" s="27" t="n">
        <v>46063</v>
      </c>
      <c r="D1443" t="n">
        <v>0</v>
      </c>
      <c r="E1443" t="inlineStr">
        <is>
          <t>DINHEIRO</t>
        </is>
      </c>
    </row>
    <row r="1444">
      <c r="A1444" t="n">
        <v>176</v>
      </c>
      <c r="B1444" t="inlineStr">
        <is>
          <t>The Cavern</t>
        </is>
      </c>
      <c r="C1444" s="27" t="n">
        <v>46063</v>
      </c>
      <c r="D1444" t="n">
        <v>0</v>
      </c>
      <c r="E1444" t="inlineStr">
        <is>
          <t>APP</t>
        </is>
      </c>
    </row>
    <row r="1445">
      <c r="A1445" t="n">
        <v>176</v>
      </c>
      <c r="B1445" t="inlineStr">
        <is>
          <t>The Cavern</t>
        </is>
      </c>
      <c r="C1445" s="27" t="n">
        <v>46063</v>
      </c>
      <c r="D1445" t="n">
        <v>0</v>
      </c>
      <c r="E1445" t="inlineStr">
        <is>
          <t>OUTROS</t>
        </is>
      </c>
    </row>
    <row r="1446">
      <c r="A1446" t="n">
        <v>176</v>
      </c>
      <c r="B1446" t="inlineStr">
        <is>
          <t>The Cavern</t>
        </is>
      </c>
      <c r="C1446" s="27" t="n">
        <v>46062</v>
      </c>
      <c r="D1446" t="n">
        <v>0</v>
      </c>
      <c r="E1446" t="inlineStr">
        <is>
          <t>RAPPI</t>
        </is>
      </c>
    </row>
    <row r="1447">
      <c r="A1447" t="n">
        <v>176</v>
      </c>
      <c r="B1447" t="inlineStr">
        <is>
          <t>The Cavern</t>
        </is>
      </c>
      <c r="C1447" s="27" t="n">
        <v>46062</v>
      </c>
      <c r="D1447" t="n">
        <v>0</v>
      </c>
      <c r="E1447" t="inlineStr">
        <is>
          <t>DINHEIRO</t>
        </is>
      </c>
    </row>
    <row r="1448">
      <c r="A1448" t="n">
        <v>176</v>
      </c>
      <c r="B1448" t="inlineStr">
        <is>
          <t>The Cavern</t>
        </is>
      </c>
      <c r="C1448" s="27" t="n">
        <v>46062</v>
      </c>
      <c r="D1448" t="n">
        <v>184.19</v>
      </c>
      <c r="E1448" t="inlineStr">
        <is>
          <t>CRÉDITO</t>
        </is>
      </c>
    </row>
    <row r="1449">
      <c r="A1449" t="n">
        <v>176</v>
      </c>
      <c r="B1449" t="inlineStr">
        <is>
          <t>The Cavern</t>
        </is>
      </c>
      <c r="C1449" s="27" t="n">
        <v>46062</v>
      </c>
      <c r="D1449" t="n">
        <v>0</v>
      </c>
      <c r="E1449" t="inlineStr">
        <is>
          <t>MBWAY</t>
        </is>
      </c>
    </row>
    <row r="1450">
      <c r="A1450" t="n">
        <v>176</v>
      </c>
      <c r="B1450" t="inlineStr">
        <is>
          <t>The Cavern</t>
        </is>
      </c>
      <c r="C1450" s="27" t="n">
        <v>46062</v>
      </c>
      <c r="D1450" t="n">
        <v>0</v>
      </c>
      <c r="E1450" t="inlineStr">
        <is>
          <t>VOUCHER INTEGRADO</t>
        </is>
      </c>
    </row>
    <row r="1451">
      <c r="A1451" t="n">
        <v>176</v>
      </c>
      <c r="B1451" t="inlineStr">
        <is>
          <t>The Cavern</t>
        </is>
      </c>
      <c r="C1451" s="27" t="n">
        <v>46062</v>
      </c>
      <c r="D1451" t="n">
        <v>0</v>
      </c>
      <c r="E1451" t="inlineStr">
        <is>
          <t>RECARGAS DEVOLVIDAS</t>
        </is>
      </c>
    </row>
    <row r="1452">
      <c r="A1452" t="n">
        <v>176</v>
      </c>
      <c r="B1452" t="inlineStr">
        <is>
          <t>The Cavern</t>
        </is>
      </c>
      <c r="C1452" s="27" t="n">
        <v>46062</v>
      </c>
      <c r="D1452" t="n">
        <v>0</v>
      </c>
      <c r="E1452" t="inlineStr">
        <is>
          <t>DELIVERY ONLINE</t>
        </is>
      </c>
    </row>
    <row r="1453">
      <c r="A1453" t="n">
        <v>176</v>
      </c>
      <c r="B1453" t="inlineStr">
        <is>
          <t>The Cavern</t>
        </is>
      </c>
      <c r="C1453" s="27" t="n">
        <v>46062</v>
      </c>
      <c r="D1453" t="n">
        <v>0</v>
      </c>
      <c r="E1453" t="inlineStr">
        <is>
          <t>NOTAS MANUAIS + SERVIÇO</t>
        </is>
      </c>
    </row>
    <row r="1454">
      <c r="A1454" t="n">
        <v>176</v>
      </c>
      <c r="B1454" t="inlineStr">
        <is>
          <t>The Cavern</t>
        </is>
      </c>
      <c r="C1454" s="27" t="n">
        <v>46062</v>
      </c>
      <c r="D1454" t="n">
        <v>0</v>
      </c>
      <c r="E1454" t="inlineStr">
        <is>
          <t>AME</t>
        </is>
      </c>
    </row>
    <row r="1455">
      <c r="A1455" t="n">
        <v>176</v>
      </c>
      <c r="B1455" t="inlineStr">
        <is>
          <t>The Cavern</t>
        </is>
      </c>
      <c r="C1455" s="27" t="n">
        <v>46062</v>
      </c>
      <c r="D1455" t="n">
        <v>0</v>
      </c>
      <c r="E1455" t="inlineStr">
        <is>
          <t>OUTROS</t>
        </is>
      </c>
    </row>
    <row r="1456">
      <c r="A1456" t="n">
        <v>176</v>
      </c>
      <c r="B1456" t="inlineStr">
        <is>
          <t>The Cavern</t>
        </is>
      </c>
      <c r="C1456" s="27" t="n">
        <v>46062</v>
      </c>
      <c r="D1456" t="n">
        <v>0</v>
      </c>
      <c r="E1456" t="inlineStr">
        <is>
          <t>ANTECIPADO</t>
        </is>
      </c>
    </row>
    <row r="1457">
      <c r="A1457" t="n">
        <v>176</v>
      </c>
      <c r="B1457" t="inlineStr">
        <is>
          <t>The Cavern</t>
        </is>
      </c>
      <c r="C1457" s="27" t="n">
        <v>46062</v>
      </c>
      <c r="D1457" t="n">
        <v>0</v>
      </c>
      <c r="E1457" t="inlineStr">
        <is>
          <t>UBER</t>
        </is>
      </c>
    </row>
    <row r="1458">
      <c r="A1458" t="n">
        <v>176</v>
      </c>
      <c r="B1458" t="inlineStr">
        <is>
          <t>The Cavern</t>
        </is>
      </c>
      <c r="C1458" s="27" t="n">
        <v>46062</v>
      </c>
      <c r="D1458" t="n">
        <v>3344.02</v>
      </c>
      <c r="E1458" t="inlineStr">
        <is>
          <t>CRÉDITO</t>
        </is>
      </c>
    </row>
    <row r="1459">
      <c r="A1459" t="n">
        <v>176</v>
      </c>
      <c r="B1459" t="inlineStr">
        <is>
          <t>The Cavern</t>
        </is>
      </c>
      <c r="C1459" s="27" t="n">
        <v>46062</v>
      </c>
      <c r="D1459" t="n">
        <v>100.45</v>
      </c>
      <c r="E1459" t="inlineStr">
        <is>
          <t>PIX</t>
        </is>
      </c>
    </row>
    <row r="1460">
      <c r="A1460" t="n">
        <v>176</v>
      </c>
      <c r="B1460" t="inlineStr">
        <is>
          <t>The Cavern</t>
        </is>
      </c>
      <c r="C1460" s="27" t="n">
        <v>46062</v>
      </c>
      <c r="D1460" t="n">
        <v>0</v>
      </c>
      <c r="E1460" t="inlineStr">
        <is>
          <t>IFOOD</t>
        </is>
      </c>
    </row>
    <row r="1461">
      <c r="A1461" t="n">
        <v>176</v>
      </c>
      <c r="B1461" t="inlineStr">
        <is>
          <t>The Cavern</t>
        </is>
      </c>
      <c r="C1461" s="27" t="n">
        <v>46062</v>
      </c>
      <c r="D1461" t="n">
        <v>0</v>
      </c>
      <c r="E1461" t="inlineStr">
        <is>
          <t>ANTECIPADO</t>
        </is>
      </c>
    </row>
    <row r="1462">
      <c r="A1462" t="n">
        <v>176</v>
      </c>
      <c r="B1462" t="inlineStr">
        <is>
          <t>The Cavern</t>
        </is>
      </c>
      <c r="C1462" s="27" t="n">
        <v>46062</v>
      </c>
      <c r="D1462" t="n">
        <v>0</v>
      </c>
      <c r="E1462" t="inlineStr">
        <is>
          <t>BÔNUS</t>
        </is>
      </c>
    </row>
    <row r="1463">
      <c r="A1463" t="n">
        <v>176</v>
      </c>
      <c r="B1463" t="inlineStr">
        <is>
          <t>The Cavern</t>
        </is>
      </c>
      <c r="C1463" s="27" t="n">
        <v>46062</v>
      </c>
      <c r="D1463" t="n">
        <v>725.1900000000001</v>
      </c>
      <c r="E1463" t="inlineStr">
        <is>
          <t>DÉBITO</t>
        </is>
      </c>
    </row>
    <row r="1464">
      <c r="A1464" t="n">
        <v>176</v>
      </c>
      <c r="B1464" t="inlineStr">
        <is>
          <t>The Cavern</t>
        </is>
      </c>
      <c r="C1464" s="27" t="n">
        <v>46062</v>
      </c>
      <c r="D1464" t="n">
        <v>698.08</v>
      </c>
      <c r="E1464" t="inlineStr">
        <is>
          <t>VOUCHER</t>
        </is>
      </c>
    </row>
    <row r="1465">
      <c r="A1465" t="n">
        <v>176</v>
      </c>
      <c r="B1465" t="inlineStr">
        <is>
          <t>The Cavern</t>
        </is>
      </c>
      <c r="C1465" s="27" t="n">
        <v>46062</v>
      </c>
      <c r="D1465" t="n">
        <v>0</v>
      </c>
      <c r="E1465" t="inlineStr">
        <is>
          <t>APP</t>
        </is>
      </c>
    </row>
    <row r="1466">
      <c r="A1466" t="n">
        <v>176</v>
      </c>
      <c r="B1466" t="inlineStr">
        <is>
          <t>The Cavern</t>
        </is>
      </c>
      <c r="C1466" s="27" t="n">
        <v>46062</v>
      </c>
      <c r="D1466" t="n">
        <v>0</v>
      </c>
      <c r="E1466" t="inlineStr">
        <is>
          <t>DINHEIRO</t>
        </is>
      </c>
    </row>
    <row r="1467">
      <c r="A1467" t="n">
        <v>176</v>
      </c>
      <c r="B1467" t="inlineStr">
        <is>
          <t>The Cavern</t>
        </is>
      </c>
      <c r="C1467" s="27" t="n">
        <v>46062</v>
      </c>
      <c r="D1467" t="n">
        <v>0</v>
      </c>
      <c r="E1467" t="inlineStr">
        <is>
          <t>DELIVERY ONLINE</t>
        </is>
      </c>
    </row>
    <row r="1468">
      <c r="A1468" t="n">
        <v>176</v>
      </c>
      <c r="B1468" t="inlineStr">
        <is>
          <t>The Cavern</t>
        </is>
      </c>
      <c r="C1468" s="27" t="n">
        <v>46062</v>
      </c>
      <c r="D1468" t="n">
        <v>0</v>
      </c>
      <c r="E1468" t="inlineStr">
        <is>
          <t>UBER</t>
        </is>
      </c>
    </row>
    <row r="1469">
      <c r="A1469" t="n">
        <v>176</v>
      </c>
      <c r="B1469" t="inlineStr">
        <is>
          <t>The Cavern</t>
        </is>
      </c>
      <c r="C1469" s="27" t="n">
        <v>46062</v>
      </c>
      <c r="D1469" t="n">
        <v>0</v>
      </c>
      <c r="E1469" t="inlineStr">
        <is>
          <t>APP</t>
        </is>
      </c>
    </row>
    <row r="1470">
      <c r="A1470" t="n">
        <v>176</v>
      </c>
      <c r="B1470" t="inlineStr">
        <is>
          <t>The Cavern</t>
        </is>
      </c>
      <c r="C1470" s="27" t="n">
        <v>46062</v>
      </c>
      <c r="D1470" t="n">
        <v>0</v>
      </c>
      <c r="E1470" t="inlineStr">
        <is>
          <t>ANTECIPADO</t>
        </is>
      </c>
    </row>
    <row r="1471">
      <c r="A1471" t="n">
        <v>176</v>
      </c>
      <c r="B1471" t="inlineStr">
        <is>
          <t>The Cavern</t>
        </is>
      </c>
      <c r="C1471" s="27" t="n">
        <v>46062</v>
      </c>
      <c r="D1471" t="n">
        <v>0</v>
      </c>
      <c r="E1471" t="inlineStr">
        <is>
          <t>VOUCHER</t>
        </is>
      </c>
    </row>
    <row r="1472">
      <c r="A1472" t="n">
        <v>176</v>
      </c>
      <c r="B1472" t="inlineStr">
        <is>
          <t>The Cavern</t>
        </is>
      </c>
      <c r="C1472" s="27" t="n">
        <v>46062</v>
      </c>
      <c r="D1472" t="n">
        <v>89.27</v>
      </c>
      <c r="E1472" t="inlineStr">
        <is>
          <t>DÉBITO</t>
        </is>
      </c>
    </row>
    <row r="1473">
      <c r="A1473" t="n">
        <v>176</v>
      </c>
      <c r="B1473" t="inlineStr">
        <is>
          <t>The Cavern</t>
        </is>
      </c>
      <c r="C1473" s="27" t="n">
        <v>46062</v>
      </c>
      <c r="D1473" t="n">
        <v>0</v>
      </c>
      <c r="E1473" t="inlineStr">
        <is>
          <t>BÔNUS</t>
        </is>
      </c>
    </row>
    <row r="1474">
      <c r="A1474" t="n">
        <v>176</v>
      </c>
      <c r="B1474" t="inlineStr">
        <is>
          <t>The Cavern</t>
        </is>
      </c>
      <c r="C1474" s="27" t="n">
        <v>46062</v>
      </c>
      <c r="D1474" t="n">
        <v>0</v>
      </c>
      <c r="E1474" t="inlineStr">
        <is>
          <t>ANTECIPADO</t>
        </is>
      </c>
    </row>
    <row r="1475">
      <c r="A1475" t="n">
        <v>176</v>
      </c>
      <c r="B1475" t="inlineStr">
        <is>
          <t>The Cavern</t>
        </is>
      </c>
      <c r="C1475" s="27" t="n">
        <v>46062</v>
      </c>
      <c r="D1475" t="n">
        <v>0</v>
      </c>
      <c r="E1475" t="inlineStr">
        <is>
          <t>OUTROS</t>
        </is>
      </c>
    </row>
    <row r="1476">
      <c r="A1476" t="n">
        <v>176</v>
      </c>
      <c r="B1476" t="inlineStr">
        <is>
          <t>The Cavern</t>
        </is>
      </c>
      <c r="C1476" s="27" t="n">
        <v>46062</v>
      </c>
      <c r="D1476" t="n">
        <v>0</v>
      </c>
      <c r="E1476" t="inlineStr">
        <is>
          <t>AME</t>
        </is>
      </c>
    </row>
    <row r="1477">
      <c r="A1477" t="n">
        <v>176</v>
      </c>
      <c r="B1477" t="inlineStr">
        <is>
          <t>The Cavern</t>
        </is>
      </c>
      <c r="C1477" s="27" t="n">
        <v>46062</v>
      </c>
      <c r="D1477" t="n">
        <v>0</v>
      </c>
      <c r="E1477" t="inlineStr">
        <is>
          <t>NOTAS MANUAIS + SERVIÇO</t>
        </is>
      </c>
    </row>
    <row r="1478">
      <c r="A1478" t="n">
        <v>176</v>
      </c>
      <c r="B1478" t="inlineStr">
        <is>
          <t>The Cavern</t>
        </is>
      </c>
      <c r="C1478" s="27" t="n">
        <v>46062</v>
      </c>
      <c r="D1478" t="n">
        <v>0</v>
      </c>
      <c r="E1478" t="inlineStr">
        <is>
          <t>RECARGAS DEVOLVIDAS</t>
        </is>
      </c>
    </row>
    <row r="1479">
      <c r="A1479" t="n">
        <v>176</v>
      </c>
      <c r="B1479" t="inlineStr">
        <is>
          <t>The Cavern</t>
        </is>
      </c>
      <c r="C1479" s="27" t="n">
        <v>46062</v>
      </c>
      <c r="D1479" t="n">
        <v>0</v>
      </c>
      <c r="E1479" t="inlineStr">
        <is>
          <t>VOUCHER INTEGRADO</t>
        </is>
      </c>
    </row>
    <row r="1480">
      <c r="A1480" t="n">
        <v>176</v>
      </c>
      <c r="B1480" t="inlineStr">
        <is>
          <t>The Cavern</t>
        </is>
      </c>
      <c r="C1480" s="27" t="n">
        <v>46062</v>
      </c>
      <c r="D1480" t="n">
        <v>0</v>
      </c>
      <c r="E1480" t="inlineStr">
        <is>
          <t>MBWAY</t>
        </is>
      </c>
    </row>
    <row r="1481">
      <c r="A1481" t="n">
        <v>176</v>
      </c>
      <c r="B1481" t="inlineStr">
        <is>
          <t>The Cavern</t>
        </is>
      </c>
      <c r="C1481" s="27" t="n">
        <v>46062</v>
      </c>
      <c r="D1481" t="n">
        <v>0</v>
      </c>
      <c r="E1481" t="inlineStr">
        <is>
          <t>RAPPI</t>
        </is>
      </c>
    </row>
    <row r="1482">
      <c r="A1482" t="n">
        <v>176</v>
      </c>
      <c r="B1482" t="inlineStr">
        <is>
          <t>The Cavern</t>
        </is>
      </c>
      <c r="C1482" s="27" t="n">
        <v>46062</v>
      </c>
      <c r="D1482" t="n">
        <v>0</v>
      </c>
      <c r="E1482" t="inlineStr">
        <is>
          <t>PIX</t>
        </is>
      </c>
    </row>
    <row r="1483">
      <c r="A1483" t="n">
        <v>176</v>
      </c>
      <c r="B1483" t="inlineStr">
        <is>
          <t>The Cavern</t>
        </is>
      </c>
      <c r="C1483" s="27" t="n">
        <v>46062</v>
      </c>
      <c r="D1483" t="n">
        <v>0</v>
      </c>
      <c r="E1483" t="inlineStr">
        <is>
          <t>IFOOD</t>
        </is>
      </c>
    </row>
    <row r="1484">
      <c r="A1484" t="n">
        <v>176</v>
      </c>
      <c r="B1484" t="inlineStr">
        <is>
          <t>The Cavern</t>
        </is>
      </c>
      <c r="C1484" s="27" t="n">
        <v>46061</v>
      </c>
      <c r="D1484" t="n">
        <v>0</v>
      </c>
      <c r="E1484" t="inlineStr">
        <is>
          <t>MBWAY</t>
        </is>
      </c>
    </row>
    <row r="1485">
      <c r="A1485" t="n">
        <v>176</v>
      </c>
      <c r="B1485" t="inlineStr">
        <is>
          <t>The Cavern</t>
        </is>
      </c>
      <c r="C1485" s="27" t="n">
        <v>46061</v>
      </c>
      <c r="D1485" t="n">
        <v>0</v>
      </c>
      <c r="E1485" t="inlineStr">
        <is>
          <t>VOUCHER INTEGRADO</t>
        </is>
      </c>
    </row>
    <row r="1486">
      <c r="A1486" t="n">
        <v>176</v>
      </c>
      <c r="B1486" t="inlineStr">
        <is>
          <t>The Cavern</t>
        </is>
      </c>
      <c r="C1486" s="27" t="n">
        <v>46061</v>
      </c>
      <c r="D1486" t="n">
        <v>0</v>
      </c>
      <c r="E1486" t="inlineStr">
        <is>
          <t>RECARGAS DEVOLVIDAS</t>
        </is>
      </c>
    </row>
    <row r="1487">
      <c r="A1487" t="n">
        <v>176</v>
      </c>
      <c r="B1487" t="inlineStr">
        <is>
          <t>The Cavern</t>
        </is>
      </c>
      <c r="C1487" s="27" t="n">
        <v>46061</v>
      </c>
      <c r="D1487" t="n">
        <v>0</v>
      </c>
      <c r="E1487" t="inlineStr">
        <is>
          <t>NOTAS MANUAIS + SERVIÇO</t>
        </is>
      </c>
    </row>
    <row r="1488">
      <c r="A1488" t="n">
        <v>176</v>
      </c>
      <c r="B1488" t="inlineStr">
        <is>
          <t>The Cavern</t>
        </is>
      </c>
      <c r="C1488" s="27" t="n">
        <v>46061</v>
      </c>
      <c r="D1488" t="n">
        <v>0</v>
      </c>
      <c r="E1488" t="inlineStr">
        <is>
          <t>OUTROS</t>
        </is>
      </c>
    </row>
    <row r="1489">
      <c r="A1489" t="n">
        <v>176</v>
      </c>
      <c r="B1489" t="inlineStr">
        <is>
          <t>The Cavern</t>
        </is>
      </c>
      <c r="C1489" s="27" t="n">
        <v>46061</v>
      </c>
      <c r="D1489" t="n">
        <v>3617.1</v>
      </c>
      <c r="E1489" t="inlineStr">
        <is>
          <t>CRÉDITO</t>
        </is>
      </c>
    </row>
    <row r="1490">
      <c r="A1490" t="n">
        <v>176</v>
      </c>
      <c r="B1490" t="inlineStr">
        <is>
          <t>The Cavern</t>
        </is>
      </c>
      <c r="C1490" s="27" t="n">
        <v>46061</v>
      </c>
      <c r="D1490" t="n">
        <v>0</v>
      </c>
      <c r="E1490" t="inlineStr">
        <is>
          <t>DINHEIRO</t>
        </is>
      </c>
    </row>
    <row r="1491">
      <c r="A1491" t="n">
        <v>176</v>
      </c>
      <c r="B1491" t="inlineStr">
        <is>
          <t>The Cavern</t>
        </is>
      </c>
      <c r="C1491" s="27" t="n">
        <v>46061</v>
      </c>
      <c r="D1491" t="n">
        <v>0</v>
      </c>
      <c r="E1491" t="inlineStr">
        <is>
          <t>APP</t>
        </is>
      </c>
    </row>
    <row r="1492">
      <c r="A1492" t="n">
        <v>176</v>
      </c>
      <c r="B1492" t="inlineStr">
        <is>
          <t>The Cavern</t>
        </is>
      </c>
      <c r="C1492" s="27" t="n">
        <v>46061</v>
      </c>
      <c r="D1492" t="n">
        <v>0</v>
      </c>
      <c r="E1492" t="inlineStr">
        <is>
          <t>DELIVERY ONLINE</t>
        </is>
      </c>
    </row>
    <row r="1493">
      <c r="A1493" t="n">
        <v>176</v>
      </c>
      <c r="B1493" t="inlineStr">
        <is>
          <t>The Cavern</t>
        </is>
      </c>
      <c r="C1493" s="27" t="n">
        <v>46061</v>
      </c>
      <c r="D1493" t="n">
        <v>0</v>
      </c>
      <c r="E1493" t="inlineStr">
        <is>
          <t>IFOOD</t>
        </is>
      </c>
    </row>
    <row r="1494">
      <c r="A1494" t="n">
        <v>176</v>
      </c>
      <c r="B1494" t="inlineStr">
        <is>
          <t>The Cavern</t>
        </is>
      </c>
      <c r="C1494" s="27" t="n">
        <v>46061</v>
      </c>
      <c r="D1494" t="n">
        <v>143.13</v>
      </c>
      <c r="E1494" t="inlineStr">
        <is>
          <t>PIX</t>
        </is>
      </c>
    </row>
    <row r="1495">
      <c r="A1495" t="n">
        <v>176</v>
      </c>
      <c r="B1495" t="inlineStr">
        <is>
          <t>The Cavern</t>
        </is>
      </c>
      <c r="C1495" s="27" t="n">
        <v>46061</v>
      </c>
      <c r="D1495" t="n">
        <v>0</v>
      </c>
      <c r="E1495" t="inlineStr">
        <is>
          <t>RAPPI</t>
        </is>
      </c>
    </row>
    <row r="1496">
      <c r="A1496" t="n">
        <v>176</v>
      </c>
      <c r="B1496" t="inlineStr">
        <is>
          <t>The Cavern</t>
        </is>
      </c>
      <c r="C1496" s="27" t="n">
        <v>46061</v>
      </c>
      <c r="D1496" t="n">
        <v>0</v>
      </c>
      <c r="E1496" t="inlineStr">
        <is>
          <t>ANTECIPADO</t>
        </is>
      </c>
    </row>
    <row r="1497">
      <c r="A1497" t="n">
        <v>176</v>
      </c>
      <c r="B1497" t="inlineStr">
        <is>
          <t>The Cavern</t>
        </is>
      </c>
      <c r="C1497" s="27" t="n">
        <v>46061</v>
      </c>
      <c r="D1497" t="n">
        <v>0</v>
      </c>
      <c r="E1497" t="inlineStr">
        <is>
          <t>VOUCHER</t>
        </is>
      </c>
    </row>
    <row r="1498">
      <c r="A1498" t="n">
        <v>176</v>
      </c>
      <c r="B1498" t="inlineStr">
        <is>
          <t>The Cavern</t>
        </is>
      </c>
      <c r="C1498" s="27" t="n">
        <v>46061</v>
      </c>
      <c r="D1498" t="n">
        <v>1032.82</v>
      </c>
      <c r="E1498" t="inlineStr">
        <is>
          <t>DÉBITO</t>
        </is>
      </c>
    </row>
    <row r="1499">
      <c r="A1499" t="n">
        <v>176</v>
      </c>
      <c r="B1499" t="inlineStr">
        <is>
          <t>The Cavern</t>
        </is>
      </c>
      <c r="C1499" s="27" t="n">
        <v>46061</v>
      </c>
      <c r="D1499" t="n">
        <v>0</v>
      </c>
      <c r="E1499" t="inlineStr">
        <is>
          <t>BÔNUS</t>
        </is>
      </c>
    </row>
    <row r="1500">
      <c r="A1500" t="n">
        <v>176</v>
      </c>
      <c r="B1500" t="inlineStr">
        <is>
          <t>The Cavern</t>
        </is>
      </c>
      <c r="C1500" s="27" t="n">
        <v>46061</v>
      </c>
      <c r="D1500" t="n">
        <v>0</v>
      </c>
      <c r="E1500" t="inlineStr">
        <is>
          <t>ANTECIPADO</t>
        </is>
      </c>
    </row>
    <row r="1501">
      <c r="A1501" t="n">
        <v>176</v>
      </c>
      <c r="B1501" t="inlineStr">
        <is>
          <t>The Cavern</t>
        </is>
      </c>
      <c r="C1501" s="27" t="n">
        <v>46061</v>
      </c>
      <c r="D1501" t="n">
        <v>0</v>
      </c>
      <c r="E1501" t="inlineStr">
        <is>
          <t>AME</t>
        </is>
      </c>
    </row>
    <row r="1502">
      <c r="A1502" t="n">
        <v>176</v>
      </c>
      <c r="B1502" t="inlineStr">
        <is>
          <t>The Cavern</t>
        </is>
      </c>
      <c r="C1502" s="27" t="n">
        <v>46061</v>
      </c>
      <c r="D1502" t="n">
        <v>0</v>
      </c>
      <c r="E1502" t="inlineStr">
        <is>
          <t>UBER</t>
        </is>
      </c>
    </row>
    <row r="1503">
      <c r="A1503" t="n">
        <v>176</v>
      </c>
      <c r="B1503" t="inlineStr">
        <is>
          <t>The Cavern</t>
        </is>
      </c>
      <c r="C1503" s="27" t="n">
        <v>46060</v>
      </c>
      <c r="D1503" t="n">
        <v>0</v>
      </c>
      <c r="E1503" t="inlineStr">
        <is>
          <t>BÔNUS</t>
        </is>
      </c>
    </row>
    <row r="1504">
      <c r="A1504" t="n">
        <v>176</v>
      </c>
      <c r="B1504" t="inlineStr">
        <is>
          <t>The Cavern</t>
        </is>
      </c>
      <c r="C1504" s="27" t="n">
        <v>46060</v>
      </c>
      <c r="D1504" t="n">
        <v>0</v>
      </c>
      <c r="E1504" t="inlineStr">
        <is>
          <t>DÉBITO</t>
        </is>
      </c>
    </row>
    <row r="1505">
      <c r="A1505" t="n">
        <v>176</v>
      </c>
      <c r="B1505" t="inlineStr">
        <is>
          <t>The Cavern</t>
        </is>
      </c>
      <c r="C1505" s="27" t="n">
        <v>46060</v>
      </c>
      <c r="D1505" t="n">
        <v>0</v>
      </c>
      <c r="E1505" t="inlineStr">
        <is>
          <t>VOUCHER</t>
        </is>
      </c>
    </row>
    <row r="1506">
      <c r="A1506" t="n">
        <v>176</v>
      </c>
      <c r="B1506" t="inlineStr">
        <is>
          <t>The Cavern</t>
        </is>
      </c>
      <c r="C1506" s="27" t="n">
        <v>46060</v>
      </c>
      <c r="D1506" t="n">
        <v>0</v>
      </c>
      <c r="E1506" t="inlineStr">
        <is>
          <t>ANTECIPADO</t>
        </is>
      </c>
    </row>
    <row r="1507">
      <c r="A1507" t="n">
        <v>176</v>
      </c>
      <c r="B1507" t="inlineStr">
        <is>
          <t>The Cavern</t>
        </is>
      </c>
      <c r="C1507" s="27" t="n">
        <v>46060</v>
      </c>
      <c r="D1507" t="n">
        <v>0</v>
      </c>
      <c r="E1507" t="inlineStr">
        <is>
          <t>UBER</t>
        </is>
      </c>
    </row>
    <row r="1508">
      <c r="A1508" t="n">
        <v>176</v>
      </c>
      <c r="B1508" t="inlineStr">
        <is>
          <t>The Cavern</t>
        </is>
      </c>
      <c r="C1508" s="27" t="n">
        <v>46060</v>
      </c>
      <c r="D1508" t="n">
        <v>0</v>
      </c>
      <c r="E1508" t="inlineStr">
        <is>
          <t>RAPPI</t>
        </is>
      </c>
    </row>
    <row r="1509">
      <c r="A1509" t="n">
        <v>176</v>
      </c>
      <c r="B1509" t="inlineStr">
        <is>
          <t>The Cavern</t>
        </is>
      </c>
      <c r="C1509" s="27" t="n">
        <v>46060</v>
      </c>
      <c r="D1509" t="n">
        <v>253.12</v>
      </c>
      <c r="E1509" t="inlineStr">
        <is>
          <t>PIX</t>
        </is>
      </c>
    </row>
    <row r="1510">
      <c r="A1510" t="n">
        <v>176</v>
      </c>
      <c r="B1510" t="inlineStr">
        <is>
          <t>The Cavern</t>
        </is>
      </c>
      <c r="C1510" s="27" t="n">
        <v>46060</v>
      </c>
      <c r="D1510" t="n">
        <v>0</v>
      </c>
      <c r="E1510" t="inlineStr">
        <is>
          <t>IFOOD</t>
        </is>
      </c>
    </row>
    <row r="1511">
      <c r="A1511" t="n">
        <v>176</v>
      </c>
      <c r="B1511" t="inlineStr">
        <is>
          <t>The Cavern</t>
        </is>
      </c>
      <c r="C1511" s="27" t="n">
        <v>46060</v>
      </c>
      <c r="D1511" t="n">
        <v>0</v>
      </c>
      <c r="E1511" t="inlineStr">
        <is>
          <t>DELIVERY ONLINE</t>
        </is>
      </c>
    </row>
    <row r="1512">
      <c r="A1512" t="n">
        <v>176</v>
      </c>
      <c r="B1512" t="inlineStr">
        <is>
          <t>The Cavern</t>
        </is>
      </c>
      <c r="C1512" s="27" t="n">
        <v>46060</v>
      </c>
      <c r="D1512" t="n">
        <v>0</v>
      </c>
      <c r="E1512" t="inlineStr">
        <is>
          <t>APP</t>
        </is>
      </c>
    </row>
    <row r="1513">
      <c r="A1513" t="n">
        <v>176</v>
      </c>
      <c r="B1513" t="inlineStr">
        <is>
          <t>The Cavern</t>
        </is>
      </c>
      <c r="C1513" s="27" t="n">
        <v>46060</v>
      </c>
      <c r="D1513" t="n">
        <v>40</v>
      </c>
      <c r="E1513" t="inlineStr">
        <is>
          <t>DINHEIRO</t>
        </is>
      </c>
    </row>
    <row r="1514">
      <c r="A1514" t="n">
        <v>176</v>
      </c>
      <c r="B1514" t="inlineStr">
        <is>
          <t>The Cavern</t>
        </is>
      </c>
      <c r="C1514" s="27" t="n">
        <v>46060</v>
      </c>
      <c r="D1514" t="n">
        <v>1493.86</v>
      </c>
      <c r="E1514" t="inlineStr">
        <is>
          <t>CRÉDITO</t>
        </is>
      </c>
    </row>
    <row r="1515">
      <c r="A1515" t="n">
        <v>176</v>
      </c>
      <c r="B1515" t="inlineStr">
        <is>
          <t>The Cavern</t>
        </is>
      </c>
      <c r="C1515" s="27" t="n">
        <v>46060</v>
      </c>
      <c r="D1515" t="n">
        <v>0</v>
      </c>
      <c r="E1515" t="inlineStr">
        <is>
          <t>VOUCHER</t>
        </is>
      </c>
    </row>
    <row r="1516">
      <c r="A1516" t="n">
        <v>176</v>
      </c>
      <c r="B1516" t="inlineStr">
        <is>
          <t>The Cavern</t>
        </is>
      </c>
      <c r="C1516" s="27" t="n">
        <v>46060</v>
      </c>
      <c r="D1516" t="n">
        <v>0</v>
      </c>
      <c r="E1516" t="inlineStr">
        <is>
          <t>AME</t>
        </is>
      </c>
    </row>
    <row r="1517">
      <c r="A1517" t="n">
        <v>176</v>
      </c>
      <c r="B1517" t="inlineStr">
        <is>
          <t>The Cavern</t>
        </is>
      </c>
      <c r="C1517" s="27" t="n">
        <v>46060</v>
      </c>
      <c r="D1517" t="n">
        <v>0</v>
      </c>
      <c r="E1517" t="inlineStr">
        <is>
          <t>OUTROS</t>
        </is>
      </c>
    </row>
    <row r="1518">
      <c r="A1518" t="n">
        <v>176</v>
      </c>
      <c r="B1518" t="inlineStr">
        <is>
          <t>The Cavern</t>
        </is>
      </c>
      <c r="C1518" s="27" t="n">
        <v>46060</v>
      </c>
      <c r="D1518" t="n">
        <v>0</v>
      </c>
      <c r="E1518" t="inlineStr">
        <is>
          <t>RECARGAS DEVOLVIDAS</t>
        </is>
      </c>
    </row>
    <row r="1519">
      <c r="A1519" t="n">
        <v>176</v>
      </c>
      <c r="B1519" t="inlineStr">
        <is>
          <t>The Cavern</t>
        </is>
      </c>
      <c r="C1519" s="27" t="n">
        <v>46060</v>
      </c>
      <c r="D1519" t="n">
        <v>0</v>
      </c>
      <c r="E1519" t="inlineStr">
        <is>
          <t>NOTAS MANUAIS + SERVIÇO</t>
        </is>
      </c>
    </row>
    <row r="1520">
      <c r="A1520" t="n">
        <v>176</v>
      </c>
      <c r="B1520" t="inlineStr">
        <is>
          <t>The Cavern</t>
        </is>
      </c>
      <c r="C1520" s="27" t="n">
        <v>46060</v>
      </c>
      <c r="D1520" t="n">
        <v>0</v>
      </c>
      <c r="E1520" t="inlineStr">
        <is>
          <t>AME</t>
        </is>
      </c>
    </row>
    <row r="1521">
      <c r="A1521" t="n">
        <v>176</v>
      </c>
      <c r="B1521" t="inlineStr">
        <is>
          <t>The Cavern</t>
        </is>
      </c>
      <c r="C1521" s="27" t="n">
        <v>46060</v>
      </c>
      <c r="D1521" t="n">
        <v>0</v>
      </c>
      <c r="E1521" t="inlineStr">
        <is>
          <t>OUTROS</t>
        </is>
      </c>
    </row>
    <row r="1522">
      <c r="A1522" t="n">
        <v>176</v>
      </c>
      <c r="B1522" t="inlineStr">
        <is>
          <t>The Cavern</t>
        </is>
      </c>
      <c r="C1522" s="27" t="n">
        <v>46060</v>
      </c>
      <c r="D1522" t="n">
        <v>0</v>
      </c>
      <c r="E1522" t="inlineStr">
        <is>
          <t>ANTECIPADO</t>
        </is>
      </c>
    </row>
    <row r="1523">
      <c r="A1523" t="n">
        <v>176</v>
      </c>
      <c r="B1523" t="inlineStr">
        <is>
          <t>The Cavern</t>
        </is>
      </c>
      <c r="C1523" s="27" t="n">
        <v>46060</v>
      </c>
      <c r="D1523" t="n">
        <v>0</v>
      </c>
      <c r="E1523" t="inlineStr">
        <is>
          <t>BÔNUS</t>
        </is>
      </c>
    </row>
    <row r="1524">
      <c r="A1524" t="n">
        <v>176</v>
      </c>
      <c r="B1524" t="inlineStr">
        <is>
          <t>The Cavern</t>
        </is>
      </c>
      <c r="C1524" s="27" t="n">
        <v>46060</v>
      </c>
      <c r="D1524" t="n">
        <v>5483.76</v>
      </c>
      <c r="E1524" t="inlineStr">
        <is>
          <t>DÉBITO</t>
        </is>
      </c>
    </row>
    <row r="1525">
      <c r="A1525" t="n">
        <v>176</v>
      </c>
      <c r="B1525" t="inlineStr">
        <is>
          <t>The Cavern</t>
        </is>
      </c>
      <c r="C1525" s="27" t="n">
        <v>46060</v>
      </c>
      <c r="D1525" t="n">
        <v>0</v>
      </c>
      <c r="E1525" t="inlineStr">
        <is>
          <t>NOTAS MANUAIS + SERVIÇO</t>
        </is>
      </c>
    </row>
    <row r="1526">
      <c r="A1526" t="n">
        <v>176</v>
      </c>
      <c r="B1526" t="inlineStr">
        <is>
          <t>The Cavern</t>
        </is>
      </c>
      <c r="C1526" s="27" t="n">
        <v>46060</v>
      </c>
      <c r="D1526" t="n">
        <v>0</v>
      </c>
      <c r="E1526" t="inlineStr">
        <is>
          <t>ANTECIPADO</t>
        </is>
      </c>
    </row>
    <row r="1527">
      <c r="A1527" t="n">
        <v>176</v>
      </c>
      <c r="B1527" t="inlineStr">
        <is>
          <t>The Cavern</t>
        </is>
      </c>
      <c r="C1527" s="27" t="n">
        <v>46060</v>
      </c>
      <c r="D1527" t="n">
        <v>0</v>
      </c>
      <c r="E1527" t="inlineStr">
        <is>
          <t>UBER</t>
        </is>
      </c>
    </row>
    <row r="1528">
      <c r="A1528" t="n">
        <v>176</v>
      </c>
      <c r="B1528" t="inlineStr">
        <is>
          <t>The Cavern</t>
        </is>
      </c>
      <c r="C1528" s="27" t="n">
        <v>46060</v>
      </c>
      <c r="D1528" t="n">
        <v>0</v>
      </c>
      <c r="E1528" t="inlineStr">
        <is>
          <t>RAPPI</t>
        </is>
      </c>
    </row>
    <row r="1529">
      <c r="A1529" t="n">
        <v>176</v>
      </c>
      <c r="B1529" t="inlineStr">
        <is>
          <t>The Cavern</t>
        </is>
      </c>
      <c r="C1529" s="27" t="n">
        <v>46060</v>
      </c>
      <c r="D1529" t="n">
        <v>909.65</v>
      </c>
      <c r="E1529" t="inlineStr">
        <is>
          <t>PIX</t>
        </is>
      </c>
    </row>
    <row r="1530">
      <c r="A1530" t="n">
        <v>176</v>
      </c>
      <c r="B1530" t="inlineStr">
        <is>
          <t>The Cavern</t>
        </is>
      </c>
      <c r="C1530" s="27" t="n">
        <v>46060</v>
      </c>
      <c r="D1530" t="n">
        <v>0</v>
      </c>
      <c r="E1530" t="inlineStr">
        <is>
          <t>IFOOD</t>
        </is>
      </c>
    </row>
    <row r="1531">
      <c r="A1531" t="n">
        <v>176</v>
      </c>
      <c r="B1531" t="inlineStr">
        <is>
          <t>The Cavern</t>
        </is>
      </c>
      <c r="C1531" s="27" t="n">
        <v>46060</v>
      </c>
      <c r="D1531" t="n">
        <v>0</v>
      </c>
      <c r="E1531" t="inlineStr">
        <is>
          <t>DELIVERY ONLINE</t>
        </is>
      </c>
    </row>
    <row r="1532">
      <c r="A1532" t="n">
        <v>176</v>
      </c>
      <c r="B1532" t="inlineStr">
        <is>
          <t>The Cavern</t>
        </is>
      </c>
      <c r="C1532" s="27" t="n">
        <v>46060</v>
      </c>
      <c r="D1532" t="n">
        <v>10.5</v>
      </c>
      <c r="E1532" t="inlineStr">
        <is>
          <t>APP</t>
        </is>
      </c>
    </row>
    <row r="1533">
      <c r="A1533" t="n">
        <v>176</v>
      </c>
      <c r="B1533" t="inlineStr">
        <is>
          <t>The Cavern</t>
        </is>
      </c>
      <c r="C1533" s="27" t="n">
        <v>46060</v>
      </c>
      <c r="D1533" t="n">
        <v>0</v>
      </c>
      <c r="E1533" t="inlineStr">
        <is>
          <t>DINHEIRO</t>
        </is>
      </c>
    </row>
    <row r="1534">
      <c r="A1534" t="n">
        <v>176</v>
      </c>
      <c r="B1534" t="inlineStr">
        <is>
          <t>The Cavern</t>
        </is>
      </c>
      <c r="C1534" s="27" t="n">
        <v>46060</v>
      </c>
      <c r="D1534" t="n">
        <v>0</v>
      </c>
      <c r="E1534" t="inlineStr">
        <is>
          <t>RECARGAS DEVOLVIDAS</t>
        </is>
      </c>
    </row>
    <row r="1535">
      <c r="A1535" t="n">
        <v>176</v>
      </c>
      <c r="B1535" t="inlineStr">
        <is>
          <t>The Cavern</t>
        </is>
      </c>
      <c r="C1535" s="27" t="n">
        <v>46060</v>
      </c>
      <c r="D1535" t="n">
        <v>15948.03</v>
      </c>
      <c r="E1535" t="inlineStr">
        <is>
          <t>CRÉDITO</t>
        </is>
      </c>
    </row>
    <row r="1536">
      <c r="A1536" t="n">
        <v>176</v>
      </c>
      <c r="B1536" t="inlineStr">
        <is>
          <t>The Cavern</t>
        </is>
      </c>
      <c r="C1536" s="27" t="n">
        <v>46060</v>
      </c>
      <c r="D1536" t="n">
        <v>0</v>
      </c>
      <c r="E1536" t="inlineStr">
        <is>
          <t>MBWAY</t>
        </is>
      </c>
    </row>
    <row r="1537">
      <c r="A1537" t="n">
        <v>176</v>
      </c>
      <c r="B1537" t="inlineStr">
        <is>
          <t>The Cavern</t>
        </is>
      </c>
      <c r="C1537" s="27" t="n">
        <v>46060</v>
      </c>
      <c r="D1537" t="n">
        <v>0</v>
      </c>
      <c r="E1537" t="inlineStr">
        <is>
          <t>VOUCHER INTEGRADO</t>
        </is>
      </c>
    </row>
    <row r="1538">
      <c r="A1538" t="n">
        <v>176</v>
      </c>
      <c r="B1538" t="inlineStr">
        <is>
          <t>The Cavern</t>
        </is>
      </c>
      <c r="C1538" s="27" t="n">
        <v>46060</v>
      </c>
      <c r="D1538" t="n">
        <v>0</v>
      </c>
      <c r="E1538" t="inlineStr">
        <is>
          <t>VOUCHER INTEGRADO</t>
        </is>
      </c>
    </row>
    <row r="1539">
      <c r="A1539" t="n">
        <v>176</v>
      </c>
      <c r="B1539" t="inlineStr">
        <is>
          <t>The Cavern</t>
        </is>
      </c>
      <c r="C1539" s="27" t="n">
        <v>46060</v>
      </c>
      <c r="D1539" t="n">
        <v>0</v>
      </c>
      <c r="E1539" t="inlineStr">
        <is>
          <t>MBWAY</t>
        </is>
      </c>
    </row>
    <row r="1540">
      <c r="A1540" t="n">
        <v>176</v>
      </c>
      <c r="B1540" t="inlineStr">
        <is>
          <t>The Cavern</t>
        </is>
      </c>
      <c r="C1540" s="27" t="n">
        <v>46060</v>
      </c>
      <c r="D1540" t="n">
        <v>0</v>
      </c>
      <c r="E1540" t="inlineStr">
        <is>
          <t>ANTECIPADO</t>
        </is>
      </c>
    </row>
    <row r="1541">
      <c r="A1541" t="n">
        <v>176</v>
      </c>
      <c r="B1541" t="inlineStr">
        <is>
          <t>The Cavern</t>
        </is>
      </c>
      <c r="C1541" s="27" t="n">
        <v>46059</v>
      </c>
      <c r="D1541" t="n">
        <v>200.91</v>
      </c>
      <c r="E1541" t="inlineStr">
        <is>
          <t>VOUCHER</t>
        </is>
      </c>
    </row>
    <row r="1542">
      <c r="A1542" t="n">
        <v>176</v>
      </c>
      <c r="B1542" t="inlineStr">
        <is>
          <t>The Cavern</t>
        </is>
      </c>
      <c r="C1542" s="27" t="n">
        <v>46059</v>
      </c>
      <c r="D1542" t="n">
        <v>0</v>
      </c>
      <c r="E1542" t="inlineStr">
        <is>
          <t>MBWAY</t>
        </is>
      </c>
    </row>
    <row r="1543">
      <c r="A1543" t="n">
        <v>176</v>
      </c>
      <c r="B1543" t="inlineStr">
        <is>
          <t>The Cavern</t>
        </is>
      </c>
      <c r="C1543" s="27" t="n">
        <v>46059</v>
      </c>
      <c r="D1543" t="n">
        <v>0</v>
      </c>
      <c r="E1543" t="inlineStr">
        <is>
          <t>VOUCHER INTEGRADO</t>
        </is>
      </c>
    </row>
    <row r="1544">
      <c r="A1544" t="n">
        <v>176</v>
      </c>
      <c r="B1544" t="inlineStr">
        <is>
          <t>The Cavern</t>
        </is>
      </c>
      <c r="C1544" s="27" t="n">
        <v>46059</v>
      </c>
      <c r="D1544" t="n">
        <v>0</v>
      </c>
      <c r="E1544" t="inlineStr">
        <is>
          <t>RECARGAS DEVOLVIDAS</t>
        </is>
      </c>
    </row>
    <row r="1545">
      <c r="A1545" t="n">
        <v>176</v>
      </c>
      <c r="B1545" t="inlineStr">
        <is>
          <t>The Cavern</t>
        </is>
      </c>
      <c r="C1545" s="27" t="n">
        <v>46059</v>
      </c>
      <c r="D1545" t="n">
        <v>0</v>
      </c>
      <c r="E1545" t="inlineStr">
        <is>
          <t>NOTAS MANUAIS + SERVIÇO</t>
        </is>
      </c>
    </row>
    <row r="1546">
      <c r="A1546" t="n">
        <v>176</v>
      </c>
      <c r="B1546" t="inlineStr">
        <is>
          <t>The Cavern</t>
        </is>
      </c>
      <c r="C1546" s="27" t="n">
        <v>46059</v>
      </c>
      <c r="D1546" t="n">
        <v>0</v>
      </c>
      <c r="E1546" t="inlineStr">
        <is>
          <t>AME</t>
        </is>
      </c>
    </row>
    <row r="1547">
      <c r="A1547" t="n">
        <v>176</v>
      </c>
      <c r="B1547" t="inlineStr">
        <is>
          <t>The Cavern</t>
        </is>
      </c>
      <c r="C1547" s="27" t="n">
        <v>46059</v>
      </c>
      <c r="D1547" t="n">
        <v>0</v>
      </c>
      <c r="E1547" t="inlineStr">
        <is>
          <t>OUTROS</t>
        </is>
      </c>
    </row>
    <row r="1548">
      <c r="A1548" t="n">
        <v>176</v>
      </c>
      <c r="B1548" t="inlineStr">
        <is>
          <t>The Cavern</t>
        </is>
      </c>
      <c r="C1548" s="27" t="n">
        <v>46059</v>
      </c>
      <c r="D1548" t="n">
        <v>0</v>
      </c>
      <c r="E1548" t="inlineStr">
        <is>
          <t>ANTECIPADO</t>
        </is>
      </c>
    </row>
    <row r="1549">
      <c r="A1549" t="n">
        <v>176</v>
      </c>
      <c r="B1549" t="inlineStr">
        <is>
          <t>The Cavern</t>
        </is>
      </c>
      <c r="C1549" s="27" t="n">
        <v>46059</v>
      </c>
      <c r="D1549" t="n">
        <v>0</v>
      </c>
      <c r="E1549" t="inlineStr">
        <is>
          <t>ANTECIPADO</t>
        </is>
      </c>
    </row>
    <row r="1550">
      <c r="A1550" t="n">
        <v>176</v>
      </c>
      <c r="B1550" t="inlineStr">
        <is>
          <t>The Cavern</t>
        </is>
      </c>
      <c r="C1550" s="27" t="n">
        <v>46059</v>
      </c>
      <c r="D1550" t="n">
        <v>0</v>
      </c>
      <c r="E1550" t="inlineStr">
        <is>
          <t>OUTROS</t>
        </is>
      </c>
    </row>
    <row r="1551">
      <c r="A1551" t="n">
        <v>176</v>
      </c>
      <c r="B1551" t="inlineStr">
        <is>
          <t>The Cavern</t>
        </is>
      </c>
      <c r="C1551" s="27" t="n">
        <v>46059</v>
      </c>
      <c r="D1551" t="n">
        <v>0</v>
      </c>
      <c r="E1551" t="inlineStr">
        <is>
          <t>AME</t>
        </is>
      </c>
    </row>
    <row r="1552">
      <c r="A1552" t="n">
        <v>176</v>
      </c>
      <c r="B1552" t="inlineStr">
        <is>
          <t>The Cavern</t>
        </is>
      </c>
      <c r="C1552" s="27" t="n">
        <v>46059</v>
      </c>
      <c r="D1552" t="n">
        <v>0</v>
      </c>
      <c r="E1552" t="inlineStr">
        <is>
          <t>NOTAS MANUAIS + SERVIÇO</t>
        </is>
      </c>
    </row>
    <row r="1553">
      <c r="A1553" t="n">
        <v>176</v>
      </c>
      <c r="B1553" t="inlineStr">
        <is>
          <t>The Cavern</t>
        </is>
      </c>
      <c r="C1553" s="27" t="n">
        <v>46059</v>
      </c>
      <c r="D1553" t="n">
        <v>0</v>
      </c>
      <c r="E1553" t="inlineStr">
        <is>
          <t>RECARGAS DEVOLVIDAS</t>
        </is>
      </c>
    </row>
    <row r="1554">
      <c r="A1554" t="n">
        <v>176</v>
      </c>
      <c r="B1554" t="inlineStr">
        <is>
          <t>The Cavern</t>
        </is>
      </c>
      <c r="C1554" s="27" t="n">
        <v>46059</v>
      </c>
      <c r="D1554" t="n">
        <v>0</v>
      </c>
      <c r="E1554" t="inlineStr">
        <is>
          <t>VOUCHER INTEGRADO</t>
        </is>
      </c>
    </row>
    <row r="1555">
      <c r="A1555" t="n">
        <v>176</v>
      </c>
      <c r="B1555" t="inlineStr">
        <is>
          <t>The Cavern</t>
        </is>
      </c>
      <c r="C1555" s="27" t="n">
        <v>46059</v>
      </c>
      <c r="D1555" t="n">
        <v>0</v>
      </c>
      <c r="E1555" t="inlineStr">
        <is>
          <t>MBWAY</t>
        </is>
      </c>
    </row>
    <row r="1556">
      <c r="A1556" t="n">
        <v>176</v>
      </c>
      <c r="B1556" t="inlineStr">
        <is>
          <t>The Cavern</t>
        </is>
      </c>
      <c r="C1556" s="27" t="n">
        <v>46059</v>
      </c>
      <c r="D1556" t="n">
        <v>0</v>
      </c>
      <c r="E1556" t="inlineStr">
        <is>
          <t>CRÉDITO</t>
        </is>
      </c>
    </row>
    <row r="1557">
      <c r="A1557" t="n">
        <v>176</v>
      </c>
      <c r="B1557" t="inlineStr">
        <is>
          <t>The Cavern</t>
        </is>
      </c>
      <c r="C1557" s="27" t="n">
        <v>46059</v>
      </c>
      <c r="D1557" t="n">
        <v>0</v>
      </c>
      <c r="E1557" t="inlineStr">
        <is>
          <t>DINHEIRO</t>
        </is>
      </c>
    </row>
    <row r="1558">
      <c r="A1558" t="n">
        <v>176</v>
      </c>
      <c r="B1558" t="inlineStr">
        <is>
          <t>The Cavern</t>
        </is>
      </c>
      <c r="C1558" s="27" t="n">
        <v>46059</v>
      </c>
      <c r="D1558" t="n">
        <v>0</v>
      </c>
      <c r="E1558" t="inlineStr">
        <is>
          <t>APP</t>
        </is>
      </c>
    </row>
    <row r="1559">
      <c r="A1559" t="n">
        <v>176</v>
      </c>
      <c r="B1559" t="inlineStr">
        <is>
          <t>The Cavern</t>
        </is>
      </c>
      <c r="C1559" s="27" t="n">
        <v>46059</v>
      </c>
      <c r="D1559" t="n">
        <v>0</v>
      </c>
      <c r="E1559" t="inlineStr">
        <is>
          <t>DELIVERY ONLINE</t>
        </is>
      </c>
    </row>
    <row r="1560">
      <c r="A1560" t="n">
        <v>176</v>
      </c>
      <c r="B1560" t="inlineStr">
        <is>
          <t>The Cavern</t>
        </is>
      </c>
      <c r="C1560" s="27" t="n">
        <v>46059</v>
      </c>
      <c r="D1560" t="n">
        <v>0</v>
      </c>
      <c r="E1560" t="inlineStr">
        <is>
          <t>IFOOD</t>
        </is>
      </c>
    </row>
    <row r="1561">
      <c r="A1561" t="n">
        <v>176</v>
      </c>
      <c r="B1561" t="inlineStr">
        <is>
          <t>The Cavern</t>
        </is>
      </c>
      <c r="C1561" s="27" t="n">
        <v>46059</v>
      </c>
      <c r="D1561" t="n">
        <v>0</v>
      </c>
      <c r="E1561" t="inlineStr">
        <is>
          <t>BÔNUS</t>
        </is>
      </c>
    </row>
    <row r="1562">
      <c r="A1562" t="n">
        <v>176</v>
      </c>
      <c r="B1562" t="inlineStr">
        <is>
          <t>The Cavern</t>
        </is>
      </c>
      <c r="C1562" s="27" t="n">
        <v>46059</v>
      </c>
      <c r="D1562" t="n">
        <v>0</v>
      </c>
      <c r="E1562" t="inlineStr">
        <is>
          <t>DÉBITO</t>
        </is>
      </c>
    </row>
    <row r="1563">
      <c r="A1563" t="n">
        <v>176</v>
      </c>
      <c r="B1563" t="inlineStr">
        <is>
          <t>The Cavern</t>
        </is>
      </c>
      <c r="C1563" s="27" t="n">
        <v>46059</v>
      </c>
      <c r="D1563" t="n">
        <v>0</v>
      </c>
      <c r="E1563" t="inlineStr">
        <is>
          <t>VOUCHER</t>
        </is>
      </c>
    </row>
    <row r="1564">
      <c r="A1564" t="n">
        <v>176</v>
      </c>
      <c r="B1564" t="inlineStr">
        <is>
          <t>The Cavern</t>
        </is>
      </c>
      <c r="C1564" s="27" t="n">
        <v>46059</v>
      </c>
      <c r="D1564" t="n">
        <v>0</v>
      </c>
      <c r="E1564" t="inlineStr">
        <is>
          <t>ANTECIPADO</t>
        </is>
      </c>
    </row>
    <row r="1565">
      <c r="A1565" t="n">
        <v>176</v>
      </c>
      <c r="B1565" t="inlineStr">
        <is>
          <t>The Cavern</t>
        </is>
      </c>
      <c r="C1565" s="27" t="n">
        <v>46059</v>
      </c>
      <c r="D1565" t="n">
        <v>0</v>
      </c>
      <c r="E1565" t="inlineStr">
        <is>
          <t>UBER</t>
        </is>
      </c>
    </row>
    <row r="1566">
      <c r="A1566" t="n">
        <v>176</v>
      </c>
      <c r="B1566" t="inlineStr">
        <is>
          <t>The Cavern</t>
        </is>
      </c>
      <c r="C1566" s="27" t="n">
        <v>46059</v>
      </c>
      <c r="D1566" t="n">
        <v>0</v>
      </c>
      <c r="E1566" t="inlineStr">
        <is>
          <t>RAPPI</t>
        </is>
      </c>
    </row>
    <row r="1567">
      <c r="A1567" t="n">
        <v>176</v>
      </c>
      <c r="B1567" t="inlineStr">
        <is>
          <t>The Cavern</t>
        </is>
      </c>
      <c r="C1567" s="27" t="n">
        <v>46059</v>
      </c>
      <c r="D1567" t="n">
        <v>0</v>
      </c>
      <c r="E1567" t="inlineStr">
        <is>
          <t>PIX</t>
        </is>
      </c>
    </row>
    <row r="1568">
      <c r="A1568" t="n">
        <v>176</v>
      </c>
      <c r="B1568" t="inlineStr">
        <is>
          <t>The Cavern</t>
        </is>
      </c>
      <c r="C1568" s="27" t="n">
        <v>46059</v>
      </c>
      <c r="D1568" t="n">
        <v>0</v>
      </c>
      <c r="E1568" t="inlineStr">
        <is>
          <t>UBER</t>
        </is>
      </c>
    </row>
    <row r="1569">
      <c r="A1569" t="n">
        <v>176</v>
      </c>
      <c r="B1569" t="inlineStr">
        <is>
          <t>The Cavern</t>
        </is>
      </c>
      <c r="C1569" s="27" t="n">
        <v>46059</v>
      </c>
      <c r="D1569" t="n">
        <v>0</v>
      </c>
      <c r="E1569" t="inlineStr">
        <is>
          <t>NOTAS MANUAIS + SERVIÇO</t>
        </is>
      </c>
    </row>
    <row r="1570">
      <c r="A1570" t="n">
        <v>176</v>
      </c>
      <c r="B1570" t="inlineStr">
        <is>
          <t>The Cavern</t>
        </is>
      </c>
      <c r="C1570" s="27" t="n">
        <v>46059</v>
      </c>
      <c r="D1570" t="n">
        <v>0</v>
      </c>
      <c r="E1570" t="inlineStr">
        <is>
          <t>RECARGAS DEVOLVIDAS</t>
        </is>
      </c>
    </row>
    <row r="1571">
      <c r="A1571" t="n">
        <v>176</v>
      </c>
      <c r="B1571" t="inlineStr">
        <is>
          <t>The Cavern</t>
        </is>
      </c>
      <c r="C1571" s="27" t="n">
        <v>46059</v>
      </c>
      <c r="D1571" t="n">
        <v>0</v>
      </c>
      <c r="E1571" t="inlineStr">
        <is>
          <t>VOUCHER INTEGRADO</t>
        </is>
      </c>
    </row>
    <row r="1572">
      <c r="A1572" t="n">
        <v>176</v>
      </c>
      <c r="B1572" t="inlineStr">
        <is>
          <t>The Cavern</t>
        </is>
      </c>
      <c r="C1572" s="27" t="n">
        <v>46059</v>
      </c>
      <c r="D1572" t="n">
        <v>0</v>
      </c>
      <c r="E1572" t="inlineStr">
        <is>
          <t>MBWAY</t>
        </is>
      </c>
    </row>
    <row r="1573">
      <c r="A1573" t="n">
        <v>176</v>
      </c>
      <c r="B1573" t="inlineStr">
        <is>
          <t>The Cavern</t>
        </is>
      </c>
      <c r="C1573" s="27" t="n">
        <v>46059</v>
      </c>
      <c r="D1573" t="n">
        <v>0</v>
      </c>
      <c r="E1573" t="inlineStr">
        <is>
          <t>BÔNUS</t>
        </is>
      </c>
    </row>
    <row r="1574">
      <c r="A1574" t="n">
        <v>176</v>
      </c>
      <c r="B1574" t="inlineStr">
        <is>
          <t>The Cavern</t>
        </is>
      </c>
      <c r="C1574" s="27" t="n">
        <v>46059</v>
      </c>
      <c r="D1574" t="n">
        <v>1160.13</v>
      </c>
      <c r="E1574" t="inlineStr">
        <is>
          <t>DÉBITO</t>
        </is>
      </c>
    </row>
    <row r="1575">
      <c r="A1575" t="n">
        <v>176</v>
      </c>
      <c r="B1575" t="inlineStr">
        <is>
          <t>The Cavern</t>
        </is>
      </c>
      <c r="C1575" s="27" t="n">
        <v>46059</v>
      </c>
      <c r="D1575" t="n">
        <v>0</v>
      </c>
      <c r="E1575" t="inlineStr">
        <is>
          <t>VOUCHER</t>
        </is>
      </c>
    </row>
    <row r="1576">
      <c r="A1576" t="n">
        <v>176</v>
      </c>
      <c r="B1576" t="inlineStr">
        <is>
          <t>The Cavern</t>
        </is>
      </c>
      <c r="C1576" s="27" t="n">
        <v>46059</v>
      </c>
      <c r="D1576" t="n">
        <v>0</v>
      </c>
      <c r="E1576" t="inlineStr">
        <is>
          <t>ANTECIPADO</t>
        </is>
      </c>
    </row>
    <row r="1577">
      <c r="A1577" t="n">
        <v>176</v>
      </c>
      <c r="B1577" t="inlineStr">
        <is>
          <t>The Cavern</t>
        </is>
      </c>
      <c r="C1577" s="27" t="n">
        <v>46059</v>
      </c>
      <c r="D1577" t="n">
        <v>0</v>
      </c>
      <c r="E1577" t="inlineStr">
        <is>
          <t>AME</t>
        </is>
      </c>
    </row>
    <row r="1578">
      <c r="A1578" t="n">
        <v>176</v>
      </c>
      <c r="B1578" t="inlineStr">
        <is>
          <t>The Cavern</t>
        </is>
      </c>
      <c r="C1578" s="27" t="n">
        <v>46059</v>
      </c>
      <c r="D1578" t="n">
        <v>0</v>
      </c>
      <c r="E1578" t="inlineStr">
        <is>
          <t>RAPPI</t>
        </is>
      </c>
    </row>
    <row r="1579">
      <c r="A1579" t="n">
        <v>176</v>
      </c>
      <c r="B1579" t="inlineStr">
        <is>
          <t>The Cavern</t>
        </is>
      </c>
      <c r="C1579" s="27" t="n">
        <v>46059</v>
      </c>
      <c r="D1579" t="n">
        <v>0</v>
      </c>
      <c r="E1579" t="inlineStr">
        <is>
          <t>PIX</t>
        </is>
      </c>
    </row>
    <row r="1580">
      <c r="A1580" t="n">
        <v>176</v>
      </c>
      <c r="B1580" t="inlineStr">
        <is>
          <t>The Cavern</t>
        </is>
      </c>
      <c r="C1580" s="27" t="n">
        <v>46059</v>
      </c>
      <c r="D1580" t="n">
        <v>0</v>
      </c>
      <c r="E1580" t="inlineStr">
        <is>
          <t>IFOOD</t>
        </is>
      </c>
    </row>
    <row r="1581">
      <c r="A1581" t="n">
        <v>176</v>
      </c>
      <c r="B1581" t="inlineStr">
        <is>
          <t>The Cavern</t>
        </is>
      </c>
      <c r="C1581" s="27" t="n">
        <v>46059</v>
      </c>
      <c r="D1581" t="n">
        <v>0</v>
      </c>
      <c r="E1581" t="inlineStr">
        <is>
          <t>DELIVERY ONLINE</t>
        </is>
      </c>
    </row>
    <row r="1582">
      <c r="A1582" t="n">
        <v>176</v>
      </c>
      <c r="B1582" t="inlineStr">
        <is>
          <t>The Cavern</t>
        </is>
      </c>
      <c r="C1582" s="27" t="n">
        <v>46059</v>
      </c>
      <c r="D1582" t="n">
        <v>0</v>
      </c>
      <c r="E1582" t="inlineStr">
        <is>
          <t>APP</t>
        </is>
      </c>
    </row>
    <row r="1583">
      <c r="A1583" t="n">
        <v>176</v>
      </c>
      <c r="B1583" t="inlineStr">
        <is>
          <t>The Cavern</t>
        </is>
      </c>
      <c r="C1583" s="27" t="n">
        <v>46059</v>
      </c>
      <c r="D1583" t="n">
        <v>0</v>
      </c>
      <c r="E1583" t="inlineStr">
        <is>
          <t>DINHEIRO</t>
        </is>
      </c>
    </row>
    <row r="1584">
      <c r="A1584" t="n">
        <v>176</v>
      </c>
      <c r="B1584" t="inlineStr">
        <is>
          <t>The Cavern</t>
        </is>
      </c>
      <c r="C1584" s="27" t="n">
        <v>46059</v>
      </c>
      <c r="D1584" t="n">
        <v>1077.27</v>
      </c>
      <c r="E1584" t="inlineStr">
        <is>
          <t>CRÉDITO</t>
        </is>
      </c>
    </row>
    <row r="1585">
      <c r="A1585" t="n">
        <v>176</v>
      </c>
      <c r="B1585" t="inlineStr">
        <is>
          <t>The Cavern</t>
        </is>
      </c>
      <c r="C1585" s="27" t="n">
        <v>46059</v>
      </c>
      <c r="D1585" t="n">
        <v>2092.52</v>
      </c>
      <c r="E1585" t="inlineStr">
        <is>
          <t>CRÉDITO</t>
        </is>
      </c>
    </row>
    <row r="1586">
      <c r="A1586" t="n">
        <v>176</v>
      </c>
      <c r="B1586" t="inlineStr">
        <is>
          <t>The Cavern</t>
        </is>
      </c>
      <c r="C1586" s="27" t="n">
        <v>46059</v>
      </c>
      <c r="D1586" t="n">
        <v>0</v>
      </c>
      <c r="E1586" t="inlineStr">
        <is>
          <t>OUTROS</t>
        </is>
      </c>
    </row>
    <row r="1587">
      <c r="A1587" t="n">
        <v>176</v>
      </c>
      <c r="B1587" t="inlineStr">
        <is>
          <t>The Cavern</t>
        </is>
      </c>
      <c r="C1587" s="27" t="n">
        <v>46059</v>
      </c>
      <c r="D1587" t="n">
        <v>0</v>
      </c>
      <c r="E1587" t="inlineStr">
        <is>
          <t>ANTECIPADO</t>
        </is>
      </c>
    </row>
    <row r="1588">
      <c r="A1588" t="n">
        <v>176</v>
      </c>
      <c r="B1588" t="inlineStr">
        <is>
          <t>The Cavern</t>
        </is>
      </c>
      <c r="C1588" s="27" t="n">
        <v>46059</v>
      </c>
      <c r="D1588" t="n">
        <v>0</v>
      </c>
      <c r="E1588" t="inlineStr">
        <is>
          <t>BÔNUS</t>
        </is>
      </c>
    </row>
    <row r="1589">
      <c r="A1589" t="n">
        <v>176</v>
      </c>
      <c r="B1589" t="inlineStr">
        <is>
          <t>The Cavern</t>
        </is>
      </c>
      <c r="C1589" s="27" t="n">
        <v>46059</v>
      </c>
      <c r="D1589" t="n">
        <v>939.11</v>
      </c>
      <c r="E1589" t="inlineStr">
        <is>
          <t>DÉBITO</t>
        </is>
      </c>
    </row>
    <row r="1590">
      <c r="A1590" t="n">
        <v>176</v>
      </c>
      <c r="B1590" t="inlineStr">
        <is>
          <t>The Cavern</t>
        </is>
      </c>
      <c r="C1590" s="27" t="n">
        <v>46059</v>
      </c>
      <c r="D1590" t="n">
        <v>0</v>
      </c>
      <c r="E1590" t="inlineStr">
        <is>
          <t>ANTECIPADO</t>
        </is>
      </c>
    </row>
    <row r="1591">
      <c r="A1591" t="n">
        <v>176</v>
      </c>
      <c r="B1591" t="inlineStr">
        <is>
          <t>The Cavern</t>
        </is>
      </c>
      <c r="C1591" s="27" t="n">
        <v>46059</v>
      </c>
      <c r="D1591" t="n">
        <v>0</v>
      </c>
      <c r="E1591" t="inlineStr">
        <is>
          <t>UBER</t>
        </is>
      </c>
    </row>
    <row r="1592">
      <c r="A1592" t="n">
        <v>176</v>
      </c>
      <c r="B1592" t="inlineStr">
        <is>
          <t>The Cavern</t>
        </is>
      </c>
      <c r="C1592" s="27" t="n">
        <v>46059</v>
      </c>
      <c r="D1592" t="n">
        <v>0</v>
      </c>
      <c r="E1592" t="inlineStr">
        <is>
          <t>RAPPI</t>
        </is>
      </c>
    </row>
    <row r="1593">
      <c r="A1593" t="n">
        <v>176</v>
      </c>
      <c r="B1593" t="inlineStr">
        <is>
          <t>The Cavern</t>
        </is>
      </c>
      <c r="C1593" s="27" t="n">
        <v>46059</v>
      </c>
      <c r="D1593" t="n">
        <v>0</v>
      </c>
      <c r="E1593" t="inlineStr">
        <is>
          <t>PIX</t>
        </is>
      </c>
    </row>
    <row r="1594">
      <c r="A1594" t="n">
        <v>176</v>
      </c>
      <c r="B1594" t="inlineStr">
        <is>
          <t>The Cavern</t>
        </is>
      </c>
      <c r="C1594" s="27" t="n">
        <v>46059</v>
      </c>
      <c r="D1594" t="n">
        <v>0</v>
      </c>
      <c r="E1594" t="inlineStr">
        <is>
          <t>IFOOD</t>
        </is>
      </c>
    </row>
    <row r="1595">
      <c r="A1595" t="n">
        <v>176</v>
      </c>
      <c r="B1595" t="inlineStr">
        <is>
          <t>The Cavern</t>
        </is>
      </c>
      <c r="C1595" s="27" t="n">
        <v>46059</v>
      </c>
      <c r="D1595" t="n">
        <v>0</v>
      </c>
      <c r="E1595" t="inlineStr">
        <is>
          <t>DELIVERY ONLINE</t>
        </is>
      </c>
    </row>
    <row r="1596">
      <c r="A1596" t="n">
        <v>176</v>
      </c>
      <c r="B1596" t="inlineStr">
        <is>
          <t>The Cavern</t>
        </is>
      </c>
      <c r="C1596" s="27" t="n">
        <v>46059</v>
      </c>
      <c r="D1596" t="n">
        <v>0</v>
      </c>
      <c r="E1596" t="inlineStr">
        <is>
          <t>APP</t>
        </is>
      </c>
    </row>
    <row r="1597">
      <c r="A1597" t="n">
        <v>176</v>
      </c>
      <c r="B1597" t="inlineStr">
        <is>
          <t>The Cavern</t>
        </is>
      </c>
      <c r="C1597" s="27" t="n">
        <v>46059</v>
      </c>
      <c r="D1597" t="n">
        <v>0</v>
      </c>
      <c r="E1597" t="inlineStr">
        <is>
          <t>DINHEIRO</t>
        </is>
      </c>
    </row>
    <row r="1598">
      <c r="A1598" t="n">
        <v>176</v>
      </c>
      <c r="B1598" t="inlineStr">
        <is>
          <t>The Cavern</t>
        </is>
      </c>
      <c r="C1598" s="27" t="n">
        <v>46058</v>
      </c>
      <c r="D1598" t="n">
        <v>0</v>
      </c>
      <c r="E1598" t="inlineStr">
        <is>
          <t>IFOOD</t>
        </is>
      </c>
    </row>
    <row r="1599">
      <c r="A1599" t="n">
        <v>176</v>
      </c>
      <c r="B1599" t="inlineStr">
        <is>
          <t>The Cavern</t>
        </is>
      </c>
      <c r="C1599" s="27" t="n">
        <v>46058</v>
      </c>
      <c r="D1599" t="n">
        <v>0</v>
      </c>
      <c r="E1599" t="inlineStr">
        <is>
          <t>VOUCHER INTEGRADO</t>
        </is>
      </c>
    </row>
    <row r="1600">
      <c r="A1600" t="n">
        <v>176</v>
      </c>
      <c r="B1600" t="inlineStr">
        <is>
          <t>The Cavern</t>
        </is>
      </c>
      <c r="C1600" s="27" t="n">
        <v>46058</v>
      </c>
      <c r="D1600" t="n">
        <v>0</v>
      </c>
      <c r="E1600" t="inlineStr">
        <is>
          <t>MBWAY</t>
        </is>
      </c>
    </row>
    <row r="1601">
      <c r="A1601" t="n">
        <v>176</v>
      </c>
      <c r="B1601" t="inlineStr">
        <is>
          <t>The Cavern</t>
        </is>
      </c>
      <c r="C1601" s="27" t="n">
        <v>46058</v>
      </c>
      <c r="D1601" t="n">
        <v>0</v>
      </c>
      <c r="E1601" t="inlineStr">
        <is>
          <t>MBWAY</t>
        </is>
      </c>
    </row>
    <row r="1602">
      <c r="A1602" t="n">
        <v>176</v>
      </c>
      <c r="B1602" t="inlineStr">
        <is>
          <t>The Cavern</t>
        </is>
      </c>
      <c r="C1602" s="27" t="n">
        <v>46058</v>
      </c>
      <c r="D1602" t="n">
        <v>1018.45</v>
      </c>
      <c r="E1602" t="inlineStr">
        <is>
          <t>DÉBITO</t>
        </is>
      </c>
    </row>
    <row r="1603">
      <c r="A1603" t="n">
        <v>176</v>
      </c>
      <c r="B1603" t="inlineStr">
        <is>
          <t>The Cavern</t>
        </is>
      </c>
      <c r="C1603" s="27" t="n">
        <v>46058</v>
      </c>
      <c r="D1603" t="n">
        <v>0</v>
      </c>
      <c r="E1603" t="inlineStr">
        <is>
          <t>BÔNUS</t>
        </is>
      </c>
    </row>
    <row r="1604">
      <c r="A1604" t="n">
        <v>176</v>
      </c>
      <c r="B1604" t="inlineStr">
        <is>
          <t>The Cavern</t>
        </is>
      </c>
      <c r="C1604" s="27" t="n">
        <v>46058</v>
      </c>
      <c r="D1604" t="n">
        <v>0</v>
      </c>
      <c r="E1604" t="inlineStr">
        <is>
          <t>ANTECIPADO</t>
        </is>
      </c>
    </row>
    <row r="1605">
      <c r="A1605" t="n">
        <v>176</v>
      </c>
      <c r="B1605" t="inlineStr">
        <is>
          <t>The Cavern</t>
        </is>
      </c>
      <c r="C1605" s="27" t="n">
        <v>46058</v>
      </c>
      <c r="D1605" t="n">
        <v>0</v>
      </c>
      <c r="E1605" t="inlineStr">
        <is>
          <t>OUTROS</t>
        </is>
      </c>
    </row>
    <row r="1606">
      <c r="A1606" t="n">
        <v>176</v>
      </c>
      <c r="B1606" t="inlineStr">
        <is>
          <t>The Cavern</t>
        </is>
      </c>
      <c r="C1606" s="27" t="n">
        <v>46058</v>
      </c>
      <c r="D1606" t="n">
        <v>0</v>
      </c>
      <c r="E1606" t="inlineStr">
        <is>
          <t>AME</t>
        </is>
      </c>
    </row>
    <row r="1607">
      <c r="A1607" t="n">
        <v>176</v>
      </c>
      <c r="B1607" t="inlineStr">
        <is>
          <t>The Cavern</t>
        </is>
      </c>
      <c r="C1607" s="27" t="n">
        <v>46058</v>
      </c>
      <c r="D1607" t="n">
        <v>0</v>
      </c>
      <c r="E1607" t="inlineStr">
        <is>
          <t>NOTAS MANUAIS + SERVIÇO</t>
        </is>
      </c>
    </row>
    <row r="1608">
      <c r="A1608" t="n">
        <v>176</v>
      </c>
      <c r="B1608" t="inlineStr">
        <is>
          <t>The Cavern</t>
        </is>
      </c>
      <c r="C1608" s="27" t="n">
        <v>46058</v>
      </c>
      <c r="D1608" t="n">
        <v>0</v>
      </c>
      <c r="E1608" t="inlineStr">
        <is>
          <t>RECARGAS DEVOLVIDAS</t>
        </is>
      </c>
    </row>
    <row r="1609">
      <c r="A1609" t="n">
        <v>176</v>
      </c>
      <c r="B1609" t="inlineStr">
        <is>
          <t>The Cavern</t>
        </is>
      </c>
      <c r="C1609" s="27" t="n">
        <v>46058</v>
      </c>
      <c r="D1609" t="n">
        <v>0</v>
      </c>
      <c r="E1609" t="inlineStr">
        <is>
          <t>VOUCHER INTEGRADO</t>
        </is>
      </c>
    </row>
    <row r="1610">
      <c r="A1610" t="n">
        <v>176</v>
      </c>
      <c r="B1610" t="inlineStr">
        <is>
          <t>The Cavern</t>
        </is>
      </c>
      <c r="C1610" s="27" t="n">
        <v>46058</v>
      </c>
      <c r="D1610" t="n">
        <v>0</v>
      </c>
      <c r="E1610" t="inlineStr">
        <is>
          <t>NOTAS MANUAIS + SERVIÇO</t>
        </is>
      </c>
    </row>
    <row r="1611">
      <c r="A1611" t="n">
        <v>176</v>
      </c>
      <c r="B1611" t="inlineStr">
        <is>
          <t>The Cavern</t>
        </is>
      </c>
      <c r="C1611" s="27" t="n">
        <v>46058</v>
      </c>
      <c r="D1611" t="n">
        <v>0</v>
      </c>
      <c r="E1611" t="inlineStr">
        <is>
          <t>ANTECIPADO</t>
        </is>
      </c>
    </row>
    <row r="1612">
      <c r="A1612" t="n">
        <v>176</v>
      </c>
      <c r="B1612" t="inlineStr">
        <is>
          <t>The Cavern</t>
        </is>
      </c>
      <c r="C1612" s="27" t="n">
        <v>46058</v>
      </c>
      <c r="D1612" t="n">
        <v>0</v>
      </c>
      <c r="E1612" t="inlineStr">
        <is>
          <t>UBER</t>
        </is>
      </c>
    </row>
    <row r="1613">
      <c r="A1613" t="n">
        <v>176</v>
      </c>
      <c r="B1613" t="inlineStr">
        <is>
          <t>The Cavern</t>
        </is>
      </c>
      <c r="C1613" s="27" t="n">
        <v>46058</v>
      </c>
      <c r="D1613" t="n">
        <v>0</v>
      </c>
      <c r="E1613" t="inlineStr">
        <is>
          <t>RAPPI</t>
        </is>
      </c>
    </row>
    <row r="1614">
      <c r="A1614" t="n">
        <v>176</v>
      </c>
      <c r="B1614" t="inlineStr">
        <is>
          <t>The Cavern</t>
        </is>
      </c>
      <c r="C1614" s="27" t="n">
        <v>46058</v>
      </c>
      <c r="D1614" t="n">
        <v>271.2</v>
      </c>
      <c r="E1614" t="inlineStr">
        <is>
          <t>PIX</t>
        </is>
      </c>
    </row>
    <row r="1615">
      <c r="A1615" t="n">
        <v>176</v>
      </c>
      <c r="B1615" t="inlineStr">
        <is>
          <t>The Cavern</t>
        </is>
      </c>
      <c r="C1615" s="27" t="n">
        <v>46058</v>
      </c>
      <c r="D1615" t="n">
        <v>0</v>
      </c>
      <c r="E1615" t="inlineStr">
        <is>
          <t>IFOOD</t>
        </is>
      </c>
    </row>
    <row r="1616">
      <c r="A1616" t="n">
        <v>176</v>
      </c>
      <c r="B1616" t="inlineStr">
        <is>
          <t>The Cavern</t>
        </is>
      </c>
      <c r="C1616" s="27" t="n">
        <v>46058</v>
      </c>
      <c r="D1616" t="n">
        <v>0</v>
      </c>
      <c r="E1616" t="inlineStr">
        <is>
          <t>DELIVERY ONLINE</t>
        </is>
      </c>
    </row>
    <row r="1617">
      <c r="A1617" t="n">
        <v>176</v>
      </c>
      <c r="B1617" t="inlineStr">
        <is>
          <t>The Cavern</t>
        </is>
      </c>
      <c r="C1617" s="27" t="n">
        <v>46058</v>
      </c>
      <c r="D1617" t="n">
        <v>0</v>
      </c>
      <c r="E1617" t="inlineStr">
        <is>
          <t>APP</t>
        </is>
      </c>
    </row>
    <row r="1618">
      <c r="A1618" t="n">
        <v>176</v>
      </c>
      <c r="B1618" t="inlineStr">
        <is>
          <t>The Cavern</t>
        </is>
      </c>
      <c r="C1618" s="27" t="n">
        <v>46058</v>
      </c>
      <c r="D1618" t="n">
        <v>0</v>
      </c>
      <c r="E1618" t="inlineStr">
        <is>
          <t>DINHEIRO</t>
        </is>
      </c>
    </row>
    <row r="1619">
      <c r="A1619" t="n">
        <v>176</v>
      </c>
      <c r="B1619" t="inlineStr">
        <is>
          <t>The Cavern</t>
        </is>
      </c>
      <c r="C1619" s="27" t="n">
        <v>46058</v>
      </c>
      <c r="D1619" t="n">
        <v>0</v>
      </c>
      <c r="E1619" t="inlineStr">
        <is>
          <t>ANTECIPADO</t>
        </is>
      </c>
    </row>
    <row r="1620">
      <c r="A1620" t="n">
        <v>176</v>
      </c>
      <c r="B1620" t="inlineStr">
        <is>
          <t>The Cavern</t>
        </is>
      </c>
      <c r="C1620" s="27" t="n">
        <v>46058</v>
      </c>
      <c r="D1620" t="n">
        <v>0</v>
      </c>
      <c r="E1620" t="inlineStr">
        <is>
          <t>RECARGAS DEVOLVIDAS</t>
        </is>
      </c>
    </row>
    <row r="1621">
      <c r="A1621" t="n">
        <v>176</v>
      </c>
      <c r="B1621" t="inlineStr">
        <is>
          <t>The Cavern</t>
        </is>
      </c>
      <c r="C1621" s="27" t="n">
        <v>46058</v>
      </c>
      <c r="D1621" t="n">
        <v>0</v>
      </c>
      <c r="E1621" t="inlineStr">
        <is>
          <t>AME</t>
        </is>
      </c>
    </row>
    <row r="1622">
      <c r="A1622" t="n">
        <v>176</v>
      </c>
      <c r="B1622" t="inlineStr">
        <is>
          <t>The Cavern</t>
        </is>
      </c>
      <c r="C1622" s="27" t="n">
        <v>46058</v>
      </c>
      <c r="D1622" t="n">
        <v>0</v>
      </c>
      <c r="E1622" t="inlineStr">
        <is>
          <t>OUTROS</t>
        </is>
      </c>
    </row>
    <row r="1623">
      <c r="A1623" t="n">
        <v>176</v>
      </c>
      <c r="B1623" t="inlineStr">
        <is>
          <t>The Cavern</t>
        </is>
      </c>
      <c r="C1623" s="27" t="n">
        <v>46058</v>
      </c>
      <c r="D1623" t="n">
        <v>0</v>
      </c>
      <c r="E1623" t="inlineStr">
        <is>
          <t>ANTECIPADO</t>
        </is>
      </c>
    </row>
    <row r="1624">
      <c r="A1624" t="n">
        <v>176</v>
      </c>
      <c r="B1624" t="inlineStr">
        <is>
          <t>The Cavern</t>
        </is>
      </c>
      <c r="C1624" s="27" t="n">
        <v>46058</v>
      </c>
      <c r="D1624" t="n">
        <v>0</v>
      </c>
      <c r="E1624" t="inlineStr">
        <is>
          <t>BÔNUS</t>
        </is>
      </c>
    </row>
    <row r="1625">
      <c r="A1625" t="n">
        <v>176</v>
      </c>
      <c r="B1625" t="inlineStr">
        <is>
          <t>The Cavern</t>
        </is>
      </c>
      <c r="C1625" s="27" t="n">
        <v>46058</v>
      </c>
      <c r="D1625" t="n">
        <v>2074.68</v>
      </c>
      <c r="E1625" t="inlineStr">
        <is>
          <t>DÉBITO</t>
        </is>
      </c>
    </row>
    <row r="1626">
      <c r="A1626" t="n">
        <v>176</v>
      </c>
      <c r="B1626" t="inlineStr">
        <is>
          <t>The Cavern</t>
        </is>
      </c>
      <c r="C1626" s="27" t="n">
        <v>46058</v>
      </c>
      <c r="D1626" t="n">
        <v>0</v>
      </c>
      <c r="E1626" t="inlineStr">
        <is>
          <t>VOUCHER</t>
        </is>
      </c>
    </row>
    <row r="1627">
      <c r="A1627" t="n">
        <v>176</v>
      </c>
      <c r="B1627" t="inlineStr">
        <is>
          <t>The Cavern</t>
        </is>
      </c>
      <c r="C1627" s="27" t="n">
        <v>46058</v>
      </c>
      <c r="D1627" t="n">
        <v>7644.96</v>
      </c>
      <c r="E1627" t="inlineStr">
        <is>
          <t>CRÉDITO</t>
        </is>
      </c>
    </row>
    <row r="1628">
      <c r="A1628" t="n">
        <v>176</v>
      </c>
      <c r="B1628" t="inlineStr">
        <is>
          <t>The Cavern</t>
        </is>
      </c>
      <c r="C1628" s="27" t="n">
        <v>46058</v>
      </c>
      <c r="D1628" t="n">
        <v>200.91</v>
      </c>
      <c r="E1628" t="inlineStr">
        <is>
          <t>DINHEIRO</t>
        </is>
      </c>
    </row>
    <row r="1629">
      <c r="A1629" t="n">
        <v>176</v>
      </c>
      <c r="B1629" t="inlineStr">
        <is>
          <t>The Cavern</t>
        </is>
      </c>
      <c r="C1629" s="27" t="n">
        <v>46058</v>
      </c>
      <c r="D1629" t="n">
        <v>0</v>
      </c>
      <c r="E1629" t="inlineStr">
        <is>
          <t>APP</t>
        </is>
      </c>
    </row>
    <row r="1630">
      <c r="A1630" t="n">
        <v>176</v>
      </c>
      <c r="B1630" t="inlineStr">
        <is>
          <t>The Cavern</t>
        </is>
      </c>
      <c r="C1630" s="27" t="n">
        <v>46058</v>
      </c>
      <c r="D1630" t="n">
        <v>0</v>
      </c>
      <c r="E1630" t="inlineStr">
        <is>
          <t>DELIVERY ONLINE</t>
        </is>
      </c>
    </row>
    <row r="1631">
      <c r="A1631" t="n">
        <v>176</v>
      </c>
      <c r="B1631" t="inlineStr">
        <is>
          <t>The Cavern</t>
        </is>
      </c>
      <c r="C1631" s="27" t="n">
        <v>46058</v>
      </c>
      <c r="D1631" t="n">
        <v>1454.31</v>
      </c>
      <c r="E1631" t="inlineStr">
        <is>
          <t>CRÉDITO</t>
        </is>
      </c>
    </row>
    <row r="1632">
      <c r="A1632" t="n">
        <v>176</v>
      </c>
      <c r="B1632" t="inlineStr">
        <is>
          <t>The Cavern</t>
        </is>
      </c>
      <c r="C1632" s="27" t="n">
        <v>46058</v>
      </c>
      <c r="D1632" t="n">
        <v>0</v>
      </c>
      <c r="E1632" t="inlineStr">
        <is>
          <t>PIX</t>
        </is>
      </c>
    </row>
    <row r="1633">
      <c r="A1633" t="n">
        <v>176</v>
      </c>
      <c r="B1633" t="inlineStr">
        <is>
          <t>The Cavern</t>
        </is>
      </c>
      <c r="C1633" s="27" t="n">
        <v>46058</v>
      </c>
      <c r="D1633" t="n">
        <v>0</v>
      </c>
      <c r="E1633" t="inlineStr">
        <is>
          <t>RAPPI</t>
        </is>
      </c>
    </row>
    <row r="1634">
      <c r="A1634" t="n">
        <v>176</v>
      </c>
      <c r="B1634" t="inlineStr">
        <is>
          <t>The Cavern</t>
        </is>
      </c>
      <c r="C1634" s="27" t="n">
        <v>46058</v>
      </c>
      <c r="D1634" t="n">
        <v>0</v>
      </c>
      <c r="E1634" t="inlineStr">
        <is>
          <t>UBER</t>
        </is>
      </c>
    </row>
    <row r="1635">
      <c r="A1635" t="n">
        <v>176</v>
      </c>
      <c r="B1635" t="inlineStr">
        <is>
          <t>The Cavern</t>
        </is>
      </c>
      <c r="C1635" s="27" t="n">
        <v>46058</v>
      </c>
      <c r="D1635" t="n">
        <v>1185.08</v>
      </c>
      <c r="E1635" t="inlineStr">
        <is>
          <t>VOUCHER</t>
        </is>
      </c>
    </row>
    <row r="1636">
      <c r="A1636" t="n">
        <v>176</v>
      </c>
      <c r="B1636" t="inlineStr">
        <is>
          <t>The Cavern</t>
        </is>
      </c>
      <c r="C1636" s="27" t="n">
        <v>46058</v>
      </c>
      <c r="D1636" t="n">
        <v>0</v>
      </c>
      <c r="E1636" t="inlineStr">
        <is>
          <t>VOUCHER INTEGRADO</t>
        </is>
      </c>
    </row>
    <row r="1637">
      <c r="A1637" t="n">
        <v>176</v>
      </c>
      <c r="B1637" t="inlineStr">
        <is>
          <t>The Cavern</t>
        </is>
      </c>
      <c r="C1637" s="27" t="n">
        <v>46058</v>
      </c>
      <c r="D1637" t="n">
        <v>0</v>
      </c>
      <c r="E1637" t="inlineStr">
        <is>
          <t>MBWAY</t>
        </is>
      </c>
    </row>
    <row r="1638">
      <c r="A1638" t="n">
        <v>176</v>
      </c>
      <c r="B1638" t="inlineStr">
        <is>
          <t>The Cavern</t>
        </is>
      </c>
      <c r="C1638" s="27" t="n">
        <v>46058</v>
      </c>
      <c r="D1638" t="n">
        <v>1454.31</v>
      </c>
      <c r="E1638" t="inlineStr">
        <is>
          <t>CRÉDITO</t>
        </is>
      </c>
    </row>
    <row r="1639">
      <c r="A1639" t="n">
        <v>176</v>
      </c>
      <c r="B1639" t="inlineStr">
        <is>
          <t>The Cavern</t>
        </is>
      </c>
      <c r="C1639" s="27" t="n">
        <v>46058</v>
      </c>
      <c r="D1639" t="n">
        <v>0</v>
      </c>
      <c r="E1639" t="inlineStr">
        <is>
          <t>DINHEIRO</t>
        </is>
      </c>
    </row>
    <row r="1640">
      <c r="A1640" t="n">
        <v>176</v>
      </c>
      <c r="B1640" t="inlineStr">
        <is>
          <t>The Cavern</t>
        </is>
      </c>
      <c r="C1640" s="27" t="n">
        <v>46058</v>
      </c>
      <c r="D1640" t="n">
        <v>0</v>
      </c>
      <c r="E1640" t="inlineStr">
        <is>
          <t>APP</t>
        </is>
      </c>
    </row>
    <row r="1641">
      <c r="A1641" t="n">
        <v>176</v>
      </c>
      <c r="B1641" t="inlineStr">
        <is>
          <t>The Cavern</t>
        </is>
      </c>
      <c r="C1641" s="27" t="n">
        <v>46058</v>
      </c>
      <c r="D1641" t="n">
        <v>0</v>
      </c>
      <c r="E1641" t="inlineStr">
        <is>
          <t>DELIVERY ONLINE</t>
        </is>
      </c>
    </row>
    <row r="1642">
      <c r="A1642" t="n">
        <v>176</v>
      </c>
      <c r="B1642" t="inlineStr">
        <is>
          <t>The Cavern</t>
        </is>
      </c>
      <c r="C1642" s="27" t="n">
        <v>46058</v>
      </c>
      <c r="D1642" t="n">
        <v>0</v>
      </c>
      <c r="E1642" t="inlineStr">
        <is>
          <t>IFOOD</t>
        </is>
      </c>
    </row>
    <row r="1643">
      <c r="A1643" t="n">
        <v>176</v>
      </c>
      <c r="B1643" t="inlineStr">
        <is>
          <t>The Cavern</t>
        </is>
      </c>
      <c r="C1643" s="27" t="n">
        <v>46058</v>
      </c>
      <c r="D1643" t="n">
        <v>271.2</v>
      </c>
      <c r="E1643" t="inlineStr">
        <is>
          <t>PIX</t>
        </is>
      </c>
    </row>
    <row r="1644">
      <c r="A1644" t="n">
        <v>176</v>
      </c>
      <c r="B1644" t="inlineStr">
        <is>
          <t>The Cavern</t>
        </is>
      </c>
      <c r="C1644" s="27" t="n">
        <v>46058</v>
      </c>
      <c r="D1644" t="n">
        <v>0</v>
      </c>
      <c r="E1644" t="inlineStr">
        <is>
          <t>RAPPI</t>
        </is>
      </c>
    </row>
    <row r="1645">
      <c r="A1645" t="n">
        <v>176</v>
      </c>
      <c r="B1645" t="inlineStr">
        <is>
          <t>The Cavern</t>
        </is>
      </c>
      <c r="C1645" s="27" t="n">
        <v>46058</v>
      </c>
      <c r="D1645" t="n">
        <v>0</v>
      </c>
      <c r="E1645" t="inlineStr">
        <is>
          <t>UBER</t>
        </is>
      </c>
    </row>
    <row r="1646">
      <c r="A1646" t="n">
        <v>176</v>
      </c>
      <c r="B1646" t="inlineStr">
        <is>
          <t>The Cavern</t>
        </is>
      </c>
      <c r="C1646" s="27" t="n">
        <v>46058</v>
      </c>
      <c r="D1646" t="n">
        <v>0</v>
      </c>
      <c r="E1646" t="inlineStr">
        <is>
          <t>ANTECIPADO</t>
        </is>
      </c>
    </row>
    <row r="1647">
      <c r="A1647" t="n">
        <v>176</v>
      </c>
      <c r="B1647" t="inlineStr">
        <is>
          <t>The Cavern</t>
        </is>
      </c>
      <c r="C1647" s="27" t="n">
        <v>46058</v>
      </c>
      <c r="D1647" t="n">
        <v>2074.68</v>
      </c>
      <c r="E1647" t="inlineStr">
        <is>
          <t>DÉBITO</t>
        </is>
      </c>
    </row>
    <row r="1648">
      <c r="A1648" t="n">
        <v>176</v>
      </c>
      <c r="B1648" t="inlineStr">
        <is>
          <t>The Cavern</t>
        </is>
      </c>
      <c r="C1648" s="27" t="n">
        <v>46058</v>
      </c>
      <c r="D1648" t="n">
        <v>0</v>
      </c>
      <c r="E1648" t="inlineStr">
        <is>
          <t>BÔNUS</t>
        </is>
      </c>
    </row>
    <row r="1649">
      <c r="A1649" t="n">
        <v>176</v>
      </c>
      <c r="B1649" t="inlineStr">
        <is>
          <t>The Cavern</t>
        </is>
      </c>
      <c r="C1649" s="27" t="n">
        <v>46058</v>
      </c>
      <c r="D1649" t="n">
        <v>0</v>
      </c>
      <c r="E1649" t="inlineStr">
        <is>
          <t>ANTECIPADO</t>
        </is>
      </c>
    </row>
    <row r="1650">
      <c r="A1650" t="n">
        <v>176</v>
      </c>
      <c r="B1650" t="inlineStr">
        <is>
          <t>The Cavern</t>
        </is>
      </c>
      <c r="C1650" s="27" t="n">
        <v>46058</v>
      </c>
      <c r="D1650" t="n">
        <v>0</v>
      </c>
      <c r="E1650" t="inlineStr">
        <is>
          <t>OUTROS</t>
        </is>
      </c>
    </row>
    <row r="1651">
      <c r="A1651" t="n">
        <v>176</v>
      </c>
      <c r="B1651" t="inlineStr">
        <is>
          <t>The Cavern</t>
        </is>
      </c>
      <c r="C1651" s="27" t="n">
        <v>46058</v>
      </c>
      <c r="D1651" t="n">
        <v>0</v>
      </c>
      <c r="E1651" t="inlineStr">
        <is>
          <t>AME</t>
        </is>
      </c>
    </row>
    <row r="1652">
      <c r="A1652" t="n">
        <v>176</v>
      </c>
      <c r="B1652" t="inlineStr">
        <is>
          <t>The Cavern</t>
        </is>
      </c>
      <c r="C1652" s="27" t="n">
        <v>46058</v>
      </c>
      <c r="D1652" t="n">
        <v>0</v>
      </c>
      <c r="E1652" t="inlineStr">
        <is>
          <t>NOTAS MANUAIS + SERVIÇO</t>
        </is>
      </c>
    </row>
    <row r="1653">
      <c r="A1653" t="n">
        <v>176</v>
      </c>
      <c r="B1653" t="inlineStr">
        <is>
          <t>The Cavern</t>
        </is>
      </c>
      <c r="C1653" s="27" t="n">
        <v>46058</v>
      </c>
      <c r="D1653" t="n">
        <v>0</v>
      </c>
      <c r="E1653" t="inlineStr">
        <is>
          <t>RECARGAS DEVOLVIDAS</t>
        </is>
      </c>
    </row>
    <row r="1654">
      <c r="A1654" t="n">
        <v>176</v>
      </c>
      <c r="B1654" t="inlineStr">
        <is>
          <t>The Cavern</t>
        </is>
      </c>
      <c r="C1654" s="27" t="n">
        <v>46058</v>
      </c>
      <c r="D1654" t="n">
        <v>0</v>
      </c>
      <c r="E1654" t="inlineStr">
        <is>
          <t>VOUCHER</t>
        </is>
      </c>
    </row>
    <row r="1655">
      <c r="A1655" t="n">
        <v>176</v>
      </c>
      <c r="B1655" t="inlineStr">
        <is>
          <t>The Cavern</t>
        </is>
      </c>
      <c r="C1655" s="27" t="n">
        <v>46057</v>
      </c>
      <c r="D1655" t="n">
        <v>0</v>
      </c>
      <c r="E1655" t="inlineStr">
        <is>
          <t>ANTECIPADO</t>
        </is>
      </c>
    </row>
    <row r="1656">
      <c r="A1656" t="n">
        <v>176</v>
      </c>
      <c r="B1656" t="inlineStr">
        <is>
          <t>The Cavern</t>
        </is>
      </c>
      <c r="C1656" s="27" t="n">
        <v>46057</v>
      </c>
      <c r="D1656" t="n">
        <v>0</v>
      </c>
      <c r="E1656" t="inlineStr">
        <is>
          <t>BÔNUS</t>
        </is>
      </c>
    </row>
    <row r="1657">
      <c r="A1657" t="n">
        <v>176</v>
      </c>
      <c r="B1657" t="inlineStr">
        <is>
          <t>The Cavern</t>
        </is>
      </c>
      <c r="C1657" s="27" t="n">
        <v>46057</v>
      </c>
      <c r="D1657" t="n">
        <v>1044.12</v>
      </c>
      <c r="E1657" t="inlineStr">
        <is>
          <t>DÉBITO</t>
        </is>
      </c>
    </row>
    <row r="1658">
      <c r="A1658" t="n">
        <v>176</v>
      </c>
      <c r="B1658" t="inlineStr">
        <is>
          <t>The Cavern</t>
        </is>
      </c>
      <c r="C1658" s="27" t="n">
        <v>46057</v>
      </c>
      <c r="D1658" t="n">
        <v>0</v>
      </c>
      <c r="E1658" t="inlineStr">
        <is>
          <t>VOUCHER</t>
        </is>
      </c>
    </row>
    <row r="1659">
      <c r="A1659" t="n">
        <v>176</v>
      </c>
      <c r="B1659" t="inlineStr">
        <is>
          <t>The Cavern</t>
        </is>
      </c>
      <c r="C1659" s="27" t="n">
        <v>46057</v>
      </c>
      <c r="D1659" t="n">
        <v>0</v>
      </c>
      <c r="E1659" t="inlineStr">
        <is>
          <t>ANTECIPADO</t>
        </is>
      </c>
    </row>
    <row r="1660">
      <c r="A1660" t="n">
        <v>176</v>
      </c>
      <c r="B1660" t="inlineStr">
        <is>
          <t>The Cavern</t>
        </is>
      </c>
      <c r="C1660" s="27" t="n">
        <v>46057</v>
      </c>
      <c r="D1660" t="n">
        <v>1818.17</v>
      </c>
      <c r="E1660" t="inlineStr">
        <is>
          <t>CRÉDITO</t>
        </is>
      </c>
    </row>
    <row r="1661">
      <c r="A1661" t="n">
        <v>176</v>
      </c>
      <c r="B1661" t="inlineStr">
        <is>
          <t>The Cavern</t>
        </is>
      </c>
      <c r="C1661" s="27" t="n">
        <v>46057</v>
      </c>
      <c r="D1661" t="n">
        <v>0</v>
      </c>
      <c r="E1661" t="inlineStr">
        <is>
          <t>UBER</t>
        </is>
      </c>
    </row>
    <row r="1662">
      <c r="A1662" t="n">
        <v>176</v>
      </c>
      <c r="B1662" t="inlineStr">
        <is>
          <t>The Cavern</t>
        </is>
      </c>
      <c r="C1662" s="27" t="n">
        <v>46057</v>
      </c>
      <c r="D1662" t="n">
        <v>0</v>
      </c>
      <c r="E1662" t="inlineStr">
        <is>
          <t>RAPPI</t>
        </is>
      </c>
    </row>
    <row r="1663">
      <c r="A1663" t="n">
        <v>176</v>
      </c>
      <c r="B1663" t="inlineStr">
        <is>
          <t>The Cavern</t>
        </is>
      </c>
      <c r="C1663" s="27" t="n">
        <v>46057</v>
      </c>
      <c r="D1663" t="n">
        <v>91.53</v>
      </c>
      <c r="E1663" t="inlineStr">
        <is>
          <t>PIX</t>
        </is>
      </c>
    </row>
    <row r="1664">
      <c r="A1664" t="n">
        <v>176</v>
      </c>
      <c r="B1664" t="inlineStr">
        <is>
          <t>The Cavern</t>
        </is>
      </c>
      <c r="C1664" s="27" t="n">
        <v>46057</v>
      </c>
      <c r="D1664" t="n">
        <v>0</v>
      </c>
      <c r="E1664" t="inlineStr">
        <is>
          <t>IFOOD</t>
        </is>
      </c>
    </row>
    <row r="1665">
      <c r="A1665" t="n">
        <v>176</v>
      </c>
      <c r="B1665" t="inlineStr">
        <is>
          <t>The Cavern</t>
        </is>
      </c>
      <c r="C1665" s="27" t="n">
        <v>46057</v>
      </c>
      <c r="D1665" t="n">
        <v>0</v>
      </c>
      <c r="E1665" t="inlineStr">
        <is>
          <t>DELIVERY ONLINE</t>
        </is>
      </c>
    </row>
    <row r="1666">
      <c r="A1666" t="n">
        <v>176</v>
      </c>
      <c r="B1666" t="inlineStr">
        <is>
          <t>The Cavern</t>
        </is>
      </c>
      <c r="C1666" s="27" t="n">
        <v>46057</v>
      </c>
      <c r="D1666" t="n">
        <v>0</v>
      </c>
      <c r="E1666" t="inlineStr">
        <is>
          <t>APP</t>
        </is>
      </c>
    </row>
    <row r="1667">
      <c r="A1667" t="n">
        <v>176</v>
      </c>
      <c r="B1667" t="inlineStr">
        <is>
          <t>The Cavern</t>
        </is>
      </c>
      <c r="C1667" s="27" t="n">
        <v>46057</v>
      </c>
      <c r="D1667" t="n">
        <v>107.8</v>
      </c>
      <c r="E1667" t="inlineStr">
        <is>
          <t>DINHEIRO</t>
        </is>
      </c>
    </row>
    <row r="1668">
      <c r="A1668" t="n">
        <v>176</v>
      </c>
      <c r="B1668" t="inlineStr">
        <is>
          <t>The Cavern</t>
        </is>
      </c>
      <c r="C1668" s="27" t="n">
        <v>46057</v>
      </c>
      <c r="D1668" t="n">
        <v>0</v>
      </c>
      <c r="E1668" t="inlineStr">
        <is>
          <t>AME</t>
        </is>
      </c>
    </row>
    <row r="1669">
      <c r="A1669" t="n">
        <v>176</v>
      </c>
      <c r="B1669" t="inlineStr">
        <is>
          <t>The Cavern</t>
        </is>
      </c>
      <c r="C1669" s="27" t="n">
        <v>46057</v>
      </c>
      <c r="D1669" t="n">
        <v>0</v>
      </c>
      <c r="E1669" t="inlineStr">
        <is>
          <t>NOTAS MANUAIS + SERVIÇO</t>
        </is>
      </c>
    </row>
    <row r="1670">
      <c r="A1670" t="n">
        <v>176</v>
      </c>
      <c r="B1670" t="inlineStr">
        <is>
          <t>The Cavern</t>
        </is>
      </c>
      <c r="C1670" s="27" t="n">
        <v>46057</v>
      </c>
      <c r="D1670" t="n">
        <v>0</v>
      </c>
      <c r="E1670" t="inlineStr">
        <is>
          <t>RECARGAS DEVOLVIDAS</t>
        </is>
      </c>
    </row>
    <row r="1671">
      <c r="A1671" t="n">
        <v>176</v>
      </c>
      <c r="B1671" t="inlineStr">
        <is>
          <t>The Cavern</t>
        </is>
      </c>
      <c r="C1671" s="27" t="n">
        <v>46057</v>
      </c>
      <c r="D1671" t="n">
        <v>0</v>
      </c>
      <c r="E1671" t="inlineStr">
        <is>
          <t>VOUCHER INTEGRADO</t>
        </is>
      </c>
    </row>
    <row r="1672">
      <c r="A1672" t="n">
        <v>176</v>
      </c>
      <c r="B1672" t="inlineStr">
        <is>
          <t>The Cavern</t>
        </is>
      </c>
      <c r="C1672" s="27" t="n">
        <v>46057</v>
      </c>
      <c r="D1672" t="n">
        <v>0</v>
      </c>
      <c r="E1672" t="inlineStr">
        <is>
          <t>MBWAY</t>
        </is>
      </c>
    </row>
    <row r="1673">
      <c r="A1673" t="n">
        <v>176</v>
      </c>
      <c r="B1673" t="inlineStr">
        <is>
          <t>The Cavern</t>
        </is>
      </c>
      <c r="C1673" s="27" t="n">
        <v>46057</v>
      </c>
      <c r="D1673" t="n">
        <v>0</v>
      </c>
      <c r="E1673" t="inlineStr">
        <is>
          <t>OUTROS</t>
        </is>
      </c>
    </row>
    <row r="1674">
      <c r="A1674" t="n">
        <v>176</v>
      </c>
      <c r="B1674" t="inlineStr">
        <is>
          <t>The Cavern</t>
        </is>
      </c>
      <c r="C1674" s="27" t="n">
        <v>46057</v>
      </c>
      <c r="D1674" t="n">
        <v>0</v>
      </c>
      <c r="E1674" t="inlineStr">
        <is>
          <t>AME</t>
        </is>
      </c>
    </row>
    <row r="1675">
      <c r="A1675" t="n">
        <v>176</v>
      </c>
      <c r="B1675" t="inlineStr">
        <is>
          <t>The Cavern</t>
        </is>
      </c>
      <c r="C1675" s="27" t="n">
        <v>46057</v>
      </c>
      <c r="D1675" t="n">
        <v>5514.24</v>
      </c>
      <c r="E1675" t="inlineStr">
        <is>
          <t>CRÉDITO</t>
        </is>
      </c>
    </row>
    <row r="1676">
      <c r="A1676" t="n">
        <v>176</v>
      </c>
      <c r="B1676" t="inlineStr">
        <is>
          <t>The Cavern</t>
        </is>
      </c>
      <c r="C1676" s="27" t="n">
        <v>46057</v>
      </c>
      <c r="D1676" t="n">
        <v>0</v>
      </c>
      <c r="E1676" t="inlineStr">
        <is>
          <t>AME</t>
        </is>
      </c>
    </row>
    <row r="1677">
      <c r="A1677" t="n">
        <v>176</v>
      </c>
      <c r="B1677" t="inlineStr">
        <is>
          <t>The Cavern</t>
        </is>
      </c>
      <c r="C1677" s="27" t="n">
        <v>46057</v>
      </c>
      <c r="D1677" t="n">
        <v>0</v>
      </c>
      <c r="E1677" t="inlineStr">
        <is>
          <t>NOTAS MANUAIS + SERVIÇO</t>
        </is>
      </c>
    </row>
    <row r="1678">
      <c r="A1678" t="n">
        <v>176</v>
      </c>
      <c r="B1678" t="inlineStr">
        <is>
          <t>The Cavern</t>
        </is>
      </c>
      <c r="C1678" s="27" t="n">
        <v>46057</v>
      </c>
      <c r="D1678" t="n">
        <v>0</v>
      </c>
      <c r="E1678" t="inlineStr">
        <is>
          <t>ANTECIPADO</t>
        </is>
      </c>
    </row>
    <row r="1679">
      <c r="A1679" t="n">
        <v>176</v>
      </c>
      <c r="B1679" t="inlineStr">
        <is>
          <t>The Cavern</t>
        </is>
      </c>
      <c r="C1679" s="27" t="n">
        <v>46057</v>
      </c>
      <c r="D1679" t="n">
        <v>0</v>
      </c>
      <c r="E1679" t="inlineStr">
        <is>
          <t>BÔNUS</t>
        </is>
      </c>
    </row>
    <row r="1680">
      <c r="A1680" t="n">
        <v>176</v>
      </c>
      <c r="B1680" t="inlineStr">
        <is>
          <t>The Cavern</t>
        </is>
      </c>
      <c r="C1680" s="27" t="n">
        <v>46057</v>
      </c>
      <c r="D1680" t="n">
        <v>692.98</v>
      </c>
      <c r="E1680" t="inlineStr">
        <is>
          <t>DÉBITO</t>
        </is>
      </c>
    </row>
    <row r="1681">
      <c r="A1681" t="n">
        <v>176</v>
      </c>
      <c r="B1681" t="inlineStr">
        <is>
          <t>The Cavern</t>
        </is>
      </c>
      <c r="C1681" s="27" t="n">
        <v>46057</v>
      </c>
      <c r="D1681" t="n">
        <v>0</v>
      </c>
      <c r="E1681" t="inlineStr">
        <is>
          <t>VOUCHER</t>
        </is>
      </c>
    </row>
    <row r="1682">
      <c r="A1682" t="n">
        <v>176</v>
      </c>
      <c r="B1682" t="inlineStr">
        <is>
          <t>The Cavern</t>
        </is>
      </c>
      <c r="C1682" s="27" t="n">
        <v>46057</v>
      </c>
      <c r="D1682" t="n">
        <v>0</v>
      </c>
      <c r="E1682" t="inlineStr">
        <is>
          <t>ANTECIPADO</t>
        </is>
      </c>
    </row>
    <row r="1683">
      <c r="A1683" t="n">
        <v>176</v>
      </c>
      <c r="B1683" t="inlineStr">
        <is>
          <t>The Cavern</t>
        </is>
      </c>
      <c r="C1683" s="27" t="n">
        <v>46057</v>
      </c>
      <c r="D1683" t="n">
        <v>0</v>
      </c>
      <c r="E1683" t="inlineStr">
        <is>
          <t>UBER</t>
        </is>
      </c>
    </row>
    <row r="1684">
      <c r="A1684" t="n">
        <v>176</v>
      </c>
      <c r="B1684" t="inlineStr">
        <is>
          <t>The Cavern</t>
        </is>
      </c>
      <c r="C1684" s="27" t="n">
        <v>46057</v>
      </c>
      <c r="D1684" t="n">
        <v>0</v>
      </c>
      <c r="E1684" t="inlineStr">
        <is>
          <t>RAPPI</t>
        </is>
      </c>
    </row>
    <row r="1685">
      <c r="A1685" t="n">
        <v>176</v>
      </c>
      <c r="B1685" t="inlineStr">
        <is>
          <t>The Cavern</t>
        </is>
      </c>
      <c r="C1685" s="27" t="n">
        <v>46057</v>
      </c>
      <c r="D1685" t="n">
        <v>108.36</v>
      </c>
      <c r="E1685" t="inlineStr">
        <is>
          <t>PIX</t>
        </is>
      </c>
    </row>
    <row r="1686">
      <c r="A1686" t="n">
        <v>176</v>
      </c>
      <c r="B1686" t="inlineStr">
        <is>
          <t>The Cavern</t>
        </is>
      </c>
      <c r="C1686" s="27" t="n">
        <v>46057</v>
      </c>
      <c r="D1686" t="n">
        <v>0</v>
      </c>
      <c r="E1686" t="inlineStr">
        <is>
          <t>IFOOD</t>
        </is>
      </c>
    </row>
    <row r="1687">
      <c r="A1687" t="n">
        <v>176</v>
      </c>
      <c r="B1687" t="inlineStr">
        <is>
          <t>The Cavern</t>
        </is>
      </c>
      <c r="C1687" s="27" t="n">
        <v>46057</v>
      </c>
      <c r="D1687" t="n">
        <v>0</v>
      </c>
      <c r="E1687" t="inlineStr">
        <is>
          <t>DELIVERY ONLINE</t>
        </is>
      </c>
    </row>
    <row r="1688">
      <c r="A1688" t="n">
        <v>176</v>
      </c>
      <c r="B1688" t="inlineStr">
        <is>
          <t>The Cavern</t>
        </is>
      </c>
      <c r="C1688" s="27" t="n">
        <v>46057</v>
      </c>
      <c r="D1688" t="n">
        <v>0</v>
      </c>
      <c r="E1688" t="inlineStr">
        <is>
          <t>APP</t>
        </is>
      </c>
    </row>
    <row r="1689">
      <c r="A1689" t="n">
        <v>176</v>
      </c>
      <c r="B1689" t="inlineStr">
        <is>
          <t>The Cavern</t>
        </is>
      </c>
      <c r="C1689" s="27" t="n">
        <v>46057</v>
      </c>
      <c r="D1689" t="n">
        <v>200.9</v>
      </c>
      <c r="E1689" t="inlineStr">
        <is>
          <t>DINHEIRO</t>
        </is>
      </c>
    </row>
    <row r="1690">
      <c r="A1690" t="n">
        <v>176</v>
      </c>
      <c r="B1690" t="inlineStr">
        <is>
          <t>The Cavern</t>
        </is>
      </c>
      <c r="C1690" s="27" t="n">
        <v>46057</v>
      </c>
      <c r="D1690" t="n">
        <v>0</v>
      </c>
      <c r="E1690" t="inlineStr">
        <is>
          <t>OUTROS</t>
        </is>
      </c>
    </row>
    <row r="1691">
      <c r="A1691" t="n">
        <v>176</v>
      </c>
      <c r="B1691" t="inlineStr">
        <is>
          <t>The Cavern</t>
        </is>
      </c>
      <c r="C1691" s="27" t="n">
        <v>46057</v>
      </c>
      <c r="D1691" t="n">
        <v>0</v>
      </c>
      <c r="E1691" t="inlineStr">
        <is>
          <t>VOUCHER</t>
        </is>
      </c>
    </row>
    <row r="1692">
      <c r="A1692" t="n">
        <v>176</v>
      </c>
      <c r="B1692" t="inlineStr">
        <is>
          <t>The Cavern</t>
        </is>
      </c>
      <c r="C1692" s="27" t="n">
        <v>46057</v>
      </c>
      <c r="D1692" t="n">
        <v>0</v>
      </c>
      <c r="E1692" t="inlineStr">
        <is>
          <t>DÉBITO</t>
        </is>
      </c>
    </row>
    <row r="1693">
      <c r="A1693" t="n">
        <v>176</v>
      </c>
      <c r="B1693" t="inlineStr">
        <is>
          <t>The Cavern</t>
        </is>
      </c>
      <c r="C1693" s="27" t="n">
        <v>46057</v>
      </c>
      <c r="D1693" t="n">
        <v>0</v>
      </c>
      <c r="E1693" t="inlineStr">
        <is>
          <t>BÔNUS</t>
        </is>
      </c>
    </row>
    <row r="1694">
      <c r="A1694" t="n">
        <v>176</v>
      </c>
      <c r="B1694" t="inlineStr">
        <is>
          <t>The Cavern</t>
        </is>
      </c>
      <c r="C1694" s="27" t="n">
        <v>46057</v>
      </c>
      <c r="D1694" t="n">
        <v>0</v>
      </c>
      <c r="E1694" t="inlineStr">
        <is>
          <t>ANTECIPADO</t>
        </is>
      </c>
    </row>
    <row r="1695">
      <c r="A1695" t="n">
        <v>176</v>
      </c>
      <c r="B1695" t="inlineStr">
        <is>
          <t>The Cavern</t>
        </is>
      </c>
      <c r="C1695" s="27" t="n">
        <v>46057</v>
      </c>
      <c r="D1695" t="n">
        <v>0</v>
      </c>
      <c r="E1695" t="inlineStr">
        <is>
          <t>OUTROS</t>
        </is>
      </c>
    </row>
    <row r="1696">
      <c r="A1696" t="n">
        <v>176</v>
      </c>
      <c r="B1696" t="inlineStr">
        <is>
          <t>The Cavern</t>
        </is>
      </c>
      <c r="C1696" s="27" t="n">
        <v>46057</v>
      </c>
      <c r="D1696" t="n">
        <v>0</v>
      </c>
      <c r="E1696" t="inlineStr">
        <is>
          <t>AME</t>
        </is>
      </c>
    </row>
    <row r="1697">
      <c r="A1697" t="n">
        <v>176</v>
      </c>
      <c r="B1697" t="inlineStr">
        <is>
          <t>The Cavern</t>
        </is>
      </c>
      <c r="C1697" s="27" t="n">
        <v>46057</v>
      </c>
      <c r="D1697" t="n">
        <v>0</v>
      </c>
      <c r="E1697" t="inlineStr">
        <is>
          <t>RECARGAS DEVOLVIDAS</t>
        </is>
      </c>
    </row>
    <row r="1698">
      <c r="A1698" t="n">
        <v>176</v>
      </c>
      <c r="B1698" t="inlineStr">
        <is>
          <t>The Cavern</t>
        </is>
      </c>
      <c r="C1698" s="27" t="n">
        <v>46057</v>
      </c>
      <c r="D1698" t="n">
        <v>0</v>
      </c>
      <c r="E1698" t="inlineStr">
        <is>
          <t>VOUCHER INTEGRADO</t>
        </is>
      </c>
    </row>
    <row r="1699">
      <c r="A1699" t="n">
        <v>176</v>
      </c>
      <c r="B1699" t="inlineStr">
        <is>
          <t>The Cavern</t>
        </is>
      </c>
      <c r="C1699" s="27" t="n">
        <v>46057</v>
      </c>
      <c r="D1699" t="n">
        <v>0</v>
      </c>
      <c r="E1699" t="inlineStr">
        <is>
          <t>MBWAY</t>
        </is>
      </c>
    </row>
    <row r="1700">
      <c r="A1700" t="n">
        <v>176</v>
      </c>
      <c r="B1700" t="inlineStr">
        <is>
          <t>The Cavern</t>
        </is>
      </c>
      <c r="C1700" s="27" t="n">
        <v>46057</v>
      </c>
      <c r="D1700" t="n">
        <v>0</v>
      </c>
      <c r="E1700" t="inlineStr">
        <is>
          <t>NOTAS MANUAIS + SERVIÇO</t>
        </is>
      </c>
    </row>
    <row r="1701">
      <c r="A1701" t="n">
        <v>176</v>
      </c>
      <c r="B1701" t="inlineStr">
        <is>
          <t>The Cavern</t>
        </is>
      </c>
      <c r="C1701" s="27" t="n">
        <v>46057</v>
      </c>
      <c r="D1701" t="n">
        <v>0</v>
      </c>
      <c r="E1701" t="inlineStr">
        <is>
          <t>RECARGAS DEVOLVIDAS</t>
        </is>
      </c>
    </row>
    <row r="1702">
      <c r="A1702" t="n">
        <v>176</v>
      </c>
      <c r="B1702" t="inlineStr">
        <is>
          <t>The Cavern</t>
        </is>
      </c>
      <c r="C1702" s="27" t="n">
        <v>46057</v>
      </c>
      <c r="D1702" t="n">
        <v>0</v>
      </c>
      <c r="E1702" t="inlineStr">
        <is>
          <t>VOUCHER INTEGRADO</t>
        </is>
      </c>
    </row>
    <row r="1703">
      <c r="A1703" t="n">
        <v>176</v>
      </c>
      <c r="B1703" t="inlineStr">
        <is>
          <t>The Cavern</t>
        </is>
      </c>
      <c r="C1703" s="27" t="n">
        <v>46057</v>
      </c>
      <c r="D1703" t="n">
        <v>0</v>
      </c>
      <c r="E1703" t="inlineStr">
        <is>
          <t>MBWAY</t>
        </is>
      </c>
    </row>
    <row r="1704">
      <c r="A1704" t="n">
        <v>176</v>
      </c>
      <c r="B1704" t="inlineStr">
        <is>
          <t>The Cavern</t>
        </is>
      </c>
      <c r="C1704" s="27" t="n">
        <v>46057</v>
      </c>
      <c r="D1704" t="n">
        <v>0</v>
      </c>
      <c r="E1704" t="inlineStr">
        <is>
          <t>ANTECIPADO</t>
        </is>
      </c>
    </row>
    <row r="1705">
      <c r="A1705" t="n">
        <v>176</v>
      </c>
      <c r="B1705" t="inlineStr">
        <is>
          <t>The Cavern</t>
        </is>
      </c>
      <c r="C1705" s="27" t="n">
        <v>46057</v>
      </c>
      <c r="D1705" t="n">
        <v>0</v>
      </c>
      <c r="E1705" t="inlineStr">
        <is>
          <t>OUTROS</t>
        </is>
      </c>
    </row>
    <row r="1706">
      <c r="A1706" t="n">
        <v>176</v>
      </c>
      <c r="B1706" t="inlineStr">
        <is>
          <t>The Cavern</t>
        </is>
      </c>
      <c r="C1706" s="27" t="n">
        <v>46057</v>
      </c>
      <c r="D1706" t="n">
        <v>0</v>
      </c>
      <c r="E1706" t="inlineStr">
        <is>
          <t>NOTAS MANUAIS + SERVIÇO</t>
        </is>
      </c>
    </row>
    <row r="1707">
      <c r="A1707" t="n">
        <v>176</v>
      </c>
      <c r="B1707" t="inlineStr">
        <is>
          <t>The Cavern</t>
        </is>
      </c>
      <c r="C1707" s="27" t="n">
        <v>46057</v>
      </c>
      <c r="D1707" t="n">
        <v>0</v>
      </c>
      <c r="E1707" t="inlineStr">
        <is>
          <t>RECARGAS DEVOLVIDAS</t>
        </is>
      </c>
    </row>
    <row r="1708">
      <c r="A1708" t="n">
        <v>176</v>
      </c>
      <c r="B1708" t="inlineStr">
        <is>
          <t>The Cavern</t>
        </is>
      </c>
      <c r="C1708" s="27" t="n">
        <v>46057</v>
      </c>
      <c r="D1708" t="n">
        <v>0</v>
      </c>
      <c r="E1708" t="inlineStr">
        <is>
          <t>VOUCHER INTEGRADO</t>
        </is>
      </c>
    </row>
    <row r="1709">
      <c r="A1709" t="n">
        <v>176</v>
      </c>
      <c r="B1709" t="inlineStr">
        <is>
          <t>The Cavern</t>
        </is>
      </c>
      <c r="C1709" s="27" t="n">
        <v>46057</v>
      </c>
      <c r="D1709" t="n">
        <v>0</v>
      </c>
      <c r="E1709" t="inlineStr">
        <is>
          <t>MBWAY</t>
        </is>
      </c>
    </row>
    <row r="1710">
      <c r="A1710" t="n">
        <v>176</v>
      </c>
      <c r="B1710" t="inlineStr">
        <is>
          <t>The Cavern</t>
        </is>
      </c>
      <c r="C1710" s="27" t="n">
        <v>46057</v>
      </c>
      <c r="D1710" t="n">
        <v>0</v>
      </c>
      <c r="E1710" t="inlineStr">
        <is>
          <t>CRÉDITO</t>
        </is>
      </c>
    </row>
    <row r="1711">
      <c r="A1711" t="n">
        <v>176</v>
      </c>
      <c r="B1711" t="inlineStr">
        <is>
          <t>The Cavern</t>
        </is>
      </c>
      <c r="C1711" s="27" t="n">
        <v>46057</v>
      </c>
      <c r="D1711" t="n">
        <v>0</v>
      </c>
      <c r="E1711" t="inlineStr">
        <is>
          <t>DINHEIRO</t>
        </is>
      </c>
    </row>
    <row r="1712">
      <c r="A1712" t="n">
        <v>176</v>
      </c>
      <c r="B1712" t="inlineStr">
        <is>
          <t>The Cavern</t>
        </is>
      </c>
      <c r="C1712" s="27" t="n">
        <v>46057</v>
      </c>
      <c r="D1712" t="n">
        <v>0</v>
      </c>
      <c r="E1712" t="inlineStr">
        <is>
          <t>APP</t>
        </is>
      </c>
    </row>
    <row r="1713">
      <c r="A1713" t="n">
        <v>176</v>
      </c>
      <c r="B1713" t="inlineStr">
        <is>
          <t>The Cavern</t>
        </is>
      </c>
      <c r="C1713" s="27" t="n">
        <v>46057</v>
      </c>
      <c r="D1713" t="n">
        <v>0</v>
      </c>
      <c r="E1713" t="inlineStr">
        <is>
          <t>DELIVERY ONLINE</t>
        </is>
      </c>
    </row>
    <row r="1714">
      <c r="A1714" t="n">
        <v>176</v>
      </c>
      <c r="B1714" t="inlineStr">
        <is>
          <t>The Cavern</t>
        </is>
      </c>
      <c r="C1714" s="27" t="n">
        <v>46057</v>
      </c>
      <c r="D1714" t="n">
        <v>0</v>
      </c>
      <c r="E1714" t="inlineStr">
        <is>
          <t>IFOOD</t>
        </is>
      </c>
    </row>
    <row r="1715">
      <c r="A1715" t="n">
        <v>176</v>
      </c>
      <c r="B1715" t="inlineStr">
        <is>
          <t>The Cavern</t>
        </is>
      </c>
      <c r="C1715" s="27" t="n">
        <v>46057</v>
      </c>
      <c r="D1715" t="n">
        <v>0</v>
      </c>
      <c r="E1715" t="inlineStr">
        <is>
          <t>PIX</t>
        </is>
      </c>
    </row>
    <row r="1716">
      <c r="A1716" t="n">
        <v>176</v>
      </c>
      <c r="B1716" t="inlineStr">
        <is>
          <t>The Cavern</t>
        </is>
      </c>
      <c r="C1716" s="27" t="n">
        <v>46057</v>
      </c>
      <c r="D1716" t="n">
        <v>0</v>
      </c>
      <c r="E1716" t="inlineStr">
        <is>
          <t>RAPPI</t>
        </is>
      </c>
    </row>
    <row r="1717">
      <c r="A1717" t="n">
        <v>176</v>
      </c>
      <c r="B1717" t="inlineStr">
        <is>
          <t>The Cavern</t>
        </is>
      </c>
      <c r="C1717" s="27" t="n">
        <v>46057</v>
      </c>
      <c r="D1717" t="n">
        <v>0</v>
      </c>
      <c r="E1717" t="inlineStr">
        <is>
          <t>UBER</t>
        </is>
      </c>
    </row>
    <row r="1718">
      <c r="A1718" t="n">
        <v>176</v>
      </c>
      <c r="B1718" t="inlineStr">
        <is>
          <t>The Cavern</t>
        </is>
      </c>
      <c r="C1718" s="27" t="n">
        <v>46057</v>
      </c>
      <c r="D1718" t="n">
        <v>1818.17</v>
      </c>
      <c r="E1718" t="inlineStr">
        <is>
          <t>CRÉDITO</t>
        </is>
      </c>
    </row>
    <row r="1719">
      <c r="A1719" t="n">
        <v>176</v>
      </c>
      <c r="B1719" t="inlineStr">
        <is>
          <t>The Cavern</t>
        </is>
      </c>
      <c r="C1719" s="27" t="n">
        <v>46057</v>
      </c>
      <c r="D1719" t="n">
        <v>107.8</v>
      </c>
      <c r="E1719" t="inlineStr">
        <is>
          <t>DINHEIRO</t>
        </is>
      </c>
    </row>
    <row r="1720">
      <c r="A1720" t="n">
        <v>176</v>
      </c>
      <c r="B1720" t="inlineStr">
        <is>
          <t>The Cavern</t>
        </is>
      </c>
      <c r="C1720" s="27" t="n">
        <v>46057</v>
      </c>
      <c r="D1720" t="n">
        <v>0</v>
      </c>
      <c r="E1720" t="inlineStr">
        <is>
          <t>APP</t>
        </is>
      </c>
    </row>
    <row r="1721">
      <c r="A1721" t="n">
        <v>176</v>
      </c>
      <c r="B1721" t="inlineStr">
        <is>
          <t>The Cavern</t>
        </is>
      </c>
      <c r="C1721" s="27" t="n">
        <v>46057</v>
      </c>
      <c r="D1721" t="n">
        <v>0</v>
      </c>
      <c r="E1721" t="inlineStr">
        <is>
          <t>DELIVERY ONLINE</t>
        </is>
      </c>
    </row>
    <row r="1722">
      <c r="A1722" t="n">
        <v>176</v>
      </c>
      <c r="B1722" t="inlineStr">
        <is>
          <t>The Cavern</t>
        </is>
      </c>
      <c r="C1722" s="27" t="n">
        <v>46057</v>
      </c>
      <c r="D1722" t="n">
        <v>0</v>
      </c>
      <c r="E1722" t="inlineStr">
        <is>
          <t>IFOOD</t>
        </is>
      </c>
    </row>
    <row r="1723">
      <c r="A1723" t="n">
        <v>176</v>
      </c>
      <c r="B1723" t="inlineStr">
        <is>
          <t>The Cavern</t>
        </is>
      </c>
      <c r="C1723" s="27" t="n">
        <v>46057</v>
      </c>
      <c r="D1723" t="n">
        <v>91.53</v>
      </c>
      <c r="E1723" t="inlineStr">
        <is>
          <t>PIX</t>
        </is>
      </c>
    </row>
    <row r="1724">
      <c r="A1724" t="n">
        <v>176</v>
      </c>
      <c r="B1724" t="inlineStr">
        <is>
          <t>The Cavern</t>
        </is>
      </c>
      <c r="C1724" s="27" t="n">
        <v>46057</v>
      </c>
      <c r="D1724" t="n">
        <v>0</v>
      </c>
      <c r="E1724" t="inlineStr">
        <is>
          <t>RAPPI</t>
        </is>
      </c>
    </row>
    <row r="1725">
      <c r="A1725" t="n">
        <v>176</v>
      </c>
      <c r="B1725" t="inlineStr">
        <is>
          <t>The Cavern</t>
        </is>
      </c>
      <c r="C1725" s="27" t="n">
        <v>46057</v>
      </c>
      <c r="D1725" t="n">
        <v>0</v>
      </c>
      <c r="E1725" t="inlineStr">
        <is>
          <t>UBER</t>
        </is>
      </c>
    </row>
    <row r="1726">
      <c r="A1726" t="n">
        <v>176</v>
      </c>
      <c r="B1726" t="inlineStr">
        <is>
          <t>The Cavern</t>
        </is>
      </c>
      <c r="C1726" s="27" t="n">
        <v>46057</v>
      </c>
      <c r="D1726" t="n">
        <v>0</v>
      </c>
      <c r="E1726" t="inlineStr">
        <is>
          <t>ANTECIPADO</t>
        </is>
      </c>
    </row>
    <row r="1727">
      <c r="A1727" t="n">
        <v>176</v>
      </c>
      <c r="B1727" t="inlineStr">
        <is>
          <t>The Cavern</t>
        </is>
      </c>
      <c r="C1727" s="27" t="n">
        <v>46057</v>
      </c>
      <c r="D1727" t="n">
        <v>0</v>
      </c>
      <c r="E1727" t="inlineStr">
        <is>
          <t>VOUCHER</t>
        </is>
      </c>
    </row>
    <row r="1728">
      <c r="A1728" t="n">
        <v>176</v>
      </c>
      <c r="B1728" t="inlineStr">
        <is>
          <t>The Cavern</t>
        </is>
      </c>
      <c r="C1728" s="27" t="n">
        <v>46057</v>
      </c>
      <c r="D1728" t="n">
        <v>1044.12</v>
      </c>
      <c r="E1728" t="inlineStr">
        <is>
          <t>DÉBITO</t>
        </is>
      </c>
    </row>
    <row r="1729">
      <c r="A1729" t="n">
        <v>176</v>
      </c>
      <c r="B1729" t="inlineStr">
        <is>
          <t>The Cavern</t>
        </is>
      </c>
      <c r="C1729" s="27" t="n">
        <v>46057</v>
      </c>
      <c r="D1729" t="n">
        <v>0</v>
      </c>
      <c r="E1729" t="inlineStr">
        <is>
          <t>BÔNUS</t>
        </is>
      </c>
    </row>
    <row r="1730">
      <c r="A1730" t="n">
        <v>176</v>
      </c>
      <c r="B1730" t="inlineStr">
        <is>
          <t>The Cavern</t>
        </is>
      </c>
      <c r="C1730" s="27" t="n">
        <v>46057</v>
      </c>
      <c r="D1730" t="n">
        <v>0</v>
      </c>
      <c r="E1730" t="inlineStr">
        <is>
          <t>ANTECIPADO</t>
        </is>
      </c>
    </row>
    <row r="1731">
      <c r="A1731" t="n">
        <v>176</v>
      </c>
      <c r="B1731" t="inlineStr">
        <is>
          <t>The Cavern</t>
        </is>
      </c>
      <c r="C1731" s="27" t="n">
        <v>46056</v>
      </c>
      <c r="D1731" t="n">
        <v>0</v>
      </c>
      <c r="E1731" t="inlineStr">
        <is>
          <t>MBWAY</t>
        </is>
      </c>
    </row>
    <row r="1732">
      <c r="A1732" t="n">
        <v>176</v>
      </c>
      <c r="B1732" t="inlineStr">
        <is>
          <t>The Cavern</t>
        </is>
      </c>
      <c r="C1732" s="27" t="n">
        <v>46056</v>
      </c>
      <c r="D1732" t="n">
        <v>0</v>
      </c>
      <c r="E1732" t="inlineStr">
        <is>
          <t>ANTECIPADO</t>
        </is>
      </c>
    </row>
    <row r="1733">
      <c r="A1733" t="n">
        <v>176</v>
      </c>
      <c r="B1733" t="inlineStr">
        <is>
          <t>The Cavern</t>
        </is>
      </c>
      <c r="C1733" s="27" t="n">
        <v>46056</v>
      </c>
      <c r="D1733" t="n">
        <v>0</v>
      </c>
      <c r="E1733" t="inlineStr">
        <is>
          <t>VOUCHER INTEGRADO</t>
        </is>
      </c>
    </row>
    <row r="1734">
      <c r="A1734" t="n">
        <v>176</v>
      </c>
      <c r="B1734" t="inlineStr">
        <is>
          <t>The Cavern</t>
        </is>
      </c>
      <c r="C1734" s="27" t="n">
        <v>46056</v>
      </c>
      <c r="D1734" t="n">
        <v>0</v>
      </c>
      <c r="E1734" t="inlineStr">
        <is>
          <t>RECARGAS DEVOLVIDAS</t>
        </is>
      </c>
    </row>
    <row r="1735">
      <c r="A1735" t="n">
        <v>176</v>
      </c>
      <c r="B1735" t="inlineStr">
        <is>
          <t>The Cavern</t>
        </is>
      </c>
      <c r="C1735" s="27" t="n">
        <v>46056</v>
      </c>
      <c r="D1735" t="n">
        <v>0</v>
      </c>
      <c r="E1735" t="inlineStr">
        <is>
          <t>NOTAS MANUAIS + SERVIÇO</t>
        </is>
      </c>
    </row>
    <row r="1736">
      <c r="A1736" t="n">
        <v>176</v>
      </c>
      <c r="B1736" t="inlineStr">
        <is>
          <t>The Cavern</t>
        </is>
      </c>
      <c r="C1736" s="27" t="n">
        <v>46056</v>
      </c>
      <c r="D1736" t="n">
        <v>0</v>
      </c>
      <c r="E1736" t="inlineStr">
        <is>
          <t>AME</t>
        </is>
      </c>
    </row>
    <row r="1737">
      <c r="A1737" t="n">
        <v>176</v>
      </c>
      <c r="B1737" t="inlineStr">
        <is>
          <t>The Cavern</t>
        </is>
      </c>
      <c r="C1737" s="27" t="n">
        <v>46056</v>
      </c>
      <c r="D1737" t="n">
        <v>0</v>
      </c>
      <c r="E1737" t="inlineStr">
        <is>
          <t>OUTROS</t>
        </is>
      </c>
    </row>
    <row r="1738">
      <c r="A1738" t="n">
        <v>176</v>
      </c>
      <c r="B1738" t="inlineStr">
        <is>
          <t>The Cavern</t>
        </is>
      </c>
      <c r="C1738" s="27" t="n">
        <v>46056</v>
      </c>
      <c r="D1738" t="n">
        <v>0</v>
      </c>
      <c r="E1738" t="inlineStr">
        <is>
          <t>ANTECIPADO</t>
        </is>
      </c>
    </row>
    <row r="1739">
      <c r="A1739" t="n">
        <v>176</v>
      </c>
      <c r="B1739" t="inlineStr">
        <is>
          <t>The Cavern</t>
        </is>
      </c>
      <c r="C1739" s="27" t="n">
        <v>46056</v>
      </c>
      <c r="D1739" t="n">
        <v>7908.75</v>
      </c>
      <c r="E1739" t="inlineStr">
        <is>
          <t>CRÉDITO</t>
        </is>
      </c>
    </row>
    <row r="1740">
      <c r="A1740" t="n">
        <v>176</v>
      </c>
      <c r="B1740" t="inlineStr">
        <is>
          <t>The Cavern</t>
        </is>
      </c>
      <c r="C1740" s="27" t="n">
        <v>46056</v>
      </c>
      <c r="D1740" t="n">
        <v>0</v>
      </c>
      <c r="E1740" t="inlineStr">
        <is>
          <t>DINHEIRO</t>
        </is>
      </c>
    </row>
    <row r="1741">
      <c r="A1741" t="n">
        <v>176</v>
      </c>
      <c r="B1741" t="inlineStr">
        <is>
          <t>The Cavern</t>
        </is>
      </c>
      <c r="C1741" s="27" t="n">
        <v>46056</v>
      </c>
      <c r="D1741" t="n">
        <v>0</v>
      </c>
      <c r="E1741" t="inlineStr">
        <is>
          <t>APP</t>
        </is>
      </c>
    </row>
    <row r="1742">
      <c r="A1742" t="n">
        <v>176</v>
      </c>
      <c r="B1742" t="inlineStr">
        <is>
          <t>The Cavern</t>
        </is>
      </c>
      <c r="C1742" s="27" t="n">
        <v>46056</v>
      </c>
      <c r="D1742" t="n">
        <v>0</v>
      </c>
      <c r="E1742" t="inlineStr">
        <is>
          <t>DELIVERY ONLINE</t>
        </is>
      </c>
    </row>
    <row r="1743">
      <c r="A1743" t="n">
        <v>176</v>
      </c>
      <c r="B1743" t="inlineStr">
        <is>
          <t>The Cavern</t>
        </is>
      </c>
      <c r="C1743" s="27" t="n">
        <v>46056</v>
      </c>
      <c r="D1743" t="n">
        <v>0</v>
      </c>
      <c r="E1743" t="inlineStr">
        <is>
          <t>IFOOD</t>
        </is>
      </c>
    </row>
    <row r="1744">
      <c r="A1744" t="n">
        <v>176</v>
      </c>
      <c r="B1744" t="inlineStr">
        <is>
          <t>The Cavern</t>
        </is>
      </c>
      <c r="C1744" s="27" t="n">
        <v>46056</v>
      </c>
      <c r="D1744" t="n">
        <v>90.28</v>
      </c>
      <c r="E1744" t="inlineStr">
        <is>
          <t>PIX</t>
        </is>
      </c>
    </row>
    <row r="1745">
      <c r="A1745" t="n">
        <v>176</v>
      </c>
      <c r="B1745" t="inlineStr">
        <is>
          <t>The Cavern</t>
        </is>
      </c>
      <c r="C1745" s="27" t="n">
        <v>46056</v>
      </c>
      <c r="D1745" t="n">
        <v>0</v>
      </c>
      <c r="E1745" t="inlineStr">
        <is>
          <t>RAPPI</t>
        </is>
      </c>
    </row>
    <row r="1746">
      <c r="A1746" t="n">
        <v>176</v>
      </c>
      <c r="B1746" t="inlineStr">
        <is>
          <t>The Cavern</t>
        </is>
      </c>
      <c r="C1746" s="27" t="n">
        <v>46056</v>
      </c>
      <c r="D1746" t="n">
        <v>0</v>
      </c>
      <c r="E1746" t="inlineStr">
        <is>
          <t>UBER</t>
        </is>
      </c>
    </row>
    <row r="1747">
      <c r="A1747" t="n">
        <v>176</v>
      </c>
      <c r="B1747" t="inlineStr">
        <is>
          <t>The Cavern</t>
        </is>
      </c>
      <c r="C1747" s="27" t="n">
        <v>46056</v>
      </c>
      <c r="D1747" t="n">
        <v>0</v>
      </c>
      <c r="E1747" t="inlineStr">
        <is>
          <t>VOUCHER</t>
        </is>
      </c>
    </row>
    <row r="1748">
      <c r="A1748" t="n">
        <v>176</v>
      </c>
      <c r="B1748" t="inlineStr">
        <is>
          <t>The Cavern</t>
        </is>
      </c>
      <c r="C1748" s="27" t="n">
        <v>46056</v>
      </c>
      <c r="D1748" t="n">
        <v>1529.9</v>
      </c>
      <c r="E1748" t="inlineStr">
        <is>
          <t>DÉBITO</t>
        </is>
      </c>
    </row>
    <row r="1749">
      <c r="A1749" t="n">
        <v>176</v>
      </c>
      <c r="B1749" t="inlineStr">
        <is>
          <t>The Cavern</t>
        </is>
      </c>
      <c r="C1749" s="27" t="n">
        <v>46056</v>
      </c>
      <c r="D1749" t="n">
        <v>0</v>
      </c>
      <c r="E1749" t="inlineStr">
        <is>
          <t>BÔNUS</t>
        </is>
      </c>
    </row>
    <row r="1750">
      <c r="A1750" t="n">
        <v>176</v>
      </c>
      <c r="B1750" t="inlineStr">
        <is>
          <t>The Cavern</t>
        </is>
      </c>
      <c r="C1750" s="27" t="n">
        <v>46056</v>
      </c>
      <c r="D1750" t="n">
        <v>0</v>
      </c>
      <c r="E1750" t="inlineStr">
        <is>
          <t>VOUCHER</t>
        </is>
      </c>
    </row>
    <row r="1751">
      <c r="A1751" t="n">
        <v>176</v>
      </c>
      <c r="B1751" t="inlineStr">
        <is>
          <t>The Cavern</t>
        </is>
      </c>
      <c r="C1751" s="27" t="n">
        <v>46056</v>
      </c>
      <c r="D1751" t="n">
        <v>1527.84</v>
      </c>
      <c r="E1751" t="inlineStr">
        <is>
          <t>CRÉDITO</t>
        </is>
      </c>
    </row>
    <row r="1752">
      <c r="A1752" t="n">
        <v>176</v>
      </c>
      <c r="B1752" t="inlineStr">
        <is>
          <t>The Cavern</t>
        </is>
      </c>
      <c r="C1752" s="27" t="n">
        <v>46056</v>
      </c>
      <c r="D1752" t="n">
        <v>0</v>
      </c>
      <c r="E1752" t="inlineStr">
        <is>
          <t>DINHEIRO</t>
        </is>
      </c>
    </row>
    <row r="1753">
      <c r="A1753" t="n">
        <v>176</v>
      </c>
      <c r="B1753" t="inlineStr">
        <is>
          <t>The Cavern</t>
        </is>
      </c>
      <c r="C1753" s="27" t="n">
        <v>46056</v>
      </c>
      <c r="D1753" t="n">
        <v>0</v>
      </c>
      <c r="E1753" t="inlineStr">
        <is>
          <t>APP</t>
        </is>
      </c>
    </row>
    <row r="1754">
      <c r="A1754" t="n">
        <v>176</v>
      </c>
      <c r="B1754" t="inlineStr">
        <is>
          <t>The Cavern</t>
        </is>
      </c>
      <c r="C1754" s="27" t="n">
        <v>46056</v>
      </c>
      <c r="D1754" t="n">
        <v>0</v>
      </c>
      <c r="E1754" t="inlineStr">
        <is>
          <t>DELIVERY ONLINE</t>
        </is>
      </c>
    </row>
    <row r="1755">
      <c r="A1755" t="n">
        <v>176</v>
      </c>
      <c r="B1755" t="inlineStr">
        <is>
          <t>The Cavern</t>
        </is>
      </c>
      <c r="C1755" s="27" t="n">
        <v>46056</v>
      </c>
      <c r="D1755" t="n">
        <v>0</v>
      </c>
      <c r="E1755" t="inlineStr">
        <is>
          <t>IFOOD</t>
        </is>
      </c>
    </row>
    <row r="1756">
      <c r="A1756" t="n">
        <v>176</v>
      </c>
      <c r="B1756" t="inlineStr">
        <is>
          <t>The Cavern</t>
        </is>
      </c>
      <c r="C1756" s="27" t="n">
        <v>46056</v>
      </c>
      <c r="D1756" t="n">
        <v>0</v>
      </c>
      <c r="E1756" t="inlineStr">
        <is>
          <t>PIX</t>
        </is>
      </c>
    </row>
    <row r="1757">
      <c r="A1757" t="n">
        <v>176</v>
      </c>
      <c r="B1757" t="inlineStr">
        <is>
          <t>The Cavern</t>
        </is>
      </c>
      <c r="C1757" s="27" t="n">
        <v>46056</v>
      </c>
      <c r="D1757" t="n">
        <v>0</v>
      </c>
      <c r="E1757" t="inlineStr">
        <is>
          <t>RAPPI</t>
        </is>
      </c>
    </row>
    <row r="1758">
      <c r="A1758" t="n">
        <v>176</v>
      </c>
      <c r="B1758" t="inlineStr">
        <is>
          <t>The Cavern</t>
        </is>
      </c>
      <c r="C1758" s="27" t="n">
        <v>46056</v>
      </c>
      <c r="D1758" t="n">
        <v>0</v>
      </c>
      <c r="E1758" t="inlineStr">
        <is>
          <t>UBER</t>
        </is>
      </c>
    </row>
    <row r="1759">
      <c r="A1759" t="n">
        <v>176</v>
      </c>
      <c r="B1759" t="inlineStr">
        <is>
          <t>The Cavern</t>
        </is>
      </c>
      <c r="C1759" s="27" t="n">
        <v>46056</v>
      </c>
      <c r="D1759" t="n">
        <v>0</v>
      </c>
      <c r="E1759" t="inlineStr">
        <is>
          <t>ANTECIPADO</t>
        </is>
      </c>
    </row>
    <row r="1760">
      <c r="A1760" t="n">
        <v>176</v>
      </c>
      <c r="B1760" t="inlineStr">
        <is>
          <t>The Cavern</t>
        </is>
      </c>
      <c r="C1760" s="27" t="n">
        <v>46056</v>
      </c>
      <c r="D1760" t="n">
        <v>0</v>
      </c>
      <c r="E1760" t="inlineStr">
        <is>
          <t>MBWAY</t>
        </is>
      </c>
    </row>
    <row r="1761">
      <c r="A1761" t="n">
        <v>176</v>
      </c>
      <c r="B1761" t="inlineStr">
        <is>
          <t>The Cavern</t>
        </is>
      </c>
      <c r="C1761" s="27" t="n">
        <v>46056</v>
      </c>
      <c r="D1761" t="n">
        <v>0</v>
      </c>
      <c r="E1761" t="inlineStr">
        <is>
          <t>DÉBITO</t>
        </is>
      </c>
    </row>
    <row r="1762">
      <c r="A1762" t="n">
        <v>176</v>
      </c>
      <c r="B1762" t="inlineStr">
        <is>
          <t>The Cavern</t>
        </is>
      </c>
      <c r="C1762" s="27" t="n">
        <v>46056</v>
      </c>
      <c r="D1762" t="n">
        <v>0</v>
      </c>
      <c r="E1762" t="inlineStr">
        <is>
          <t>BÔNUS</t>
        </is>
      </c>
    </row>
    <row r="1763">
      <c r="A1763" t="n">
        <v>176</v>
      </c>
      <c r="B1763" t="inlineStr">
        <is>
          <t>The Cavern</t>
        </is>
      </c>
      <c r="C1763" s="27" t="n">
        <v>46056</v>
      </c>
      <c r="D1763" t="n">
        <v>0</v>
      </c>
      <c r="E1763" t="inlineStr">
        <is>
          <t>ANTECIPADO</t>
        </is>
      </c>
    </row>
    <row r="1764">
      <c r="A1764" t="n">
        <v>176</v>
      </c>
      <c r="B1764" t="inlineStr">
        <is>
          <t>The Cavern</t>
        </is>
      </c>
      <c r="C1764" s="27" t="n">
        <v>46056</v>
      </c>
      <c r="D1764" t="n">
        <v>0</v>
      </c>
      <c r="E1764" t="inlineStr">
        <is>
          <t>OUTROS</t>
        </is>
      </c>
    </row>
    <row r="1765">
      <c r="A1765" t="n">
        <v>176</v>
      </c>
      <c r="B1765" t="inlineStr">
        <is>
          <t>The Cavern</t>
        </is>
      </c>
      <c r="C1765" s="27" t="n">
        <v>46056</v>
      </c>
      <c r="D1765" t="n">
        <v>0</v>
      </c>
      <c r="E1765" t="inlineStr">
        <is>
          <t>AME</t>
        </is>
      </c>
    </row>
    <row r="1766">
      <c r="A1766" t="n">
        <v>176</v>
      </c>
      <c r="B1766" t="inlineStr">
        <is>
          <t>The Cavern</t>
        </is>
      </c>
      <c r="C1766" s="27" t="n">
        <v>46056</v>
      </c>
      <c r="D1766" t="n">
        <v>0</v>
      </c>
      <c r="E1766" t="inlineStr">
        <is>
          <t>NOTAS MANUAIS + SERVIÇO</t>
        </is>
      </c>
    </row>
    <row r="1767">
      <c r="A1767" t="n">
        <v>176</v>
      </c>
      <c r="B1767" t="inlineStr">
        <is>
          <t>The Cavern</t>
        </is>
      </c>
      <c r="C1767" s="27" t="n">
        <v>46056</v>
      </c>
      <c r="D1767" t="n">
        <v>0</v>
      </c>
      <c r="E1767" t="inlineStr">
        <is>
          <t>RECARGAS DEVOLVIDAS</t>
        </is>
      </c>
    </row>
    <row r="1768">
      <c r="A1768" t="n">
        <v>176</v>
      </c>
      <c r="B1768" t="inlineStr">
        <is>
          <t>The Cavern</t>
        </is>
      </c>
      <c r="C1768" s="27" t="n">
        <v>46056</v>
      </c>
      <c r="D1768" t="n">
        <v>0</v>
      </c>
      <c r="E1768" t="inlineStr">
        <is>
          <t>VOUCHER INTEGRADO</t>
        </is>
      </c>
    </row>
    <row r="1769">
      <c r="A1769" t="n">
        <v>176</v>
      </c>
      <c r="B1769" t="inlineStr">
        <is>
          <t>The Cavern</t>
        </is>
      </c>
      <c r="C1769" s="27" t="n">
        <v>46055</v>
      </c>
      <c r="D1769" t="n">
        <v>0</v>
      </c>
      <c r="E1769" t="inlineStr">
        <is>
          <t>VOUCHER</t>
        </is>
      </c>
    </row>
    <row r="1770">
      <c r="A1770" t="n">
        <v>176</v>
      </c>
      <c r="B1770" t="inlineStr">
        <is>
          <t>The Cavern</t>
        </is>
      </c>
      <c r="C1770" s="27" t="n">
        <v>46055</v>
      </c>
      <c r="D1770" t="n">
        <v>0</v>
      </c>
      <c r="E1770" t="inlineStr">
        <is>
          <t>MBWAY</t>
        </is>
      </c>
    </row>
    <row r="1771">
      <c r="A1771" t="n">
        <v>176</v>
      </c>
      <c r="B1771" t="inlineStr">
        <is>
          <t>The Cavern</t>
        </is>
      </c>
      <c r="C1771" s="27" t="n">
        <v>46055</v>
      </c>
      <c r="D1771" t="n">
        <v>0</v>
      </c>
      <c r="E1771" t="inlineStr">
        <is>
          <t>VOUCHER INTEGRADO</t>
        </is>
      </c>
    </row>
    <row r="1772">
      <c r="A1772" t="n">
        <v>176</v>
      </c>
      <c r="B1772" t="inlineStr">
        <is>
          <t>The Cavern</t>
        </is>
      </c>
      <c r="C1772" s="27" t="n">
        <v>46055</v>
      </c>
      <c r="D1772" t="n">
        <v>0</v>
      </c>
      <c r="E1772" t="inlineStr">
        <is>
          <t>RECARGAS DEVOLVIDAS</t>
        </is>
      </c>
    </row>
    <row r="1773">
      <c r="A1773" t="n">
        <v>176</v>
      </c>
      <c r="B1773" t="inlineStr">
        <is>
          <t>The Cavern</t>
        </is>
      </c>
      <c r="C1773" s="27" t="n">
        <v>46055</v>
      </c>
      <c r="D1773" t="n">
        <v>0</v>
      </c>
      <c r="E1773" t="inlineStr">
        <is>
          <t>NOTAS MANUAIS + SERVIÇO</t>
        </is>
      </c>
    </row>
    <row r="1774">
      <c r="A1774" t="n">
        <v>176</v>
      </c>
      <c r="B1774" t="inlineStr">
        <is>
          <t>The Cavern</t>
        </is>
      </c>
      <c r="C1774" s="27" t="n">
        <v>46055</v>
      </c>
      <c r="D1774" t="n">
        <v>0</v>
      </c>
      <c r="E1774" t="inlineStr">
        <is>
          <t>AME</t>
        </is>
      </c>
    </row>
    <row r="1775">
      <c r="A1775" t="n">
        <v>176</v>
      </c>
      <c r="B1775" t="inlineStr">
        <is>
          <t>The Cavern</t>
        </is>
      </c>
      <c r="C1775" s="27" t="n">
        <v>46055</v>
      </c>
      <c r="D1775" t="n">
        <v>0</v>
      </c>
      <c r="E1775" t="inlineStr">
        <is>
          <t>OUTROS</t>
        </is>
      </c>
    </row>
    <row r="1776">
      <c r="A1776" t="n">
        <v>176</v>
      </c>
      <c r="B1776" t="inlineStr">
        <is>
          <t>The Cavern</t>
        </is>
      </c>
      <c r="C1776" s="27" t="n">
        <v>46055</v>
      </c>
      <c r="D1776" t="n">
        <v>0</v>
      </c>
      <c r="E1776" t="inlineStr">
        <is>
          <t>ANTECIPADO</t>
        </is>
      </c>
    </row>
    <row r="1777">
      <c r="A1777" t="n">
        <v>176</v>
      </c>
      <c r="B1777" t="inlineStr">
        <is>
          <t>The Cavern</t>
        </is>
      </c>
      <c r="C1777" s="27" t="n">
        <v>46055</v>
      </c>
      <c r="D1777" t="n">
        <v>0</v>
      </c>
      <c r="E1777" t="inlineStr">
        <is>
          <t>BÔNUS</t>
        </is>
      </c>
    </row>
    <row r="1778">
      <c r="A1778" t="n">
        <v>176</v>
      </c>
      <c r="B1778" t="inlineStr">
        <is>
          <t>The Cavern</t>
        </is>
      </c>
      <c r="C1778" s="27" t="n">
        <v>46055</v>
      </c>
      <c r="D1778" t="n">
        <v>0</v>
      </c>
      <c r="E1778" t="inlineStr">
        <is>
          <t>DÉBITO</t>
        </is>
      </c>
    </row>
    <row r="1779">
      <c r="A1779" t="n">
        <v>176</v>
      </c>
      <c r="B1779" t="inlineStr">
        <is>
          <t>The Cavern</t>
        </is>
      </c>
      <c r="C1779" s="27" t="n">
        <v>46055</v>
      </c>
      <c r="D1779" t="n">
        <v>0</v>
      </c>
      <c r="E1779" t="inlineStr">
        <is>
          <t>MBWAY</t>
        </is>
      </c>
    </row>
    <row r="1780">
      <c r="A1780" t="n">
        <v>176</v>
      </c>
      <c r="B1780" t="inlineStr">
        <is>
          <t>The Cavern</t>
        </is>
      </c>
      <c r="C1780" s="27" t="n">
        <v>46055</v>
      </c>
      <c r="D1780" t="n">
        <v>0</v>
      </c>
      <c r="E1780" t="inlineStr">
        <is>
          <t>ANTECIPADO</t>
        </is>
      </c>
    </row>
    <row r="1781">
      <c r="A1781" t="n">
        <v>176</v>
      </c>
      <c r="B1781" t="inlineStr">
        <is>
          <t>The Cavern</t>
        </is>
      </c>
      <c r="C1781" s="27" t="n">
        <v>46055</v>
      </c>
      <c r="D1781" t="n">
        <v>0</v>
      </c>
      <c r="E1781" t="inlineStr">
        <is>
          <t>UBER</t>
        </is>
      </c>
    </row>
    <row r="1782">
      <c r="A1782" t="n">
        <v>176</v>
      </c>
      <c r="B1782" t="inlineStr">
        <is>
          <t>The Cavern</t>
        </is>
      </c>
      <c r="C1782" s="27" t="n">
        <v>46055</v>
      </c>
      <c r="D1782" t="n">
        <v>0</v>
      </c>
      <c r="E1782" t="inlineStr">
        <is>
          <t>RAPPI</t>
        </is>
      </c>
    </row>
    <row r="1783">
      <c r="A1783" t="n">
        <v>176</v>
      </c>
      <c r="B1783" t="inlineStr">
        <is>
          <t>The Cavern</t>
        </is>
      </c>
      <c r="C1783" s="27" t="n">
        <v>46055</v>
      </c>
      <c r="D1783" t="n">
        <v>0</v>
      </c>
      <c r="E1783" t="inlineStr">
        <is>
          <t>PIX</t>
        </is>
      </c>
    </row>
    <row r="1784">
      <c r="A1784" t="n">
        <v>176</v>
      </c>
      <c r="B1784" t="inlineStr">
        <is>
          <t>The Cavern</t>
        </is>
      </c>
      <c r="C1784" s="27" t="n">
        <v>46055</v>
      </c>
      <c r="D1784" t="n">
        <v>0</v>
      </c>
      <c r="E1784" t="inlineStr">
        <is>
          <t>IFOOD</t>
        </is>
      </c>
    </row>
    <row r="1785">
      <c r="A1785" t="n">
        <v>176</v>
      </c>
      <c r="B1785" t="inlineStr">
        <is>
          <t>The Cavern</t>
        </is>
      </c>
      <c r="C1785" s="27" t="n">
        <v>46055</v>
      </c>
      <c r="D1785" t="n">
        <v>0</v>
      </c>
      <c r="E1785" t="inlineStr">
        <is>
          <t>DELIVERY ONLINE</t>
        </is>
      </c>
    </row>
    <row r="1786">
      <c r="A1786" t="n">
        <v>176</v>
      </c>
      <c r="B1786" t="inlineStr">
        <is>
          <t>The Cavern</t>
        </is>
      </c>
      <c r="C1786" s="27" t="n">
        <v>46055</v>
      </c>
      <c r="D1786" t="n">
        <v>0</v>
      </c>
      <c r="E1786" t="inlineStr">
        <is>
          <t>APP</t>
        </is>
      </c>
    </row>
    <row r="1787">
      <c r="A1787" t="n">
        <v>176</v>
      </c>
      <c r="B1787" t="inlineStr">
        <is>
          <t>The Cavern</t>
        </is>
      </c>
      <c r="C1787" s="27" t="n">
        <v>46055</v>
      </c>
      <c r="D1787" t="n">
        <v>0</v>
      </c>
      <c r="E1787" t="inlineStr">
        <is>
          <t>DINHEIRO</t>
        </is>
      </c>
    </row>
    <row r="1788">
      <c r="A1788" t="n">
        <v>176</v>
      </c>
      <c r="B1788" t="inlineStr">
        <is>
          <t>The Cavern</t>
        </is>
      </c>
      <c r="C1788" s="27" t="n">
        <v>46055</v>
      </c>
      <c r="D1788" t="n">
        <v>0</v>
      </c>
      <c r="E1788" t="inlineStr">
        <is>
          <t>CRÉDITO</t>
        </is>
      </c>
    </row>
    <row r="1789">
      <c r="A1789" t="n">
        <v>176</v>
      </c>
      <c r="B1789" t="inlineStr">
        <is>
          <t>The Cavern</t>
        </is>
      </c>
      <c r="C1789" s="27" t="n">
        <v>46055</v>
      </c>
      <c r="D1789" t="n">
        <v>0</v>
      </c>
      <c r="E1789" t="inlineStr">
        <is>
          <t>DINHEIRO</t>
        </is>
      </c>
    </row>
    <row r="1790">
      <c r="A1790" t="n">
        <v>176</v>
      </c>
      <c r="B1790" t="inlineStr">
        <is>
          <t>The Cavern</t>
        </is>
      </c>
      <c r="C1790" s="27" t="n">
        <v>46055</v>
      </c>
      <c r="D1790" t="n">
        <v>0</v>
      </c>
      <c r="E1790" t="inlineStr">
        <is>
          <t>VOUCHER INTEGRADO</t>
        </is>
      </c>
    </row>
    <row r="1791">
      <c r="A1791" t="n">
        <v>176</v>
      </c>
      <c r="B1791" t="inlineStr">
        <is>
          <t>The Cavern</t>
        </is>
      </c>
      <c r="C1791" s="27" t="n">
        <v>46055</v>
      </c>
      <c r="D1791" t="n">
        <v>0</v>
      </c>
      <c r="E1791" t="inlineStr">
        <is>
          <t>RECARGAS DEVOLVIDAS</t>
        </is>
      </c>
    </row>
    <row r="1792">
      <c r="A1792" t="n">
        <v>176</v>
      </c>
      <c r="B1792" t="inlineStr">
        <is>
          <t>The Cavern</t>
        </is>
      </c>
      <c r="C1792" s="27" t="n">
        <v>46055</v>
      </c>
      <c r="D1792" t="n">
        <v>0</v>
      </c>
      <c r="E1792" t="inlineStr">
        <is>
          <t>NOTAS MANUAIS + SERVIÇO</t>
        </is>
      </c>
    </row>
    <row r="1793">
      <c r="A1793" t="n">
        <v>176</v>
      </c>
      <c r="B1793" t="inlineStr">
        <is>
          <t>The Cavern</t>
        </is>
      </c>
      <c r="C1793" s="27" t="n">
        <v>46055</v>
      </c>
      <c r="D1793" t="n">
        <v>0</v>
      </c>
      <c r="E1793" t="inlineStr">
        <is>
          <t>AME</t>
        </is>
      </c>
    </row>
    <row r="1794">
      <c r="A1794" t="n">
        <v>176</v>
      </c>
      <c r="B1794" t="inlineStr">
        <is>
          <t>The Cavern</t>
        </is>
      </c>
      <c r="C1794" s="27" t="n">
        <v>46055</v>
      </c>
      <c r="D1794" t="n">
        <v>0</v>
      </c>
      <c r="E1794" t="inlineStr">
        <is>
          <t>OUTROS</t>
        </is>
      </c>
    </row>
    <row r="1795">
      <c r="A1795" t="n">
        <v>176</v>
      </c>
      <c r="B1795" t="inlineStr">
        <is>
          <t>The Cavern</t>
        </is>
      </c>
      <c r="C1795" s="27" t="n">
        <v>46055</v>
      </c>
      <c r="D1795" t="n">
        <v>0</v>
      </c>
      <c r="E1795" t="inlineStr">
        <is>
          <t>ANTECIPADO</t>
        </is>
      </c>
    </row>
    <row r="1796">
      <c r="A1796" t="n">
        <v>176</v>
      </c>
      <c r="B1796" t="inlineStr">
        <is>
          <t>The Cavern</t>
        </is>
      </c>
      <c r="C1796" s="27" t="n">
        <v>46055</v>
      </c>
      <c r="D1796" t="n">
        <v>0</v>
      </c>
      <c r="E1796" t="inlineStr">
        <is>
          <t>BÔNUS</t>
        </is>
      </c>
    </row>
    <row r="1797">
      <c r="A1797" t="n">
        <v>176</v>
      </c>
      <c r="B1797" t="inlineStr">
        <is>
          <t>The Cavern</t>
        </is>
      </c>
      <c r="C1797" s="27" t="n">
        <v>46055</v>
      </c>
      <c r="D1797" t="n">
        <v>853.3200000000001</v>
      </c>
      <c r="E1797" t="inlineStr">
        <is>
          <t>DÉBITO</t>
        </is>
      </c>
    </row>
    <row r="1798">
      <c r="A1798" t="n">
        <v>176</v>
      </c>
      <c r="B1798" t="inlineStr">
        <is>
          <t>The Cavern</t>
        </is>
      </c>
      <c r="C1798" s="27" t="n">
        <v>46055</v>
      </c>
      <c r="D1798" t="n">
        <v>0</v>
      </c>
      <c r="E1798" t="inlineStr">
        <is>
          <t>ANTECIPADO</t>
        </is>
      </c>
    </row>
    <row r="1799">
      <c r="A1799" t="n">
        <v>176</v>
      </c>
      <c r="B1799" t="inlineStr">
        <is>
          <t>The Cavern</t>
        </is>
      </c>
      <c r="C1799" s="27" t="n">
        <v>46055</v>
      </c>
      <c r="D1799" t="n">
        <v>0</v>
      </c>
      <c r="E1799" t="inlineStr">
        <is>
          <t>UBER</t>
        </is>
      </c>
    </row>
    <row r="1800">
      <c r="A1800" t="n">
        <v>176</v>
      </c>
      <c r="B1800" t="inlineStr">
        <is>
          <t>The Cavern</t>
        </is>
      </c>
      <c r="C1800" s="27" t="n">
        <v>46055</v>
      </c>
      <c r="D1800" t="n">
        <v>0</v>
      </c>
      <c r="E1800" t="inlineStr">
        <is>
          <t>RAPPI</t>
        </is>
      </c>
    </row>
    <row r="1801">
      <c r="A1801" t="n">
        <v>176</v>
      </c>
      <c r="B1801" t="inlineStr">
        <is>
          <t>The Cavern</t>
        </is>
      </c>
      <c r="C1801" s="27" t="n">
        <v>46055</v>
      </c>
      <c r="D1801" t="n">
        <v>0</v>
      </c>
      <c r="E1801" t="inlineStr">
        <is>
          <t>PIX</t>
        </is>
      </c>
    </row>
    <row r="1802">
      <c r="A1802" t="n">
        <v>176</v>
      </c>
      <c r="B1802" t="inlineStr">
        <is>
          <t>The Cavern</t>
        </is>
      </c>
      <c r="C1802" s="27" t="n">
        <v>46055</v>
      </c>
      <c r="D1802" t="n">
        <v>0</v>
      </c>
      <c r="E1802" t="inlineStr">
        <is>
          <t>IFOOD</t>
        </is>
      </c>
    </row>
    <row r="1803">
      <c r="A1803" t="n">
        <v>176</v>
      </c>
      <c r="B1803" t="inlineStr">
        <is>
          <t>The Cavern</t>
        </is>
      </c>
      <c r="C1803" s="27" t="n">
        <v>46055</v>
      </c>
      <c r="D1803" t="n">
        <v>0</v>
      </c>
      <c r="E1803" t="inlineStr">
        <is>
          <t>DELIVERY ONLINE</t>
        </is>
      </c>
    </row>
    <row r="1804">
      <c r="A1804" t="n">
        <v>176</v>
      </c>
      <c r="B1804" t="inlineStr">
        <is>
          <t>The Cavern</t>
        </is>
      </c>
      <c r="C1804" s="27" t="n">
        <v>46055</v>
      </c>
      <c r="D1804" t="n">
        <v>0</v>
      </c>
      <c r="E1804" t="inlineStr">
        <is>
          <t>APP</t>
        </is>
      </c>
    </row>
    <row r="1805">
      <c r="A1805" t="n">
        <v>176</v>
      </c>
      <c r="B1805" t="inlineStr">
        <is>
          <t>The Cavern</t>
        </is>
      </c>
      <c r="C1805" s="27" t="n">
        <v>46055</v>
      </c>
      <c r="D1805" t="n">
        <v>3519.07</v>
      </c>
      <c r="E1805" t="inlineStr">
        <is>
          <t>CRÉDITO</t>
        </is>
      </c>
    </row>
    <row r="1806">
      <c r="A1806" t="n">
        <v>176</v>
      </c>
      <c r="B1806" t="inlineStr">
        <is>
          <t>The Cavern</t>
        </is>
      </c>
      <c r="C1806" s="27" t="n">
        <v>46055</v>
      </c>
      <c r="D1806" t="n">
        <v>0</v>
      </c>
      <c r="E1806" t="inlineStr">
        <is>
          <t>VOUCHER</t>
        </is>
      </c>
    </row>
    <row r="1807">
      <c r="A1807" t="n">
        <v>176</v>
      </c>
      <c r="B1807" t="inlineStr">
        <is>
          <t>The Cavern</t>
        </is>
      </c>
      <c r="C1807" s="27" t="n">
        <v>46054</v>
      </c>
      <c r="D1807" t="n">
        <v>0</v>
      </c>
      <c r="E1807" t="inlineStr">
        <is>
          <t>ANTECIPADO</t>
        </is>
      </c>
    </row>
    <row r="1808">
      <c r="A1808" t="n">
        <v>176</v>
      </c>
      <c r="B1808" t="inlineStr">
        <is>
          <t>The Cavern</t>
        </is>
      </c>
      <c r="C1808" s="27" t="n">
        <v>46054</v>
      </c>
      <c r="D1808" t="n">
        <v>0</v>
      </c>
      <c r="E1808" t="inlineStr">
        <is>
          <t>UBER</t>
        </is>
      </c>
    </row>
    <row r="1809">
      <c r="A1809" t="n">
        <v>176</v>
      </c>
      <c r="B1809" t="inlineStr">
        <is>
          <t>The Cavern</t>
        </is>
      </c>
      <c r="C1809" s="27" t="n">
        <v>46054</v>
      </c>
      <c r="D1809" t="n">
        <v>0</v>
      </c>
      <c r="E1809" t="inlineStr">
        <is>
          <t>RAPPI</t>
        </is>
      </c>
    </row>
    <row r="1810">
      <c r="A1810" t="n">
        <v>176</v>
      </c>
      <c r="B1810" t="inlineStr">
        <is>
          <t>The Cavern</t>
        </is>
      </c>
      <c r="C1810" s="27" t="n">
        <v>46054</v>
      </c>
      <c r="D1810" t="n">
        <v>0</v>
      </c>
      <c r="E1810" t="inlineStr">
        <is>
          <t>PIX</t>
        </is>
      </c>
    </row>
    <row r="1811">
      <c r="A1811" t="n">
        <v>176</v>
      </c>
      <c r="B1811" t="inlineStr">
        <is>
          <t>The Cavern</t>
        </is>
      </c>
      <c r="C1811" s="27" t="n">
        <v>46054</v>
      </c>
      <c r="D1811" t="n">
        <v>0</v>
      </c>
      <c r="E1811" t="inlineStr">
        <is>
          <t>IFOOD</t>
        </is>
      </c>
    </row>
    <row r="1812">
      <c r="A1812" t="n">
        <v>176</v>
      </c>
      <c r="B1812" t="inlineStr">
        <is>
          <t>The Cavern</t>
        </is>
      </c>
      <c r="C1812" s="27" t="n">
        <v>46054</v>
      </c>
      <c r="D1812" t="n">
        <v>0</v>
      </c>
      <c r="E1812" t="inlineStr">
        <is>
          <t>DELIVERY ONLINE</t>
        </is>
      </c>
    </row>
    <row r="1813">
      <c r="A1813" t="n">
        <v>176</v>
      </c>
      <c r="B1813" t="inlineStr">
        <is>
          <t>The Cavern</t>
        </is>
      </c>
      <c r="C1813" s="27" t="n">
        <v>46054</v>
      </c>
      <c r="D1813" t="n">
        <v>0</v>
      </c>
      <c r="E1813" t="inlineStr">
        <is>
          <t>APP</t>
        </is>
      </c>
    </row>
    <row r="1814">
      <c r="A1814" t="n">
        <v>176</v>
      </c>
      <c r="B1814" t="inlineStr">
        <is>
          <t>The Cavern</t>
        </is>
      </c>
      <c r="C1814" s="27" t="n">
        <v>46054</v>
      </c>
      <c r="D1814" t="n">
        <v>0</v>
      </c>
      <c r="E1814" t="inlineStr">
        <is>
          <t>DINHEIRO</t>
        </is>
      </c>
    </row>
    <row r="1815">
      <c r="A1815" t="n">
        <v>176</v>
      </c>
      <c r="B1815" t="inlineStr">
        <is>
          <t>The Cavern</t>
        </is>
      </c>
      <c r="C1815" s="27" t="n">
        <v>46054</v>
      </c>
      <c r="D1815" t="n">
        <v>635.0599999999999</v>
      </c>
      <c r="E1815" t="inlineStr">
        <is>
          <t>CRÉDITO</t>
        </is>
      </c>
    </row>
    <row r="1816">
      <c r="A1816" t="n">
        <v>176</v>
      </c>
      <c r="B1816" t="inlineStr">
        <is>
          <t>The Cavern</t>
        </is>
      </c>
      <c r="C1816" s="27" t="n">
        <v>46054</v>
      </c>
      <c r="D1816" t="n">
        <v>0</v>
      </c>
      <c r="E1816" t="inlineStr">
        <is>
          <t>VOUCHER</t>
        </is>
      </c>
    </row>
    <row r="1817">
      <c r="A1817" t="n">
        <v>176</v>
      </c>
      <c r="B1817" t="inlineStr">
        <is>
          <t>The Cavern</t>
        </is>
      </c>
      <c r="C1817" s="27" t="n">
        <v>46054</v>
      </c>
      <c r="D1817" t="n">
        <v>0</v>
      </c>
      <c r="E1817" t="inlineStr">
        <is>
          <t>DÉBITO</t>
        </is>
      </c>
    </row>
    <row r="1818">
      <c r="A1818" t="n">
        <v>176</v>
      </c>
      <c r="B1818" t="inlineStr">
        <is>
          <t>The Cavern</t>
        </is>
      </c>
      <c r="C1818" s="27" t="n">
        <v>46054</v>
      </c>
      <c r="D1818" t="n">
        <v>0</v>
      </c>
      <c r="E1818" t="inlineStr">
        <is>
          <t>MBWAY</t>
        </is>
      </c>
    </row>
    <row r="1819">
      <c r="A1819" t="n">
        <v>176</v>
      </c>
      <c r="B1819" t="inlineStr">
        <is>
          <t>The Cavern</t>
        </is>
      </c>
      <c r="C1819" s="27" t="n">
        <v>46054</v>
      </c>
      <c r="D1819" t="n">
        <v>0</v>
      </c>
      <c r="E1819" t="inlineStr">
        <is>
          <t>VOUCHER INTEGRADO</t>
        </is>
      </c>
    </row>
    <row r="1820">
      <c r="A1820" t="n">
        <v>176</v>
      </c>
      <c r="B1820" t="inlineStr">
        <is>
          <t>The Cavern</t>
        </is>
      </c>
      <c r="C1820" s="27" t="n">
        <v>46054</v>
      </c>
      <c r="D1820" t="n">
        <v>0</v>
      </c>
      <c r="E1820" t="inlineStr">
        <is>
          <t>RECARGAS DEVOLVIDAS</t>
        </is>
      </c>
    </row>
    <row r="1821">
      <c r="A1821" t="n">
        <v>176</v>
      </c>
      <c r="B1821" t="inlineStr">
        <is>
          <t>The Cavern</t>
        </is>
      </c>
      <c r="C1821" s="27" t="n">
        <v>46054</v>
      </c>
      <c r="D1821" t="n">
        <v>0</v>
      </c>
      <c r="E1821" t="inlineStr">
        <is>
          <t>NOTAS MANUAIS + SERVIÇO</t>
        </is>
      </c>
    </row>
    <row r="1822">
      <c r="A1822" t="n">
        <v>176</v>
      </c>
      <c r="B1822" t="inlineStr">
        <is>
          <t>The Cavern</t>
        </is>
      </c>
      <c r="C1822" s="27" t="n">
        <v>46054</v>
      </c>
      <c r="D1822" t="n">
        <v>0</v>
      </c>
      <c r="E1822" t="inlineStr">
        <is>
          <t>AME</t>
        </is>
      </c>
    </row>
    <row r="1823">
      <c r="A1823" t="n">
        <v>176</v>
      </c>
      <c r="B1823" t="inlineStr">
        <is>
          <t>The Cavern</t>
        </is>
      </c>
      <c r="C1823" s="27" t="n">
        <v>46054</v>
      </c>
      <c r="D1823" t="n">
        <v>0</v>
      </c>
      <c r="E1823" t="inlineStr">
        <is>
          <t>OUTROS</t>
        </is>
      </c>
    </row>
    <row r="1824">
      <c r="A1824" t="n">
        <v>176</v>
      </c>
      <c r="B1824" t="inlineStr">
        <is>
          <t>The Cavern</t>
        </is>
      </c>
      <c r="C1824" s="27" t="n">
        <v>46054</v>
      </c>
      <c r="D1824" t="n">
        <v>0</v>
      </c>
      <c r="E1824" t="inlineStr">
        <is>
          <t>ANTECIPADO</t>
        </is>
      </c>
    </row>
    <row r="1825">
      <c r="A1825" t="n">
        <v>176</v>
      </c>
      <c r="B1825" t="inlineStr">
        <is>
          <t>The Cavern</t>
        </is>
      </c>
      <c r="C1825" s="27" t="n">
        <v>46054</v>
      </c>
      <c r="D1825" t="n">
        <v>0</v>
      </c>
      <c r="E1825" t="inlineStr">
        <is>
          <t>BÔNUS</t>
        </is>
      </c>
    </row>
    <row r="1826">
      <c r="A1826" t="n">
        <v>176</v>
      </c>
      <c r="B1826" t="inlineStr">
        <is>
          <t>The Cavern</t>
        </is>
      </c>
      <c r="C1826" s="27" t="n">
        <v>46054</v>
      </c>
      <c r="D1826" t="n">
        <v>337.66</v>
      </c>
      <c r="E1826" t="inlineStr">
        <is>
          <t>DÉBITO</t>
        </is>
      </c>
    </row>
    <row r="1827">
      <c r="A1827" t="n">
        <v>176</v>
      </c>
      <c r="B1827" t="inlineStr">
        <is>
          <t>The Cavern</t>
        </is>
      </c>
      <c r="C1827" s="27" t="n">
        <v>46054</v>
      </c>
      <c r="D1827" t="n">
        <v>0</v>
      </c>
      <c r="E1827" t="inlineStr">
        <is>
          <t>VOUCHER</t>
        </is>
      </c>
    </row>
    <row r="1828">
      <c r="A1828" t="n">
        <v>176</v>
      </c>
      <c r="B1828" t="inlineStr">
        <is>
          <t>The Cavern</t>
        </is>
      </c>
      <c r="C1828" s="27" t="n">
        <v>46054</v>
      </c>
      <c r="D1828" t="n">
        <v>0</v>
      </c>
      <c r="E1828" t="inlineStr">
        <is>
          <t>ANTECIPADO</t>
        </is>
      </c>
    </row>
    <row r="1829">
      <c r="A1829" t="n">
        <v>176</v>
      </c>
      <c r="B1829" t="inlineStr">
        <is>
          <t>The Cavern</t>
        </is>
      </c>
      <c r="C1829" s="27" t="n">
        <v>46054</v>
      </c>
      <c r="D1829" t="n">
        <v>0</v>
      </c>
      <c r="E1829" t="inlineStr">
        <is>
          <t>UBER</t>
        </is>
      </c>
    </row>
    <row r="1830">
      <c r="A1830" t="n">
        <v>176</v>
      </c>
      <c r="B1830" t="inlineStr">
        <is>
          <t>The Cavern</t>
        </is>
      </c>
      <c r="C1830" s="27" t="n">
        <v>46054</v>
      </c>
      <c r="D1830" t="n">
        <v>0</v>
      </c>
      <c r="E1830" t="inlineStr">
        <is>
          <t>RAPPI</t>
        </is>
      </c>
    </row>
    <row r="1831">
      <c r="A1831" t="n">
        <v>176</v>
      </c>
      <c r="B1831" t="inlineStr">
        <is>
          <t>The Cavern</t>
        </is>
      </c>
      <c r="C1831" s="27" t="n">
        <v>46054</v>
      </c>
      <c r="D1831" t="n">
        <v>455.39</v>
      </c>
      <c r="E1831" t="inlineStr">
        <is>
          <t>PIX</t>
        </is>
      </c>
    </row>
    <row r="1832">
      <c r="A1832" t="n">
        <v>176</v>
      </c>
      <c r="B1832" t="inlineStr">
        <is>
          <t>The Cavern</t>
        </is>
      </c>
      <c r="C1832" s="27" t="n">
        <v>46054</v>
      </c>
      <c r="D1832" t="n">
        <v>0</v>
      </c>
      <c r="E1832" t="inlineStr">
        <is>
          <t>DELIVERY ONLINE</t>
        </is>
      </c>
    </row>
    <row r="1833">
      <c r="A1833" t="n">
        <v>176</v>
      </c>
      <c r="B1833" t="inlineStr">
        <is>
          <t>The Cavern</t>
        </is>
      </c>
      <c r="C1833" s="27" t="n">
        <v>46054</v>
      </c>
      <c r="D1833" t="n">
        <v>0</v>
      </c>
      <c r="E1833" t="inlineStr">
        <is>
          <t>IFOOD</t>
        </is>
      </c>
    </row>
    <row r="1834">
      <c r="A1834" t="n">
        <v>176</v>
      </c>
      <c r="B1834" t="inlineStr">
        <is>
          <t>The Cavern</t>
        </is>
      </c>
      <c r="C1834" s="27" t="n">
        <v>46054</v>
      </c>
      <c r="D1834" t="n">
        <v>0</v>
      </c>
      <c r="E1834" t="inlineStr">
        <is>
          <t>BÔNUS</t>
        </is>
      </c>
    </row>
    <row r="1835">
      <c r="A1835" t="n">
        <v>176</v>
      </c>
      <c r="B1835" t="inlineStr">
        <is>
          <t>The Cavern</t>
        </is>
      </c>
      <c r="C1835" s="27" t="n">
        <v>46054</v>
      </c>
      <c r="D1835" t="n">
        <v>0</v>
      </c>
      <c r="E1835" t="inlineStr">
        <is>
          <t>ANTECIPADO</t>
        </is>
      </c>
    </row>
    <row r="1836">
      <c r="A1836" t="n">
        <v>176</v>
      </c>
      <c r="B1836" t="inlineStr">
        <is>
          <t>The Cavern</t>
        </is>
      </c>
      <c r="C1836" s="27" t="n">
        <v>46054</v>
      </c>
      <c r="D1836" t="n">
        <v>0</v>
      </c>
      <c r="E1836" t="inlineStr">
        <is>
          <t>OUTROS</t>
        </is>
      </c>
    </row>
    <row r="1837">
      <c r="A1837" t="n">
        <v>176</v>
      </c>
      <c r="B1837" t="inlineStr">
        <is>
          <t>The Cavern</t>
        </is>
      </c>
      <c r="C1837" s="27" t="n">
        <v>46054</v>
      </c>
      <c r="D1837" t="n">
        <v>0</v>
      </c>
      <c r="E1837" t="inlineStr">
        <is>
          <t>AME</t>
        </is>
      </c>
    </row>
    <row r="1838">
      <c r="A1838" t="n">
        <v>176</v>
      </c>
      <c r="B1838" t="inlineStr">
        <is>
          <t>The Cavern</t>
        </is>
      </c>
      <c r="C1838" s="27" t="n">
        <v>46054</v>
      </c>
      <c r="D1838" t="n">
        <v>0</v>
      </c>
      <c r="E1838" t="inlineStr">
        <is>
          <t>NOTAS MANUAIS + SERVIÇO</t>
        </is>
      </c>
    </row>
    <row r="1839">
      <c r="A1839" t="n">
        <v>176</v>
      </c>
      <c r="B1839" t="inlineStr">
        <is>
          <t>The Cavern</t>
        </is>
      </c>
      <c r="C1839" s="27" t="n">
        <v>46054</v>
      </c>
      <c r="D1839" t="n">
        <v>0</v>
      </c>
      <c r="E1839" t="inlineStr">
        <is>
          <t>RECARGAS DEVOLVIDAS</t>
        </is>
      </c>
    </row>
    <row r="1840">
      <c r="A1840" t="n">
        <v>176</v>
      </c>
      <c r="B1840" t="inlineStr">
        <is>
          <t>The Cavern</t>
        </is>
      </c>
      <c r="C1840" s="27" t="n">
        <v>46054</v>
      </c>
      <c r="D1840" t="n">
        <v>0</v>
      </c>
      <c r="E1840" t="inlineStr">
        <is>
          <t>VOUCHER INTEGRADO</t>
        </is>
      </c>
    </row>
    <row r="1841">
      <c r="A1841" t="n">
        <v>176</v>
      </c>
      <c r="B1841" t="inlineStr">
        <is>
          <t>The Cavern</t>
        </is>
      </c>
      <c r="C1841" s="27" t="n">
        <v>46054</v>
      </c>
      <c r="D1841" t="n">
        <v>0</v>
      </c>
      <c r="E1841" t="inlineStr">
        <is>
          <t>MBWAY</t>
        </is>
      </c>
    </row>
    <row r="1842">
      <c r="A1842" t="n">
        <v>176</v>
      </c>
      <c r="B1842" t="inlineStr">
        <is>
          <t>The Cavern</t>
        </is>
      </c>
      <c r="C1842" s="27" t="n">
        <v>46054</v>
      </c>
      <c r="D1842" t="n">
        <v>343.52</v>
      </c>
      <c r="E1842" t="inlineStr">
        <is>
          <t>CRÉDITO</t>
        </is>
      </c>
    </row>
    <row r="1843">
      <c r="A1843" t="n">
        <v>176</v>
      </c>
      <c r="B1843" t="inlineStr">
        <is>
          <t>The Cavern</t>
        </is>
      </c>
      <c r="C1843" s="27" t="n">
        <v>46054</v>
      </c>
      <c r="D1843" t="n">
        <v>0</v>
      </c>
      <c r="E1843" t="inlineStr">
        <is>
          <t>DINHEIRO</t>
        </is>
      </c>
    </row>
    <row r="1844">
      <c r="A1844" t="n">
        <v>176</v>
      </c>
      <c r="B1844" t="inlineStr">
        <is>
          <t>The Cavern</t>
        </is>
      </c>
      <c r="C1844" s="27" t="n">
        <v>46054</v>
      </c>
      <c r="D1844" t="n">
        <v>0</v>
      </c>
      <c r="E1844" t="inlineStr">
        <is>
          <t>APP</t>
        </is>
      </c>
    </row>
    <row r="1845">
      <c r="A1845" t="n">
        <v>176</v>
      </c>
      <c r="B1845" t="inlineStr">
        <is>
          <t>The Cavern</t>
        </is>
      </c>
      <c r="C1845" s="27" t="n">
        <v>46053</v>
      </c>
      <c r="D1845" t="n">
        <v>0</v>
      </c>
      <c r="E1845" t="inlineStr">
        <is>
          <t>ANTECIPADO</t>
        </is>
      </c>
    </row>
    <row r="1846">
      <c r="A1846" t="n">
        <v>176</v>
      </c>
      <c r="B1846" t="inlineStr">
        <is>
          <t>The Cavern</t>
        </is>
      </c>
      <c r="C1846" s="27" t="n">
        <v>46053</v>
      </c>
      <c r="D1846" t="n">
        <v>0</v>
      </c>
      <c r="E1846" t="inlineStr">
        <is>
          <t>APP</t>
        </is>
      </c>
    </row>
    <row r="1847">
      <c r="A1847" t="n">
        <v>176</v>
      </c>
      <c r="B1847" t="inlineStr">
        <is>
          <t>The Cavern</t>
        </is>
      </c>
      <c r="C1847" s="27" t="n">
        <v>46053</v>
      </c>
      <c r="D1847" t="n">
        <v>0</v>
      </c>
      <c r="E1847" t="inlineStr">
        <is>
          <t>DELIVERY ONLINE</t>
        </is>
      </c>
    </row>
    <row r="1848">
      <c r="A1848" t="n">
        <v>176</v>
      </c>
      <c r="B1848" t="inlineStr">
        <is>
          <t>The Cavern</t>
        </is>
      </c>
      <c r="C1848" s="27" t="n">
        <v>46053</v>
      </c>
      <c r="D1848" t="n">
        <v>0</v>
      </c>
      <c r="E1848" t="inlineStr">
        <is>
          <t>IFOOD</t>
        </is>
      </c>
    </row>
    <row r="1849">
      <c r="A1849" t="n">
        <v>176</v>
      </c>
      <c r="B1849" t="inlineStr">
        <is>
          <t>The Cavern</t>
        </is>
      </c>
      <c r="C1849" s="27" t="n">
        <v>46053</v>
      </c>
      <c r="D1849" t="n">
        <v>0</v>
      </c>
      <c r="E1849" t="inlineStr">
        <is>
          <t>PIX</t>
        </is>
      </c>
    </row>
    <row r="1850">
      <c r="A1850" t="n">
        <v>176</v>
      </c>
      <c r="B1850" t="inlineStr">
        <is>
          <t>The Cavern</t>
        </is>
      </c>
      <c r="C1850" s="27" t="n">
        <v>46053</v>
      </c>
      <c r="D1850" t="n">
        <v>0</v>
      </c>
      <c r="E1850" t="inlineStr">
        <is>
          <t>RAPPI</t>
        </is>
      </c>
    </row>
    <row r="1851">
      <c r="A1851" t="n">
        <v>176</v>
      </c>
      <c r="B1851" t="inlineStr">
        <is>
          <t>The Cavern</t>
        </is>
      </c>
      <c r="C1851" s="27" t="n">
        <v>46053</v>
      </c>
      <c r="D1851" t="n">
        <v>0</v>
      </c>
      <c r="E1851" t="inlineStr">
        <is>
          <t>UBER</t>
        </is>
      </c>
    </row>
    <row r="1852">
      <c r="A1852" t="n">
        <v>176</v>
      </c>
      <c r="B1852" t="inlineStr">
        <is>
          <t>The Cavern</t>
        </is>
      </c>
      <c r="C1852" s="27" t="n">
        <v>46053</v>
      </c>
      <c r="D1852" t="n">
        <v>0</v>
      </c>
      <c r="E1852" t="inlineStr">
        <is>
          <t>ANTECIPADO</t>
        </is>
      </c>
    </row>
    <row r="1853">
      <c r="A1853" t="n">
        <v>176</v>
      </c>
      <c r="B1853" t="inlineStr">
        <is>
          <t>The Cavern</t>
        </is>
      </c>
      <c r="C1853" s="27" t="n">
        <v>46053</v>
      </c>
      <c r="D1853" t="n">
        <v>0</v>
      </c>
      <c r="E1853" t="inlineStr">
        <is>
          <t>VOUCHER</t>
        </is>
      </c>
    </row>
    <row r="1854">
      <c r="A1854" t="n">
        <v>176</v>
      </c>
      <c r="B1854" t="inlineStr">
        <is>
          <t>The Cavern</t>
        </is>
      </c>
      <c r="C1854" s="27" t="n">
        <v>46053</v>
      </c>
      <c r="D1854" t="n">
        <v>543.53</v>
      </c>
      <c r="E1854" t="inlineStr">
        <is>
          <t>DÉBITO</t>
        </is>
      </c>
    </row>
    <row r="1855">
      <c r="A1855" t="n">
        <v>176</v>
      </c>
      <c r="B1855" t="inlineStr">
        <is>
          <t>The Cavern</t>
        </is>
      </c>
      <c r="C1855" s="27" t="n">
        <v>46053</v>
      </c>
      <c r="D1855" t="n">
        <v>0</v>
      </c>
      <c r="E1855" t="inlineStr">
        <is>
          <t>BÔNUS</t>
        </is>
      </c>
    </row>
    <row r="1856">
      <c r="A1856" t="n">
        <v>176</v>
      </c>
      <c r="B1856" t="inlineStr">
        <is>
          <t>The Cavern</t>
        </is>
      </c>
      <c r="C1856" s="27" t="n">
        <v>46053</v>
      </c>
      <c r="D1856" t="n">
        <v>0</v>
      </c>
      <c r="E1856" t="inlineStr">
        <is>
          <t>ANTECIPADO</t>
        </is>
      </c>
    </row>
    <row r="1857">
      <c r="A1857" t="n">
        <v>176</v>
      </c>
      <c r="B1857" t="inlineStr">
        <is>
          <t>The Cavern</t>
        </is>
      </c>
      <c r="C1857" s="27" t="n">
        <v>46053</v>
      </c>
      <c r="D1857" t="n">
        <v>0</v>
      </c>
      <c r="E1857" t="inlineStr">
        <is>
          <t>OUTROS</t>
        </is>
      </c>
    </row>
    <row r="1858">
      <c r="A1858" t="n">
        <v>176</v>
      </c>
      <c r="B1858" t="inlineStr">
        <is>
          <t>The Cavern</t>
        </is>
      </c>
      <c r="C1858" s="27" t="n">
        <v>46053</v>
      </c>
      <c r="D1858" t="n">
        <v>0</v>
      </c>
      <c r="E1858" t="inlineStr">
        <is>
          <t>AME</t>
        </is>
      </c>
    </row>
    <row r="1859">
      <c r="A1859" t="n">
        <v>176</v>
      </c>
      <c r="B1859" t="inlineStr">
        <is>
          <t>The Cavern</t>
        </is>
      </c>
      <c r="C1859" s="27" t="n">
        <v>46053</v>
      </c>
      <c r="D1859" t="n">
        <v>0</v>
      </c>
      <c r="E1859" t="inlineStr">
        <is>
          <t>NOTAS MANUAIS + SERVIÇO</t>
        </is>
      </c>
    </row>
    <row r="1860">
      <c r="A1860" t="n">
        <v>176</v>
      </c>
      <c r="B1860" t="inlineStr">
        <is>
          <t>The Cavern</t>
        </is>
      </c>
      <c r="C1860" s="27" t="n">
        <v>46053</v>
      </c>
      <c r="D1860" t="n">
        <v>0</v>
      </c>
      <c r="E1860" t="inlineStr">
        <is>
          <t>RECARGAS DEVOLVIDAS</t>
        </is>
      </c>
    </row>
    <row r="1861">
      <c r="A1861" t="n">
        <v>176</v>
      </c>
      <c r="B1861" t="inlineStr">
        <is>
          <t>The Cavern</t>
        </is>
      </c>
      <c r="C1861" s="27" t="n">
        <v>46053</v>
      </c>
      <c r="D1861" t="n">
        <v>0</v>
      </c>
      <c r="E1861" t="inlineStr">
        <is>
          <t>VOUCHER INTEGRADO</t>
        </is>
      </c>
    </row>
    <row r="1862">
      <c r="A1862" t="n">
        <v>176</v>
      </c>
      <c r="B1862" t="inlineStr">
        <is>
          <t>The Cavern</t>
        </is>
      </c>
      <c r="C1862" s="27" t="n">
        <v>46053</v>
      </c>
      <c r="D1862" t="n">
        <v>0</v>
      </c>
      <c r="E1862" t="inlineStr">
        <is>
          <t>MBWAY</t>
        </is>
      </c>
    </row>
    <row r="1863">
      <c r="A1863" t="n">
        <v>176</v>
      </c>
      <c r="B1863" t="inlineStr">
        <is>
          <t>The Cavern</t>
        </is>
      </c>
      <c r="C1863" s="27" t="n">
        <v>46053</v>
      </c>
      <c r="D1863" t="n">
        <v>10491.31</v>
      </c>
      <c r="E1863" t="inlineStr">
        <is>
          <t>CRÉDITO</t>
        </is>
      </c>
    </row>
    <row r="1864">
      <c r="A1864" t="n">
        <v>176</v>
      </c>
      <c r="B1864" t="inlineStr">
        <is>
          <t>The Cavern</t>
        </is>
      </c>
      <c r="C1864" s="27" t="n">
        <v>46053</v>
      </c>
      <c r="D1864" t="n">
        <v>0</v>
      </c>
      <c r="E1864" t="inlineStr">
        <is>
          <t>DINHEIRO</t>
        </is>
      </c>
    </row>
    <row r="1865">
      <c r="A1865" t="n">
        <v>176</v>
      </c>
      <c r="B1865" t="inlineStr">
        <is>
          <t>The Cavern</t>
        </is>
      </c>
      <c r="C1865" s="27" t="n">
        <v>46053</v>
      </c>
      <c r="D1865" t="n">
        <v>0</v>
      </c>
      <c r="E1865" t="inlineStr">
        <is>
          <t>OUTROS</t>
        </is>
      </c>
    </row>
    <row r="1866">
      <c r="A1866" t="n">
        <v>176</v>
      </c>
      <c r="B1866" t="inlineStr">
        <is>
          <t>The Cavern</t>
        </is>
      </c>
      <c r="C1866" s="27" t="n">
        <v>46053</v>
      </c>
      <c r="D1866" t="n">
        <v>0</v>
      </c>
      <c r="E1866" t="inlineStr">
        <is>
          <t>OUTROS</t>
        </is>
      </c>
    </row>
    <row r="1867">
      <c r="A1867" t="n">
        <v>176</v>
      </c>
      <c r="B1867" t="inlineStr">
        <is>
          <t>The Cavern</t>
        </is>
      </c>
      <c r="C1867" s="27" t="n">
        <v>46053</v>
      </c>
      <c r="D1867" t="n">
        <v>0</v>
      </c>
      <c r="E1867" t="inlineStr">
        <is>
          <t>AME</t>
        </is>
      </c>
    </row>
    <row r="1868">
      <c r="A1868" t="n">
        <v>176</v>
      </c>
      <c r="B1868" t="inlineStr">
        <is>
          <t>The Cavern</t>
        </is>
      </c>
      <c r="C1868" s="27" t="n">
        <v>46053</v>
      </c>
      <c r="D1868" t="n">
        <v>879.14</v>
      </c>
      <c r="E1868" t="inlineStr">
        <is>
          <t>CRÉDITO</t>
        </is>
      </c>
    </row>
    <row r="1869">
      <c r="A1869" t="n">
        <v>176</v>
      </c>
      <c r="B1869" t="inlineStr">
        <is>
          <t>The Cavern</t>
        </is>
      </c>
      <c r="C1869" s="27" t="n">
        <v>46053</v>
      </c>
      <c r="D1869" t="n">
        <v>0</v>
      </c>
      <c r="E1869" t="inlineStr">
        <is>
          <t>NOTAS MANUAIS + SERVIÇO</t>
        </is>
      </c>
    </row>
    <row r="1870">
      <c r="A1870" t="n">
        <v>176</v>
      </c>
      <c r="B1870" t="inlineStr">
        <is>
          <t>The Cavern</t>
        </is>
      </c>
      <c r="C1870" s="27" t="n">
        <v>46053</v>
      </c>
      <c r="D1870" t="n">
        <v>0</v>
      </c>
      <c r="E1870" t="inlineStr">
        <is>
          <t>RECARGAS DEVOLVIDAS</t>
        </is>
      </c>
    </row>
    <row r="1871">
      <c r="A1871" t="n">
        <v>176</v>
      </c>
      <c r="B1871" t="inlineStr">
        <is>
          <t>The Cavern</t>
        </is>
      </c>
      <c r="C1871" s="27" t="n">
        <v>46053</v>
      </c>
      <c r="D1871" t="n">
        <v>0</v>
      </c>
      <c r="E1871" t="inlineStr">
        <is>
          <t>VOUCHER INTEGRADO</t>
        </is>
      </c>
    </row>
    <row r="1872">
      <c r="A1872" t="n">
        <v>176</v>
      </c>
      <c r="B1872" t="inlineStr">
        <is>
          <t>The Cavern</t>
        </is>
      </c>
      <c r="C1872" s="27" t="n">
        <v>46053</v>
      </c>
      <c r="D1872" t="n">
        <v>0</v>
      </c>
      <c r="E1872" t="inlineStr">
        <is>
          <t>MBWAY</t>
        </is>
      </c>
    </row>
    <row r="1873">
      <c r="A1873" t="n">
        <v>176</v>
      </c>
      <c r="B1873" t="inlineStr">
        <is>
          <t>The Cavern</t>
        </is>
      </c>
      <c r="C1873" s="27" t="n">
        <v>46053</v>
      </c>
      <c r="D1873" t="n">
        <v>0</v>
      </c>
      <c r="E1873" t="inlineStr">
        <is>
          <t>MBWAY</t>
        </is>
      </c>
    </row>
    <row r="1874">
      <c r="A1874" t="n">
        <v>176</v>
      </c>
      <c r="B1874" t="inlineStr">
        <is>
          <t>The Cavern</t>
        </is>
      </c>
      <c r="C1874" s="27" t="n">
        <v>46053</v>
      </c>
      <c r="D1874" t="n">
        <v>0</v>
      </c>
      <c r="E1874" t="inlineStr">
        <is>
          <t>VOUCHER INTEGRADO</t>
        </is>
      </c>
    </row>
    <row r="1875">
      <c r="A1875" t="n">
        <v>176</v>
      </c>
      <c r="B1875" t="inlineStr">
        <is>
          <t>The Cavern</t>
        </is>
      </c>
      <c r="C1875" s="27" t="n">
        <v>46053</v>
      </c>
      <c r="D1875" t="n">
        <v>0</v>
      </c>
      <c r="E1875" t="inlineStr">
        <is>
          <t>RECARGAS DEVOLVIDAS</t>
        </is>
      </c>
    </row>
    <row r="1876">
      <c r="A1876" t="n">
        <v>176</v>
      </c>
      <c r="B1876" t="inlineStr">
        <is>
          <t>The Cavern</t>
        </is>
      </c>
      <c r="C1876" s="27" t="n">
        <v>46053</v>
      </c>
      <c r="D1876" t="n">
        <v>0</v>
      </c>
      <c r="E1876" t="inlineStr">
        <is>
          <t>NOTAS MANUAIS + SERVIÇO</t>
        </is>
      </c>
    </row>
    <row r="1877">
      <c r="A1877" t="n">
        <v>176</v>
      </c>
      <c r="B1877" t="inlineStr">
        <is>
          <t>The Cavern</t>
        </is>
      </c>
      <c r="C1877" s="27" t="n">
        <v>46053</v>
      </c>
      <c r="D1877" t="n">
        <v>0</v>
      </c>
      <c r="E1877" t="inlineStr">
        <is>
          <t>AME</t>
        </is>
      </c>
    </row>
    <row r="1878">
      <c r="A1878" t="n">
        <v>176</v>
      </c>
      <c r="B1878" t="inlineStr">
        <is>
          <t>The Cavern</t>
        </is>
      </c>
      <c r="C1878" s="27" t="n">
        <v>46053</v>
      </c>
      <c r="D1878" t="n">
        <v>0</v>
      </c>
      <c r="E1878" t="inlineStr">
        <is>
          <t>DINHEIRO</t>
        </is>
      </c>
    </row>
    <row r="1879">
      <c r="A1879" t="n">
        <v>176</v>
      </c>
      <c r="B1879" t="inlineStr">
        <is>
          <t>The Cavern</t>
        </is>
      </c>
      <c r="C1879" s="27" t="n">
        <v>46053</v>
      </c>
      <c r="D1879" t="n">
        <v>10.17</v>
      </c>
      <c r="E1879" t="inlineStr">
        <is>
          <t>DINHEIRO</t>
        </is>
      </c>
    </row>
    <row r="1880">
      <c r="A1880" t="n">
        <v>176</v>
      </c>
      <c r="B1880" t="inlineStr">
        <is>
          <t>The Cavern</t>
        </is>
      </c>
      <c r="C1880" s="27" t="n">
        <v>46053</v>
      </c>
      <c r="D1880" t="n">
        <v>0</v>
      </c>
      <c r="E1880" t="inlineStr">
        <is>
          <t>APP</t>
        </is>
      </c>
    </row>
    <row r="1881">
      <c r="A1881" t="n">
        <v>176</v>
      </c>
      <c r="B1881" t="inlineStr">
        <is>
          <t>The Cavern</t>
        </is>
      </c>
      <c r="C1881" s="27" t="n">
        <v>46053</v>
      </c>
      <c r="D1881" t="n">
        <v>0</v>
      </c>
      <c r="E1881" t="inlineStr">
        <is>
          <t>DELIVERY ONLINE</t>
        </is>
      </c>
    </row>
    <row r="1882">
      <c r="A1882" t="n">
        <v>176</v>
      </c>
      <c r="B1882" t="inlineStr">
        <is>
          <t>The Cavern</t>
        </is>
      </c>
      <c r="C1882" s="27" t="n">
        <v>46053</v>
      </c>
      <c r="D1882" t="n">
        <v>0</v>
      </c>
      <c r="E1882" t="inlineStr">
        <is>
          <t>IFOOD</t>
        </is>
      </c>
    </row>
    <row r="1883">
      <c r="A1883" t="n">
        <v>176</v>
      </c>
      <c r="B1883" t="inlineStr">
        <is>
          <t>The Cavern</t>
        </is>
      </c>
      <c r="C1883" s="27" t="n">
        <v>46053</v>
      </c>
      <c r="D1883" t="n">
        <v>201.14</v>
      </c>
      <c r="E1883" t="inlineStr">
        <is>
          <t>PIX</t>
        </is>
      </c>
    </row>
    <row r="1884">
      <c r="A1884" t="n">
        <v>176</v>
      </c>
      <c r="B1884" t="inlineStr">
        <is>
          <t>The Cavern</t>
        </is>
      </c>
      <c r="C1884" s="27" t="n">
        <v>46053</v>
      </c>
      <c r="D1884" t="n">
        <v>0</v>
      </c>
      <c r="E1884" t="inlineStr">
        <is>
          <t>RAPPI</t>
        </is>
      </c>
    </row>
    <row r="1885">
      <c r="A1885" t="n">
        <v>176</v>
      </c>
      <c r="B1885" t="inlineStr">
        <is>
          <t>The Cavern</t>
        </is>
      </c>
      <c r="C1885" s="27" t="n">
        <v>46053</v>
      </c>
      <c r="D1885" t="n">
        <v>0</v>
      </c>
      <c r="E1885" t="inlineStr">
        <is>
          <t>UBER</t>
        </is>
      </c>
    </row>
    <row r="1886">
      <c r="A1886" t="n">
        <v>176</v>
      </c>
      <c r="B1886" t="inlineStr">
        <is>
          <t>The Cavern</t>
        </is>
      </c>
      <c r="C1886" s="27" t="n">
        <v>46053</v>
      </c>
      <c r="D1886" t="n">
        <v>0</v>
      </c>
      <c r="E1886" t="inlineStr">
        <is>
          <t>ANTECIPADO</t>
        </is>
      </c>
    </row>
    <row r="1887">
      <c r="A1887" t="n">
        <v>176</v>
      </c>
      <c r="B1887" t="inlineStr">
        <is>
          <t>The Cavern</t>
        </is>
      </c>
      <c r="C1887" s="27" t="n">
        <v>46053</v>
      </c>
      <c r="D1887" t="n">
        <v>0</v>
      </c>
      <c r="E1887" t="inlineStr">
        <is>
          <t>VOUCHER</t>
        </is>
      </c>
    </row>
    <row r="1888">
      <c r="A1888" t="n">
        <v>176</v>
      </c>
      <c r="B1888" t="inlineStr">
        <is>
          <t>The Cavern</t>
        </is>
      </c>
      <c r="C1888" s="27" t="n">
        <v>46053</v>
      </c>
      <c r="D1888" t="n">
        <v>4782.89</v>
      </c>
      <c r="E1888" t="inlineStr">
        <is>
          <t>DÉBITO</t>
        </is>
      </c>
    </row>
    <row r="1889">
      <c r="A1889" t="n">
        <v>176</v>
      </c>
      <c r="B1889" t="inlineStr">
        <is>
          <t>The Cavern</t>
        </is>
      </c>
      <c r="C1889" s="27" t="n">
        <v>46053</v>
      </c>
      <c r="D1889" t="n">
        <v>0</v>
      </c>
      <c r="E1889" t="inlineStr">
        <is>
          <t>BÔNUS</t>
        </is>
      </c>
    </row>
    <row r="1890">
      <c r="A1890" t="n">
        <v>176</v>
      </c>
      <c r="B1890" t="inlineStr">
        <is>
          <t>The Cavern</t>
        </is>
      </c>
      <c r="C1890" s="27" t="n">
        <v>46053</v>
      </c>
      <c r="D1890" t="n">
        <v>0</v>
      </c>
      <c r="E1890" t="inlineStr">
        <is>
          <t>BÔNUS</t>
        </is>
      </c>
    </row>
    <row r="1891">
      <c r="A1891" t="n">
        <v>176</v>
      </c>
      <c r="B1891" t="inlineStr">
        <is>
          <t>The Cavern</t>
        </is>
      </c>
      <c r="C1891" s="27" t="n">
        <v>46053</v>
      </c>
      <c r="D1891" t="n">
        <v>0</v>
      </c>
      <c r="E1891" t="inlineStr">
        <is>
          <t>CRÉDITO</t>
        </is>
      </c>
    </row>
    <row r="1892">
      <c r="A1892" t="n">
        <v>176</v>
      </c>
      <c r="B1892" t="inlineStr">
        <is>
          <t>The Cavern</t>
        </is>
      </c>
      <c r="C1892" s="27" t="n">
        <v>46053</v>
      </c>
      <c r="D1892" t="n">
        <v>0</v>
      </c>
      <c r="E1892" t="inlineStr">
        <is>
          <t>APP</t>
        </is>
      </c>
    </row>
    <row r="1893">
      <c r="A1893" t="n">
        <v>176</v>
      </c>
      <c r="B1893" t="inlineStr">
        <is>
          <t>The Cavern</t>
        </is>
      </c>
      <c r="C1893" s="27" t="n">
        <v>46053</v>
      </c>
      <c r="D1893" t="n">
        <v>0</v>
      </c>
      <c r="E1893" t="inlineStr">
        <is>
          <t>DELIVERY ONLINE</t>
        </is>
      </c>
    </row>
    <row r="1894">
      <c r="A1894" t="n">
        <v>176</v>
      </c>
      <c r="B1894" t="inlineStr">
        <is>
          <t>The Cavern</t>
        </is>
      </c>
      <c r="C1894" s="27" t="n">
        <v>46053</v>
      </c>
      <c r="D1894" t="n">
        <v>0</v>
      </c>
      <c r="E1894" t="inlineStr">
        <is>
          <t>IFOOD</t>
        </is>
      </c>
    </row>
    <row r="1895">
      <c r="A1895" t="n">
        <v>176</v>
      </c>
      <c r="B1895" t="inlineStr">
        <is>
          <t>The Cavern</t>
        </is>
      </c>
      <c r="C1895" s="27" t="n">
        <v>46053</v>
      </c>
      <c r="D1895" t="n">
        <v>0</v>
      </c>
      <c r="E1895" t="inlineStr">
        <is>
          <t>PIX</t>
        </is>
      </c>
    </row>
    <row r="1896">
      <c r="A1896" t="n">
        <v>176</v>
      </c>
      <c r="B1896" t="inlineStr">
        <is>
          <t>The Cavern</t>
        </is>
      </c>
      <c r="C1896" s="27" t="n">
        <v>46053</v>
      </c>
      <c r="D1896" t="n">
        <v>0</v>
      </c>
      <c r="E1896" t="inlineStr">
        <is>
          <t>RAPPI</t>
        </is>
      </c>
    </row>
    <row r="1897">
      <c r="A1897" t="n">
        <v>176</v>
      </c>
      <c r="B1897" t="inlineStr">
        <is>
          <t>The Cavern</t>
        </is>
      </c>
      <c r="C1897" s="27" t="n">
        <v>46053</v>
      </c>
      <c r="D1897" t="n">
        <v>0</v>
      </c>
      <c r="E1897" t="inlineStr">
        <is>
          <t>ANTECIPADO</t>
        </is>
      </c>
    </row>
    <row r="1898">
      <c r="A1898" t="n">
        <v>176</v>
      </c>
      <c r="B1898" t="inlineStr">
        <is>
          <t>The Cavern</t>
        </is>
      </c>
      <c r="C1898" s="27" t="n">
        <v>46053</v>
      </c>
      <c r="D1898" t="n">
        <v>0</v>
      </c>
      <c r="E1898" t="inlineStr">
        <is>
          <t>DÉBITO</t>
        </is>
      </c>
    </row>
    <row r="1899">
      <c r="A1899" t="n">
        <v>176</v>
      </c>
      <c r="B1899" t="inlineStr">
        <is>
          <t>The Cavern</t>
        </is>
      </c>
      <c r="C1899" s="27" t="n">
        <v>46053</v>
      </c>
      <c r="D1899" t="n">
        <v>0</v>
      </c>
      <c r="E1899" t="inlineStr">
        <is>
          <t>VOUCHER</t>
        </is>
      </c>
    </row>
    <row r="1900">
      <c r="A1900" t="n">
        <v>176</v>
      </c>
      <c r="B1900" t="inlineStr">
        <is>
          <t>The Cavern</t>
        </is>
      </c>
      <c r="C1900" s="27" t="n">
        <v>46053</v>
      </c>
      <c r="D1900" t="n">
        <v>0</v>
      </c>
      <c r="E1900" t="inlineStr">
        <is>
          <t>ANTECIPADO</t>
        </is>
      </c>
    </row>
    <row r="1901">
      <c r="A1901" t="n">
        <v>176</v>
      </c>
      <c r="B1901" t="inlineStr">
        <is>
          <t>The Cavern</t>
        </is>
      </c>
      <c r="C1901" s="27" t="n">
        <v>46053</v>
      </c>
      <c r="D1901" t="n">
        <v>0</v>
      </c>
      <c r="E1901" t="inlineStr">
        <is>
          <t>UBER</t>
        </is>
      </c>
    </row>
    <row r="1902">
      <c r="A1902" t="n">
        <v>176</v>
      </c>
      <c r="B1902" t="inlineStr">
        <is>
          <t>The Cavern</t>
        </is>
      </c>
      <c r="C1902" s="27" t="n">
        <v>46052</v>
      </c>
      <c r="D1902" t="n">
        <v>0</v>
      </c>
      <c r="E1902" t="inlineStr">
        <is>
          <t>RAPPI</t>
        </is>
      </c>
    </row>
    <row r="1903">
      <c r="A1903" t="n">
        <v>176</v>
      </c>
      <c r="B1903" t="inlineStr">
        <is>
          <t>The Cavern</t>
        </is>
      </c>
      <c r="C1903" s="27" t="n">
        <v>46052</v>
      </c>
      <c r="D1903" t="n">
        <v>661.05</v>
      </c>
      <c r="E1903" t="inlineStr">
        <is>
          <t>PIX</t>
        </is>
      </c>
    </row>
    <row r="1904">
      <c r="A1904" t="n">
        <v>176</v>
      </c>
      <c r="B1904" t="inlineStr">
        <is>
          <t>The Cavern</t>
        </is>
      </c>
      <c r="C1904" s="27" t="n">
        <v>46052</v>
      </c>
      <c r="D1904" t="n">
        <v>0</v>
      </c>
      <c r="E1904" t="inlineStr">
        <is>
          <t>ANTECIPADO</t>
        </is>
      </c>
    </row>
    <row r="1905">
      <c r="A1905" t="n">
        <v>176</v>
      </c>
      <c r="B1905" t="inlineStr">
        <is>
          <t>The Cavern</t>
        </is>
      </c>
      <c r="C1905" s="27" t="n">
        <v>46052</v>
      </c>
      <c r="D1905" t="n">
        <v>0</v>
      </c>
      <c r="E1905" t="inlineStr">
        <is>
          <t>UBER</t>
        </is>
      </c>
    </row>
    <row r="1906">
      <c r="A1906" t="n">
        <v>176</v>
      </c>
      <c r="B1906" t="inlineStr">
        <is>
          <t>The Cavern</t>
        </is>
      </c>
      <c r="C1906" s="27" t="n">
        <v>46052</v>
      </c>
      <c r="D1906" t="n">
        <v>31464.1</v>
      </c>
      <c r="E1906" t="inlineStr">
        <is>
          <t>CRÉDITO</t>
        </is>
      </c>
    </row>
    <row r="1907">
      <c r="A1907" t="n">
        <v>176</v>
      </c>
      <c r="B1907" t="inlineStr">
        <is>
          <t>The Cavern</t>
        </is>
      </c>
      <c r="C1907" s="27" t="n">
        <v>46052</v>
      </c>
      <c r="D1907" t="n">
        <v>0</v>
      </c>
      <c r="E1907" t="inlineStr">
        <is>
          <t>IFOOD</t>
        </is>
      </c>
    </row>
    <row r="1908">
      <c r="A1908" t="n">
        <v>176</v>
      </c>
      <c r="B1908" t="inlineStr">
        <is>
          <t>The Cavern</t>
        </is>
      </c>
      <c r="C1908" s="27" t="n">
        <v>46052</v>
      </c>
      <c r="D1908" t="n">
        <v>0</v>
      </c>
      <c r="E1908" t="inlineStr">
        <is>
          <t>DELIVERY ONLINE</t>
        </is>
      </c>
    </row>
    <row r="1909">
      <c r="A1909" t="n">
        <v>176</v>
      </c>
      <c r="B1909" t="inlineStr">
        <is>
          <t>The Cavern</t>
        </is>
      </c>
      <c r="C1909" s="27" t="n">
        <v>46052</v>
      </c>
      <c r="D1909" t="n">
        <v>30.51</v>
      </c>
      <c r="E1909" t="inlineStr">
        <is>
          <t>APP</t>
        </is>
      </c>
    </row>
    <row r="1910">
      <c r="A1910" t="n">
        <v>176</v>
      </c>
      <c r="B1910" t="inlineStr">
        <is>
          <t>The Cavern</t>
        </is>
      </c>
      <c r="C1910" s="27" t="n">
        <v>46052</v>
      </c>
      <c r="D1910" t="n">
        <v>6085.46</v>
      </c>
      <c r="E1910" t="inlineStr">
        <is>
          <t>DÉBITO</t>
        </is>
      </c>
    </row>
    <row r="1911">
      <c r="A1911" t="n">
        <v>176</v>
      </c>
      <c r="B1911" t="inlineStr">
        <is>
          <t>The Cavern</t>
        </is>
      </c>
      <c r="C1911" s="27" t="n">
        <v>46052</v>
      </c>
      <c r="D1911" t="n">
        <v>0</v>
      </c>
      <c r="E1911" t="inlineStr">
        <is>
          <t>DINHEIRO</t>
        </is>
      </c>
    </row>
    <row r="1912">
      <c r="A1912" t="n">
        <v>176</v>
      </c>
      <c r="B1912" t="inlineStr">
        <is>
          <t>The Cavern</t>
        </is>
      </c>
      <c r="C1912" s="27" t="n">
        <v>46052</v>
      </c>
      <c r="D1912" t="n">
        <v>100.45</v>
      </c>
      <c r="E1912" t="inlineStr">
        <is>
          <t>PIX</t>
        </is>
      </c>
    </row>
    <row r="1913">
      <c r="A1913" t="n">
        <v>176</v>
      </c>
      <c r="B1913" t="inlineStr">
        <is>
          <t>The Cavern</t>
        </is>
      </c>
      <c r="C1913" s="27" t="n">
        <v>46052</v>
      </c>
      <c r="D1913" t="n">
        <v>0</v>
      </c>
      <c r="E1913" t="inlineStr">
        <is>
          <t>OUTROS</t>
        </is>
      </c>
    </row>
    <row r="1914">
      <c r="A1914" t="n">
        <v>176</v>
      </c>
      <c r="B1914" t="inlineStr">
        <is>
          <t>The Cavern</t>
        </is>
      </c>
      <c r="C1914" s="27" t="n">
        <v>46052</v>
      </c>
      <c r="D1914" t="n">
        <v>0</v>
      </c>
      <c r="E1914" t="inlineStr">
        <is>
          <t>AME</t>
        </is>
      </c>
    </row>
    <row r="1915">
      <c r="A1915" t="n">
        <v>176</v>
      </c>
      <c r="B1915" t="inlineStr">
        <is>
          <t>The Cavern</t>
        </is>
      </c>
      <c r="C1915" s="27" t="n">
        <v>46052</v>
      </c>
      <c r="D1915" t="n">
        <v>0</v>
      </c>
      <c r="E1915" t="inlineStr">
        <is>
          <t>NOTAS MANUAIS + SERVIÇO</t>
        </is>
      </c>
    </row>
    <row r="1916">
      <c r="A1916" t="n">
        <v>176</v>
      </c>
      <c r="B1916" t="inlineStr">
        <is>
          <t>The Cavern</t>
        </is>
      </c>
      <c r="C1916" s="27" t="n">
        <v>46052</v>
      </c>
      <c r="D1916" t="n">
        <v>0</v>
      </c>
      <c r="E1916" t="inlineStr">
        <is>
          <t>RECARGAS DEVOLVIDAS</t>
        </is>
      </c>
    </row>
    <row r="1917">
      <c r="A1917" t="n">
        <v>176</v>
      </c>
      <c r="B1917" t="inlineStr">
        <is>
          <t>The Cavern</t>
        </is>
      </c>
      <c r="C1917" s="27" t="n">
        <v>46052</v>
      </c>
      <c r="D1917" t="n">
        <v>0</v>
      </c>
      <c r="E1917" t="inlineStr">
        <is>
          <t>VOUCHER INTEGRADO</t>
        </is>
      </c>
    </row>
    <row r="1918">
      <c r="A1918" t="n">
        <v>176</v>
      </c>
      <c r="B1918" t="inlineStr">
        <is>
          <t>The Cavern</t>
        </is>
      </c>
      <c r="C1918" s="27" t="n">
        <v>46052</v>
      </c>
      <c r="D1918" t="n">
        <v>0</v>
      </c>
      <c r="E1918" t="inlineStr">
        <is>
          <t>MBWAY</t>
        </is>
      </c>
    </row>
    <row r="1919">
      <c r="A1919" t="n">
        <v>176</v>
      </c>
      <c r="B1919" t="inlineStr">
        <is>
          <t>The Cavern</t>
        </is>
      </c>
      <c r="C1919" s="27" t="n">
        <v>46052</v>
      </c>
      <c r="D1919" t="n">
        <v>3034.48</v>
      </c>
      <c r="E1919" t="inlineStr">
        <is>
          <t>CRÉDITO</t>
        </is>
      </c>
    </row>
    <row r="1920">
      <c r="A1920" t="n">
        <v>176</v>
      </c>
      <c r="B1920" t="inlineStr">
        <is>
          <t>The Cavern</t>
        </is>
      </c>
      <c r="C1920" s="27" t="n">
        <v>46052</v>
      </c>
      <c r="D1920" t="n">
        <v>0</v>
      </c>
      <c r="E1920" t="inlineStr">
        <is>
          <t>DINHEIRO</t>
        </is>
      </c>
    </row>
    <row r="1921">
      <c r="A1921" t="n">
        <v>176</v>
      </c>
      <c r="B1921" t="inlineStr">
        <is>
          <t>The Cavern</t>
        </is>
      </c>
      <c r="C1921" s="27" t="n">
        <v>46052</v>
      </c>
      <c r="D1921" t="n">
        <v>0</v>
      </c>
      <c r="E1921" t="inlineStr">
        <is>
          <t>APP</t>
        </is>
      </c>
    </row>
    <row r="1922">
      <c r="A1922" t="n">
        <v>176</v>
      </c>
      <c r="B1922" t="inlineStr">
        <is>
          <t>The Cavern</t>
        </is>
      </c>
      <c r="C1922" s="27" t="n">
        <v>46052</v>
      </c>
      <c r="D1922" t="n">
        <v>0</v>
      </c>
      <c r="E1922" t="inlineStr">
        <is>
          <t>DELIVERY ONLINE</t>
        </is>
      </c>
    </row>
    <row r="1923">
      <c r="A1923" t="n">
        <v>176</v>
      </c>
      <c r="B1923" t="inlineStr">
        <is>
          <t>The Cavern</t>
        </is>
      </c>
      <c r="C1923" s="27" t="n">
        <v>46052</v>
      </c>
      <c r="D1923" t="n">
        <v>0</v>
      </c>
      <c r="E1923" t="inlineStr">
        <is>
          <t>IFOOD</t>
        </is>
      </c>
    </row>
    <row r="1924">
      <c r="A1924" t="n">
        <v>176</v>
      </c>
      <c r="B1924" t="inlineStr">
        <is>
          <t>The Cavern</t>
        </is>
      </c>
      <c r="C1924" s="27" t="n">
        <v>46052</v>
      </c>
      <c r="D1924" t="n">
        <v>0</v>
      </c>
      <c r="E1924" t="inlineStr">
        <is>
          <t>VOUCHER</t>
        </is>
      </c>
    </row>
    <row r="1925">
      <c r="A1925" t="n">
        <v>176</v>
      </c>
      <c r="B1925" t="inlineStr">
        <is>
          <t>The Cavern</t>
        </is>
      </c>
      <c r="C1925" s="27" t="n">
        <v>46052</v>
      </c>
      <c r="D1925" t="n">
        <v>0</v>
      </c>
      <c r="E1925" t="inlineStr">
        <is>
          <t>RAPPI</t>
        </is>
      </c>
    </row>
    <row r="1926">
      <c r="A1926" t="n">
        <v>176</v>
      </c>
      <c r="B1926" t="inlineStr">
        <is>
          <t>The Cavern</t>
        </is>
      </c>
      <c r="C1926" s="27" t="n">
        <v>46052</v>
      </c>
      <c r="D1926" t="n">
        <v>0</v>
      </c>
      <c r="E1926" t="inlineStr">
        <is>
          <t>UBER</t>
        </is>
      </c>
    </row>
    <row r="1927">
      <c r="A1927" t="n">
        <v>176</v>
      </c>
      <c r="B1927" t="inlineStr">
        <is>
          <t>The Cavern</t>
        </is>
      </c>
      <c r="C1927" s="27" t="n">
        <v>46052</v>
      </c>
      <c r="D1927" t="n">
        <v>0</v>
      </c>
      <c r="E1927" t="inlineStr">
        <is>
          <t>ANTECIPADO</t>
        </is>
      </c>
    </row>
    <row r="1928">
      <c r="A1928" t="n">
        <v>176</v>
      </c>
      <c r="B1928" t="inlineStr">
        <is>
          <t>The Cavern</t>
        </is>
      </c>
      <c r="C1928" s="27" t="n">
        <v>46052</v>
      </c>
      <c r="D1928" t="n">
        <v>0</v>
      </c>
      <c r="E1928" t="inlineStr">
        <is>
          <t>VOUCHER</t>
        </is>
      </c>
    </row>
    <row r="1929">
      <c r="A1929" t="n">
        <v>176</v>
      </c>
      <c r="B1929" t="inlineStr">
        <is>
          <t>The Cavern</t>
        </is>
      </c>
      <c r="C1929" s="27" t="n">
        <v>46052</v>
      </c>
      <c r="D1929" t="n">
        <v>630.39</v>
      </c>
      <c r="E1929" t="inlineStr">
        <is>
          <t>DÉBITO</t>
        </is>
      </c>
    </row>
    <row r="1930">
      <c r="A1930" t="n">
        <v>176</v>
      </c>
      <c r="B1930" t="inlineStr">
        <is>
          <t>The Cavern</t>
        </is>
      </c>
      <c r="C1930" s="27" t="n">
        <v>46052</v>
      </c>
      <c r="D1930" t="n">
        <v>0</v>
      </c>
      <c r="E1930" t="inlineStr">
        <is>
          <t>BÔNUS</t>
        </is>
      </c>
    </row>
    <row r="1931">
      <c r="A1931" t="n">
        <v>176</v>
      </c>
      <c r="B1931" t="inlineStr">
        <is>
          <t>The Cavern</t>
        </is>
      </c>
      <c r="C1931" s="27" t="n">
        <v>46052</v>
      </c>
      <c r="D1931" t="n">
        <v>0</v>
      </c>
      <c r="E1931" t="inlineStr">
        <is>
          <t>ANTECIPADO</t>
        </is>
      </c>
    </row>
    <row r="1932">
      <c r="A1932" t="n">
        <v>176</v>
      </c>
      <c r="B1932" t="inlineStr">
        <is>
          <t>The Cavern</t>
        </is>
      </c>
      <c r="C1932" s="27" t="n">
        <v>46052</v>
      </c>
      <c r="D1932" t="n">
        <v>0</v>
      </c>
      <c r="E1932" t="inlineStr">
        <is>
          <t>OUTROS</t>
        </is>
      </c>
    </row>
    <row r="1933">
      <c r="A1933" t="n">
        <v>176</v>
      </c>
      <c r="B1933" t="inlineStr">
        <is>
          <t>The Cavern</t>
        </is>
      </c>
      <c r="C1933" s="27" t="n">
        <v>46052</v>
      </c>
      <c r="D1933" t="n">
        <v>0</v>
      </c>
      <c r="E1933" t="inlineStr">
        <is>
          <t>AME</t>
        </is>
      </c>
    </row>
    <row r="1934">
      <c r="A1934" t="n">
        <v>176</v>
      </c>
      <c r="B1934" t="inlineStr">
        <is>
          <t>The Cavern</t>
        </is>
      </c>
      <c r="C1934" s="27" t="n">
        <v>46052</v>
      </c>
      <c r="D1934" t="n">
        <v>0</v>
      </c>
      <c r="E1934" t="inlineStr">
        <is>
          <t>NOTAS MANUAIS + SERVIÇO</t>
        </is>
      </c>
    </row>
    <row r="1935">
      <c r="A1935" t="n">
        <v>176</v>
      </c>
      <c r="B1935" t="inlineStr">
        <is>
          <t>The Cavern</t>
        </is>
      </c>
      <c r="C1935" s="27" t="n">
        <v>46052</v>
      </c>
      <c r="D1935" t="n">
        <v>0</v>
      </c>
      <c r="E1935" t="inlineStr">
        <is>
          <t>RECARGAS DEVOLVIDAS</t>
        </is>
      </c>
    </row>
    <row r="1936">
      <c r="A1936" t="n">
        <v>176</v>
      </c>
      <c r="B1936" t="inlineStr">
        <is>
          <t>The Cavern</t>
        </is>
      </c>
      <c r="C1936" s="27" t="n">
        <v>46052</v>
      </c>
      <c r="D1936" t="n">
        <v>0</v>
      </c>
      <c r="E1936" t="inlineStr">
        <is>
          <t>BÔNUS</t>
        </is>
      </c>
    </row>
    <row r="1937">
      <c r="A1937" t="n">
        <v>176</v>
      </c>
      <c r="B1937" t="inlineStr">
        <is>
          <t>The Cavern</t>
        </is>
      </c>
      <c r="C1937" s="27" t="n">
        <v>46052</v>
      </c>
      <c r="D1937" t="n">
        <v>0</v>
      </c>
      <c r="E1937" t="inlineStr">
        <is>
          <t>ANTECIPADO</t>
        </is>
      </c>
    </row>
    <row r="1938">
      <c r="A1938" t="n">
        <v>176</v>
      </c>
      <c r="B1938" t="inlineStr">
        <is>
          <t>The Cavern</t>
        </is>
      </c>
      <c r="C1938" s="27" t="n">
        <v>46052</v>
      </c>
      <c r="D1938" t="n">
        <v>0</v>
      </c>
      <c r="E1938" t="inlineStr">
        <is>
          <t>BÔNUS</t>
        </is>
      </c>
    </row>
    <row r="1939">
      <c r="A1939" t="n">
        <v>176</v>
      </c>
      <c r="B1939" t="inlineStr">
        <is>
          <t>The Cavern</t>
        </is>
      </c>
      <c r="C1939" s="27" t="n">
        <v>46052</v>
      </c>
      <c r="D1939" t="n">
        <v>0</v>
      </c>
      <c r="E1939" t="inlineStr">
        <is>
          <t>ANTECIPADO</t>
        </is>
      </c>
    </row>
    <row r="1940">
      <c r="A1940" t="n">
        <v>176</v>
      </c>
      <c r="B1940" t="inlineStr">
        <is>
          <t>The Cavern</t>
        </is>
      </c>
      <c r="C1940" s="27" t="n">
        <v>46052</v>
      </c>
      <c r="D1940" t="n">
        <v>0</v>
      </c>
      <c r="E1940" t="inlineStr">
        <is>
          <t>OUTROS</t>
        </is>
      </c>
    </row>
    <row r="1941">
      <c r="A1941" t="n">
        <v>176</v>
      </c>
      <c r="B1941" t="inlineStr">
        <is>
          <t>The Cavern</t>
        </is>
      </c>
      <c r="C1941" s="27" t="n">
        <v>46052</v>
      </c>
      <c r="D1941" t="n">
        <v>0</v>
      </c>
      <c r="E1941" t="inlineStr">
        <is>
          <t>AME</t>
        </is>
      </c>
    </row>
    <row r="1942">
      <c r="A1942" t="n">
        <v>176</v>
      </c>
      <c r="B1942" t="inlineStr">
        <is>
          <t>The Cavern</t>
        </is>
      </c>
      <c r="C1942" s="27" t="n">
        <v>46052</v>
      </c>
      <c r="D1942" t="n">
        <v>0</v>
      </c>
      <c r="E1942" t="inlineStr">
        <is>
          <t>NOTAS MANUAIS + SERVIÇO</t>
        </is>
      </c>
    </row>
    <row r="1943">
      <c r="A1943" t="n">
        <v>176</v>
      </c>
      <c r="B1943" t="inlineStr">
        <is>
          <t>The Cavern</t>
        </is>
      </c>
      <c r="C1943" s="27" t="n">
        <v>46052</v>
      </c>
      <c r="D1943" t="n">
        <v>0</v>
      </c>
      <c r="E1943" t="inlineStr">
        <is>
          <t>RECARGAS DEVOLVIDAS</t>
        </is>
      </c>
    </row>
    <row r="1944">
      <c r="A1944" t="n">
        <v>176</v>
      </c>
      <c r="B1944" t="inlineStr">
        <is>
          <t>The Cavern</t>
        </is>
      </c>
      <c r="C1944" s="27" t="n">
        <v>46052</v>
      </c>
      <c r="D1944" t="n">
        <v>0</v>
      </c>
      <c r="E1944" t="inlineStr">
        <is>
          <t>VOUCHER INTEGRADO</t>
        </is>
      </c>
    </row>
    <row r="1945">
      <c r="A1945" t="n">
        <v>176</v>
      </c>
      <c r="B1945" t="inlineStr">
        <is>
          <t>The Cavern</t>
        </is>
      </c>
      <c r="C1945" s="27" t="n">
        <v>46052</v>
      </c>
      <c r="D1945" t="n">
        <v>0</v>
      </c>
      <c r="E1945" t="inlineStr">
        <is>
          <t>MBWAY</t>
        </is>
      </c>
    </row>
    <row r="1946">
      <c r="A1946" t="n">
        <v>176</v>
      </c>
      <c r="B1946" t="inlineStr">
        <is>
          <t>The Cavern</t>
        </is>
      </c>
      <c r="C1946" s="27" t="n">
        <v>46052</v>
      </c>
      <c r="D1946" t="n">
        <v>0</v>
      </c>
      <c r="E1946" t="inlineStr">
        <is>
          <t>MBWAY</t>
        </is>
      </c>
    </row>
    <row r="1947">
      <c r="A1947" t="n">
        <v>176</v>
      </c>
      <c r="B1947" t="inlineStr">
        <is>
          <t>The Cavern</t>
        </is>
      </c>
      <c r="C1947" s="27" t="n">
        <v>46052</v>
      </c>
      <c r="D1947" t="n">
        <v>0</v>
      </c>
      <c r="E1947" t="inlineStr">
        <is>
          <t>VOUCHER INTEGRADO</t>
        </is>
      </c>
    </row>
    <row r="1948">
      <c r="A1948" t="n">
        <v>176</v>
      </c>
      <c r="B1948" t="inlineStr">
        <is>
          <t>The Cavern</t>
        </is>
      </c>
      <c r="C1948" s="27" t="n">
        <v>46052</v>
      </c>
      <c r="D1948" t="n">
        <v>0</v>
      </c>
      <c r="E1948" t="inlineStr">
        <is>
          <t>DINHEIRO</t>
        </is>
      </c>
    </row>
    <row r="1949">
      <c r="A1949" t="n">
        <v>176</v>
      </c>
      <c r="B1949" t="inlineStr">
        <is>
          <t>The Cavern</t>
        </is>
      </c>
      <c r="C1949" s="27" t="n">
        <v>46052</v>
      </c>
      <c r="D1949" t="n">
        <v>0</v>
      </c>
      <c r="E1949" t="inlineStr">
        <is>
          <t>CRÉDITO</t>
        </is>
      </c>
    </row>
    <row r="1950">
      <c r="A1950" t="n">
        <v>176</v>
      </c>
      <c r="B1950" t="inlineStr">
        <is>
          <t>The Cavern</t>
        </is>
      </c>
      <c r="C1950" s="27" t="n">
        <v>46052</v>
      </c>
      <c r="D1950" t="n">
        <v>0</v>
      </c>
      <c r="E1950" t="inlineStr">
        <is>
          <t>DÉBITO</t>
        </is>
      </c>
    </row>
    <row r="1951">
      <c r="A1951" t="n">
        <v>176</v>
      </c>
      <c r="B1951" t="inlineStr">
        <is>
          <t>The Cavern</t>
        </is>
      </c>
      <c r="C1951" s="27" t="n">
        <v>46052</v>
      </c>
      <c r="D1951" t="n">
        <v>0</v>
      </c>
      <c r="E1951" t="inlineStr">
        <is>
          <t>VOUCHER</t>
        </is>
      </c>
    </row>
    <row r="1952">
      <c r="A1952" t="n">
        <v>176</v>
      </c>
      <c r="B1952" t="inlineStr">
        <is>
          <t>The Cavern</t>
        </is>
      </c>
      <c r="C1952" s="27" t="n">
        <v>46052</v>
      </c>
      <c r="D1952" t="n">
        <v>0</v>
      </c>
      <c r="E1952" t="inlineStr">
        <is>
          <t>ANTECIPADO</t>
        </is>
      </c>
    </row>
    <row r="1953">
      <c r="A1953" t="n">
        <v>176</v>
      </c>
      <c r="B1953" t="inlineStr">
        <is>
          <t>The Cavern</t>
        </is>
      </c>
      <c r="C1953" s="27" t="n">
        <v>46052</v>
      </c>
      <c r="D1953" t="n">
        <v>0</v>
      </c>
      <c r="E1953" t="inlineStr">
        <is>
          <t>UBER</t>
        </is>
      </c>
    </row>
    <row r="1954">
      <c r="A1954" t="n">
        <v>176</v>
      </c>
      <c r="B1954" t="inlineStr">
        <is>
          <t>The Cavern</t>
        </is>
      </c>
      <c r="C1954" s="27" t="n">
        <v>46052</v>
      </c>
      <c r="D1954" t="n">
        <v>0</v>
      </c>
      <c r="E1954" t="inlineStr">
        <is>
          <t>RAPPI</t>
        </is>
      </c>
    </row>
    <row r="1955">
      <c r="A1955" t="n">
        <v>176</v>
      </c>
      <c r="B1955" t="inlineStr">
        <is>
          <t>The Cavern</t>
        </is>
      </c>
      <c r="C1955" s="27" t="n">
        <v>46052</v>
      </c>
      <c r="D1955" t="n">
        <v>0</v>
      </c>
      <c r="E1955" t="inlineStr">
        <is>
          <t>PIX</t>
        </is>
      </c>
    </row>
    <row r="1956">
      <c r="A1956" t="n">
        <v>176</v>
      </c>
      <c r="B1956" t="inlineStr">
        <is>
          <t>The Cavern</t>
        </is>
      </c>
      <c r="C1956" s="27" t="n">
        <v>46052</v>
      </c>
      <c r="D1956" t="n">
        <v>0</v>
      </c>
      <c r="E1956" t="inlineStr">
        <is>
          <t>IFOOD</t>
        </is>
      </c>
    </row>
    <row r="1957">
      <c r="A1957" t="n">
        <v>176</v>
      </c>
      <c r="B1957" t="inlineStr">
        <is>
          <t>The Cavern</t>
        </is>
      </c>
      <c r="C1957" s="27" t="n">
        <v>46052</v>
      </c>
      <c r="D1957" t="n">
        <v>0</v>
      </c>
      <c r="E1957" t="inlineStr">
        <is>
          <t>DELIVERY ONLINE</t>
        </is>
      </c>
    </row>
    <row r="1958">
      <c r="A1958" t="n">
        <v>176</v>
      </c>
      <c r="B1958" t="inlineStr">
        <is>
          <t>The Cavern</t>
        </is>
      </c>
      <c r="C1958" s="27" t="n">
        <v>46052</v>
      </c>
      <c r="D1958" t="n">
        <v>0</v>
      </c>
      <c r="E1958" t="inlineStr">
        <is>
          <t>APP</t>
        </is>
      </c>
    </row>
    <row r="1959">
      <c r="A1959" t="n">
        <v>176</v>
      </c>
      <c r="B1959" t="inlineStr">
        <is>
          <t>The Cavern</t>
        </is>
      </c>
      <c r="C1959" s="27" t="n">
        <v>46051</v>
      </c>
      <c r="D1959" t="n">
        <v>0</v>
      </c>
      <c r="E1959" t="inlineStr">
        <is>
          <t>MBWAY</t>
        </is>
      </c>
    </row>
    <row r="1960">
      <c r="A1960" t="n">
        <v>176</v>
      </c>
      <c r="B1960" t="inlineStr">
        <is>
          <t>The Cavern</t>
        </is>
      </c>
      <c r="C1960" s="27" t="n">
        <v>46051</v>
      </c>
      <c r="D1960" t="n">
        <v>0</v>
      </c>
      <c r="E1960" t="inlineStr">
        <is>
          <t>VOUCHER INTEGRADO</t>
        </is>
      </c>
    </row>
    <row r="1961">
      <c r="A1961" t="n">
        <v>176</v>
      </c>
      <c r="B1961" t="inlineStr">
        <is>
          <t>The Cavern</t>
        </is>
      </c>
      <c r="C1961" s="27" t="n">
        <v>46051</v>
      </c>
      <c r="D1961" t="n">
        <v>5611.97</v>
      </c>
      <c r="E1961" t="inlineStr">
        <is>
          <t>CRÉDITO</t>
        </is>
      </c>
    </row>
    <row r="1962">
      <c r="A1962" t="n">
        <v>176</v>
      </c>
      <c r="B1962" t="inlineStr">
        <is>
          <t>The Cavern</t>
        </is>
      </c>
      <c r="C1962" s="27" t="n">
        <v>46051</v>
      </c>
      <c r="D1962" t="n">
        <v>0</v>
      </c>
      <c r="E1962" t="inlineStr">
        <is>
          <t>DINHEIRO</t>
        </is>
      </c>
    </row>
    <row r="1963">
      <c r="A1963" t="n">
        <v>176</v>
      </c>
      <c r="B1963" t="inlineStr">
        <is>
          <t>The Cavern</t>
        </is>
      </c>
      <c r="C1963" s="27" t="n">
        <v>46051</v>
      </c>
      <c r="D1963" t="n">
        <v>0</v>
      </c>
      <c r="E1963" t="inlineStr">
        <is>
          <t>APP</t>
        </is>
      </c>
    </row>
    <row r="1964">
      <c r="A1964" t="n">
        <v>176</v>
      </c>
      <c r="B1964" t="inlineStr">
        <is>
          <t>The Cavern</t>
        </is>
      </c>
      <c r="C1964" s="27" t="n">
        <v>46051</v>
      </c>
      <c r="D1964" t="n">
        <v>0</v>
      </c>
      <c r="E1964" t="inlineStr">
        <is>
          <t>DELIVERY ONLINE</t>
        </is>
      </c>
    </row>
    <row r="1965">
      <c r="A1965" t="n">
        <v>176</v>
      </c>
      <c r="B1965" t="inlineStr">
        <is>
          <t>The Cavern</t>
        </is>
      </c>
      <c r="C1965" s="27" t="n">
        <v>46051</v>
      </c>
      <c r="D1965" t="n">
        <v>0</v>
      </c>
      <c r="E1965" t="inlineStr">
        <is>
          <t>IFOOD</t>
        </is>
      </c>
    </row>
    <row r="1966">
      <c r="A1966" t="n">
        <v>176</v>
      </c>
      <c r="B1966" t="inlineStr">
        <is>
          <t>The Cavern</t>
        </is>
      </c>
      <c r="C1966" s="27" t="n">
        <v>46051</v>
      </c>
      <c r="D1966" t="n">
        <v>108.36</v>
      </c>
      <c r="E1966" t="inlineStr">
        <is>
          <t>PIX</t>
        </is>
      </c>
    </row>
    <row r="1967">
      <c r="A1967" t="n">
        <v>176</v>
      </c>
      <c r="B1967" t="inlineStr">
        <is>
          <t>The Cavern</t>
        </is>
      </c>
      <c r="C1967" s="27" t="n">
        <v>46051</v>
      </c>
      <c r="D1967" t="n">
        <v>0</v>
      </c>
      <c r="E1967" t="inlineStr">
        <is>
          <t>RAPPI</t>
        </is>
      </c>
    </row>
    <row r="1968">
      <c r="A1968" t="n">
        <v>176</v>
      </c>
      <c r="B1968" t="inlineStr">
        <is>
          <t>The Cavern</t>
        </is>
      </c>
      <c r="C1968" s="27" t="n">
        <v>46051</v>
      </c>
      <c r="D1968" t="n">
        <v>0</v>
      </c>
      <c r="E1968" t="inlineStr">
        <is>
          <t>UBER</t>
        </is>
      </c>
    </row>
    <row r="1969">
      <c r="A1969" t="n">
        <v>176</v>
      </c>
      <c r="B1969" t="inlineStr">
        <is>
          <t>The Cavern</t>
        </is>
      </c>
      <c r="C1969" s="27" t="n">
        <v>46051</v>
      </c>
      <c r="D1969" t="n">
        <v>0</v>
      </c>
      <c r="E1969" t="inlineStr">
        <is>
          <t>ANTECIPADO</t>
        </is>
      </c>
    </row>
    <row r="1970">
      <c r="A1970" t="n">
        <v>176</v>
      </c>
      <c r="B1970" t="inlineStr">
        <is>
          <t>The Cavern</t>
        </is>
      </c>
      <c r="C1970" s="27" t="n">
        <v>46051</v>
      </c>
      <c r="D1970" t="n">
        <v>0</v>
      </c>
      <c r="E1970" t="inlineStr">
        <is>
          <t>VOUCHER</t>
        </is>
      </c>
    </row>
    <row r="1971">
      <c r="A1971" t="n">
        <v>176</v>
      </c>
      <c r="B1971" t="inlineStr">
        <is>
          <t>The Cavern</t>
        </is>
      </c>
      <c r="C1971" s="27" t="n">
        <v>46051</v>
      </c>
      <c r="D1971" t="n">
        <v>1747.08</v>
      </c>
      <c r="E1971" t="inlineStr">
        <is>
          <t>DÉBITO</t>
        </is>
      </c>
    </row>
    <row r="1972">
      <c r="A1972" t="n">
        <v>176</v>
      </c>
      <c r="B1972" t="inlineStr">
        <is>
          <t>The Cavern</t>
        </is>
      </c>
      <c r="C1972" s="27" t="n">
        <v>46051</v>
      </c>
      <c r="D1972" t="n">
        <v>0</v>
      </c>
      <c r="E1972" t="inlineStr">
        <is>
          <t>BÔNUS</t>
        </is>
      </c>
    </row>
    <row r="1973">
      <c r="A1973" t="n">
        <v>176</v>
      </c>
      <c r="B1973" t="inlineStr">
        <is>
          <t>The Cavern</t>
        </is>
      </c>
      <c r="C1973" s="27" t="n">
        <v>46051</v>
      </c>
      <c r="D1973" t="n">
        <v>0</v>
      </c>
      <c r="E1973" t="inlineStr">
        <is>
          <t>ANTECIPADO</t>
        </is>
      </c>
    </row>
    <row r="1974">
      <c r="A1974" t="n">
        <v>176</v>
      </c>
      <c r="B1974" t="inlineStr">
        <is>
          <t>The Cavern</t>
        </is>
      </c>
      <c r="C1974" s="27" t="n">
        <v>46051</v>
      </c>
      <c r="D1974" t="n">
        <v>0</v>
      </c>
      <c r="E1974" t="inlineStr">
        <is>
          <t>OUTROS</t>
        </is>
      </c>
    </row>
    <row r="1975">
      <c r="A1975" t="n">
        <v>176</v>
      </c>
      <c r="B1975" t="inlineStr">
        <is>
          <t>The Cavern</t>
        </is>
      </c>
      <c r="C1975" s="27" t="n">
        <v>46051</v>
      </c>
      <c r="D1975" t="n">
        <v>0</v>
      </c>
      <c r="E1975" t="inlineStr">
        <is>
          <t>AME</t>
        </is>
      </c>
    </row>
    <row r="1976">
      <c r="A1976" t="n">
        <v>176</v>
      </c>
      <c r="B1976" t="inlineStr">
        <is>
          <t>The Cavern</t>
        </is>
      </c>
      <c r="C1976" s="27" t="n">
        <v>46051</v>
      </c>
      <c r="D1976" t="n">
        <v>0</v>
      </c>
      <c r="E1976" t="inlineStr">
        <is>
          <t>NOTAS MANUAIS + SERVIÇO</t>
        </is>
      </c>
    </row>
    <row r="1977">
      <c r="A1977" t="n">
        <v>176</v>
      </c>
      <c r="B1977" t="inlineStr">
        <is>
          <t>The Cavern</t>
        </is>
      </c>
      <c r="C1977" s="27" t="n">
        <v>46051</v>
      </c>
      <c r="D1977" t="n">
        <v>0</v>
      </c>
      <c r="E1977" t="inlineStr">
        <is>
          <t>RECARGAS DEVOLVIDAS</t>
        </is>
      </c>
    </row>
    <row r="1978">
      <c r="A1978" t="n">
        <v>176</v>
      </c>
      <c r="B1978" t="inlineStr">
        <is>
          <t>The Cavern</t>
        </is>
      </c>
      <c r="C1978" s="27" t="n">
        <v>46051</v>
      </c>
      <c r="D1978" t="n">
        <v>0</v>
      </c>
      <c r="E1978" t="inlineStr">
        <is>
          <t>VOUCHER</t>
        </is>
      </c>
    </row>
    <row r="1979">
      <c r="A1979" t="n">
        <v>176</v>
      </c>
      <c r="B1979" t="inlineStr">
        <is>
          <t>The Cavern</t>
        </is>
      </c>
      <c r="C1979" s="27" t="n">
        <v>46051</v>
      </c>
      <c r="D1979" t="n">
        <v>7420.16</v>
      </c>
      <c r="E1979" t="inlineStr">
        <is>
          <t>CRÉDITO</t>
        </is>
      </c>
    </row>
    <row r="1980">
      <c r="A1980" t="n">
        <v>176</v>
      </c>
      <c r="B1980" t="inlineStr">
        <is>
          <t>The Cavern</t>
        </is>
      </c>
      <c r="C1980" s="27" t="n">
        <v>46051</v>
      </c>
      <c r="D1980" t="n">
        <v>149.16</v>
      </c>
      <c r="E1980" t="inlineStr">
        <is>
          <t>DINHEIRO</t>
        </is>
      </c>
    </row>
    <row r="1981">
      <c r="A1981" t="n">
        <v>176</v>
      </c>
      <c r="B1981" t="inlineStr">
        <is>
          <t>The Cavern</t>
        </is>
      </c>
      <c r="C1981" s="27" t="n">
        <v>46051</v>
      </c>
      <c r="D1981" t="n">
        <v>0</v>
      </c>
      <c r="E1981" t="inlineStr">
        <is>
          <t>APP</t>
        </is>
      </c>
    </row>
    <row r="1982">
      <c r="A1982" t="n">
        <v>176</v>
      </c>
      <c r="B1982" t="inlineStr">
        <is>
          <t>The Cavern</t>
        </is>
      </c>
      <c r="C1982" s="27" t="n">
        <v>46051</v>
      </c>
      <c r="D1982" t="n">
        <v>0</v>
      </c>
      <c r="E1982" t="inlineStr">
        <is>
          <t>DELIVERY ONLINE</t>
        </is>
      </c>
    </row>
    <row r="1983">
      <c r="A1983" t="n">
        <v>176</v>
      </c>
      <c r="B1983" t="inlineStr">
        <is>
          <t>The Cavern</t>
        </is>
      </c>
      <c r="C1983" s="27" t="n">
        <v>46051</v>
      </c>
      <c r="D1983" t="n">
        <v>0</v>
      </c>
      <c r="E1983" t="inlineStr">
        <is>
          <t>IFOOD</t>
        </is>
      </c>
    </row>
    <row r="1984">
      <c r="A1984" t="n">
        <v>176</v>
      </c>
      <c r="B1984" t="inlineStr">
        <is>
          <t>The Cavern</t>
        </is>
      </c>
      <c r="C1984" s="27" t="n">
        <v>46051</v>
      </c>
      <c r="D1984" t="n">
        <v>791.5599999999999</v>
      </c>
      <c r="E1984" t="inlineStr">
        <is>
          <t>PIX</t>
        </is>
      </c>
    </row>
    <row r="1985">
      <c r="A1985" t="n">
        <v>176</v>
      </c>
      <c r="B1985" t="inlineStr">
        <is>
          <t>The Cavern</t>
        </is>
      </c>
      <c r="C1985" s="27" t="n">
        <v>46051</v>
      </c>
      <c r="D1985" t="n">
        <v>0</v>
      </c>
      <c r="E1985" t="inlineStr">
        <is>
          <t>RAPPI</t>
        </is>
      </c>
    </row>
    <row r="1986">
      <c r="A1986" t="n">
        <v>176</v>
      </c>
      <c r="B1986" t="inlineStr">
        <is>
          <t>The Cavern</t>
        </is>
      </c>
      <c r="C1986" s="27" t="n">
        <v>46051</v>
      </c>
      <c r="D1986" t="n">
        <v>0</v>
      </c>
      <c r="E1986" t="inlineStr">
        <is>
          <t>UBER</t>
        </is>
      </c>
    </row>
    <row r="1987">
      <c r="A1987" t="n">
        <v>176</v>
      </c>
      <c r="B1987" t="inlineStr">
        <is>
          <t>The Cavern</t>
        </is>
      </c>
      <c r="C1987" s="27" t="n">
        <v>46051</v>
      </c>
      <c r="D1987" t="n">
        <v>0</v>
      </c>
      <c r="E1987" t="inlineStr">
        <is>
          <t>ANTECIPADO</t>
        </is>
      </c>
    </row>
    <row r="1988">
      <c r="A1988" t="n">
        <v>176</v>
      </c>
      <c r="B1988" t="inlineStr">
        <is>
          <t>The Cavern</t>
        </is>
      </c>
      <c r="C1988" s="27" t="n">
        <v>46051</v>
      </c>
      <c r="D1988" t="n">
        <v>2947.45</v>
      </c>
      <c r="E1988" t="inlineStr">
        <is>
          <t>DÉBITO</t>
        </is>
      </c>
    </row>
    <row r="1989">
      <c r="A1989" t="n">
        <v>176</v>
      </c>
      <c r="B1989" t="inlineStr">
        <is>
          <t>The Cavern</t>
        </is>
      </c>
      <c r="C1989" s="27" t="n">
        <v>46051</v>
      </c>
      <c r="D1989" t="n">
        <v>0</v>
      </c>
      <c r="E1989" t="inlineStr">
        <is>
          <t>BÔNUS</t>
        </is>
      </c>
    </row>
    <row r="1990">
      <c r="A1990" t="n">
        <v>176</v>
      </c>
      <c r="B1990" t="inlineStr">
        <is>
          <t>The Cavern</t>
        </is>
      </c>
      <c r="C1990" s="27" t="n">
        <v>46051</v>
      </c>
      <c r="D1990" t="n">
        <v>0</v>
      </c>
      <c r="E1990" t="inlineStr">
        <is>
          <t>ANTECIPADO</t>
        </is>
      </c>
    </row>
    <row r="1991">
      <c r="A1991" t="n">
        <v>176</v>
      </c>
      <c r="B1991" t="inlineStr">
        <is>
          <t>The Cavern</t>
        </is>
      </c>
      <c r="C1991" s="27" t="n">
        <v>46051</v>
      </c>
      <c r="D1991" t="n">
        <v>0</v>
      </c>
      <c r="E1991" t="inlineStr">
        <is>
          <t>OUTROS</t>
        </is>
      </c>
    </row>
    <row r="1992">
      <c r="A1992" t="n">
        <v>176</v>
      </c>
      <c r="B1992" t="inlineStr">
        <is>
          <t>The Cavern</t>
        </is>
      </c>
      <c r="C1992" s="27" t="n">
        <v>46051</v>
      </c>
      <c r="D1992" t="n">
        <v>0</v>
      </c>
      <c r="E1992" t="inlineStr">
        <is>
          <t>AME</t>
        </is>
      </c>
    </row>
    <row r="1993">
      <c r="A1993" t="n">
        <v>176</v>
      </c>
      <c r="B1993" t="inlineStr">
        <is>
          <t>The Cavern</t>
        </is>
      </c>
      <c r="C1993" s="27" t="n">
        <v>46051</v>
      </c>
      <c r="D1993" t="n">
        <v>0</v>
      </c>
      <c r="E1993" t="inlineStr">
        <is>
          <t>NOTAS MANUAIS + SERVIÇO</t>
        </is>
      </c>
    </row>
    <row r="1994">
      <c r="A1994" t="n">
        <v>176</v>
      </c>
      <c r="B1994" t="inlineStr">
        <is>
          <t>The Cavern</t>
        </is>
      </c>
      <c r="C1994" s="27" t="n">
        <v>46051</v>
      </c>
      <c r="D1994" t="n">
        <v>0</v>
      </c>
      <c r="E1994" t="inlineStr">
        <is>
          <t>RECARGAS DEVOLVIDAS</t>
        </is>
      </c>
    </row>
    <row r="1995">
      <c r="A1995" t="n">
        <v>176</v>
      </c>
      <c r="B1995" t="inlineStr">
        <is>
          <t>The Cavern</t>
        </is>
      </c>
      <c r="C1995" s="27" t="n">
        <v>46051</v>
      </c>
      <c r="D1995" t="n">
        <v>0</v>
      </c>
      <c r="E1995" t="inlineStr">
        <is>
          <t>VOUCHER INTEGRADO</t>
        </is>
      </c>
    </row>
    <row r="1996">
      <c r="A1996" t="n">
        <v>176</v>
      </c>
      <c r="B1996" t="inlineStr">
        <is>
          <t>The Cavern</t>
        </is>
      </c>
      <c r="C1996" s="27" t="n">
        <v>46051</v>
      </c>
      <c r="D1996" t="n">
        <v>0</v>
      </c>
      <c r="E1996" t="inlineStr">
        <is>
          <t>MBWAY</t>
        </is>
      </c>
    </row>
    <row r="1997">
      <c r="A1997" t="n">
        <v>176</v>
      </c>
      <c r="B1997" t="inlineStr">
        <is>
          <t>The Cavern</t>
        </is>
      </c>
      <c r="C1997" s="27" t="n">
        <v>46050</v>
      </c>
      <c r="D1997" t="n">
        <v>1576.92</v>
      </c>
      <c r="E1997" t="inlineStr">
        <is>
          <t>CRÉDITO</t>
        </is>
      </c>
    </row>
    <row r="1998">
      <c r="A1998" t="n">
        <v>176</v>
      </c>
      <c r="B1998" t="inlineStr">
        <is>
          <t>The Cavern</t>
        </is>
      </c>
      <c r="C1998" s="27" t="n">
        <v>46050</v>
      </c>
      <c r="D1998" t="n">
        <v>575.14</v>
      </c>
      <c r="E1998" t="inlineStr">
        <is>
          <t>PIX</t>
        </is>
      </c>
    </row>
    <row r="1999">
      <c r="A1999" t="n">
        <v>176</v>
      </c>
      <c r="B1999" t="inlineStr">
        <is>
          <t>The Cavern</t>
        </is>
      </c>
      <c r="C1999" s="27" t="n">
        <v>46050</v>
      </c>
      <c r="D1999" t="n">
        <v>0</v>
      </c>
      <c r="E1999" t="inlineStr">
        <is>
          <t>AME</t>
        </is>
      </c>
    </row>
    <row r="2000">
      <c r="A2000" t="n">
        <v>176</v>
      </c>
      <c r="B2000" t="inlineStr">
        <is>
          <t>The Cavern</t>
        </is>
      </c>
      <c r="C2000" s="27" t="n">
        <v>46050</v>
      </c>
      <c r="D2000" t="n">
        <v>0</v>
      </c>
      <c r="E2000" t="inlineStr">
        <is>
          <t>OUTROS</t>
        </is>
      </c>
    </row>
    <row r="2001">
      <c r="A2001" t="n">
        <v>176</v>
      </c>
      <c r="B2001" t="inlineStr">
        <is>
          <t>The Cavern</t>
        </is>
      </c>
      <c r="C2001" s="27" t="n">
        <v>46050</v>
      </c>
      <c r="D2001" t="n">
        <v>0</v>
      </c>
      <c r="E2001" t="inlineStr">
        <is>
          <t>ANTECIPADO</t>
        </is>
      </c>
    </row>
    <row r="2002">
      <c r="A2002" t="n">
        <v>176</v>
      </c>
      <c r="B2002" t="inlineStr">
        <is>
          <t>The Cavern</t>
        </is>
      </c>
      <c r="C2002" s="27" t="n">
        <v>46050</v>
      </c>
      <c r="D2002" t="n">
        <v>0</v>
      </c>
      <c r="E2002" t="inlineStr">
        <is>
          <t>BÔNUS</t>
        </is>
      </c>
    </row>
    <row r="2003">
      <c r="A2003" t="n">
        <v>176</v>
      </c>
      <c r="B2003" t="inlineStr">
        <is>
          <t>The Cavern</t>
        </is>
      </c>
      <c r="C2003" s="27" t="n">
        <v>46050</v>
      </c>
      <c r="D2003" t="n">
        <v>765.2</v>
      </c>
      <c r="E2003" t="inlineStr">
        <is>
          <t>DÉBITO</t>
        </is>
      </c>
    </row>
    <row r="2004">
      <c r="A2004" t="n">
        <v>176</v>
      </c>
      <c r="B2004" t="inlineStr">
        <is>
          <t>The Cavern</t>
        </is>
      </c>
      <c r="C2004" s="27" t="n">
        <v>46050</v>
      </c>
      <c r="D2004" t="n">
        <v>0</v>
      </c>
      <c r="E2004" t="inlineStr">
        <is>
          <t>VOUCHER</t>
        </is>
      </c>
    </row>
    <row r="2005">
      <c r="A2005" t="n">
        <v>176</v>
      </c>
      <c r="B2005" t="inlineStr">
        <is>
          <t>The Cavern</t>
        </is>
      </c>
      <c r="C2005" s="27" t="n">
        <v>46050</v>
      </c>
      <c r="D2005" t="n">
        <v>0</v>
      </c>
      <c r="E2005" t="inlineStr">
        <is>
          <t>ANTECIPADO</t>
        </is>
      </c>
    </row>
    <row r="2006">
      <c r="A2006" t="n">
        <v>176</v>
      </c>
      <c r="B2006" t="inlineStr">
        <is>
          <t>The Cavern</t>
        </is>
      </c>
      <c r="C2006" s="27" t="n">
        <v>46050</v>
      </c>
      <c r="D2006" t="n">
        <v>0</v>
      </c>
      <c r="E2006" t="inlineStr">
        <is>
          <t>UBER</t>
        </is>
      </c>
    </row>
    <row r="2007">
      <c r="A2007" t="n">
        <v>176</v>
      </c>
      <c r="B2007" t="inlineStr">
        <is>
          <t>The Cavern</t>
        </is>
      </c>
      <c r="C2007" s="27" t="n">
        <v>46050</v>
      </c>
      <c r="D2007" t="n">
        <v>0</v>
      </c>
      <c r="E2007" t="inlineStr">
        <is>
          <t>RAPPI</t>
        </is>
      </c>
    </row>
    <row r="2008">
      <c r="A2008" t="n">
        <v>176</v>
      </c>
      <c r="B2008" t="inlineStr">
        <is>
          <t>The Cavern</t>
        </is>
      </c>
      <c r="C2008" s="27" t="n">
        <v>46050</v>
      </c>
      <c r="D2008" t="n">
        <v>0</v>
      </c>
      <c r="E2008" t="inlineStr">
        <is>
          <t>MBWAY</t>
        </is>
      </c>
    </row>
    <row r="2009">
      <c r="A2009" t="n">
        <v>176</v>
      </c>
      <c r="B2009" t="inlineStr">
        <is>
          <t>The Cavern</t>
        </is>
      </c>
      <c r="C2009" s="27" t="n">
        <v>46050</v>
      </c>
      <c r="D2009" t="n">
        <v>0</v>
      </c>
      <c r="E2009" t="inlineStr">
        <is>
          <t>IFOOD</t>
        </is>
      </c>
    </row>
    <row r="2010">
      <c r="A2010" t="n">
        <v>176</v>
      </c>
      <c r="B2010" t="inlineStr">
        <is>
          <t>The Cavern</t>
        </is>
      </c>
      <c r="C2010" s="27" t="n">
        <v>46050</v>
      </c>
      <c r="D2010" t="n">
        <v>0</v>
      </c>
      <c r="E2010" t="inlineStr">
        <is>
          <t>DELIVERY ONLINE</t>
        </is>
      </c>
    </row>
    <row r="2011">
      <c r="A2011" t="n">
        <v>176</v>
      </c>
      <c r="B2011" t="inlineStr">
        <is>
          <t>The Cavern</t>
        </is>
      </c>
      <c r="C2011" s="27" t="n">
        <v>46050</v>
      </c>
      <c r="D2011" t="n">
        <v>0</v>
      </c>
      <c r="E2011" t="inlineStr">
        <is>
          <t>APP</t>
        </is>
      </c>
    </row>
    <row r="2012">
      <c r="A2012" t="n">
        <v>176</v>
      </c>
      <c r="B2012" t="inlineStr">
        <is>
          <t>The Cavern</t>
        </is>
      </c>
      <c r="C2012" s="27" t="n">
        <v>46050</v>
      </c>
      <c r="D2012" t="n">
        <v>0</v>
      </c>
      <c r="E2012" t="inlineStr">
        <is>
          <t>DINHEIRO</t>
        </is>
      </c>
    </row>
    <row r="2013">
      <c r="A2013" t="n">
        <v>176</v>
      </c>
      <c r="B2013" t="inlineStr">
        <is>
          <t>The Cavern</t>
        </is>
      </c>
      <c r="C2013" s="27" t="n">
        <v>46050</v>
      </c>
      <c r="D2013" t="n">
        <v>4241.62</v>
      </c>
      <c r="E2013" t="inlineStr">
        <is>
          <t>CRÉDITO</t>
        </is>
      </c>
    </row>
    <row r="2014">
      <c r="A2014" t="n">
        <v>176</v>
      </c>
      <c r="B2014" t="inlineStr">
        <is>
          <t>The Cavern</t>
        </is>
      </c>
      <c r="C2014" s="27" t="n">
        <v>46050</v>
      </c>
      <c r="D2014" t="n">
        <v>0</v>
      </c>
      <c r="E2014" t="inlineStr">
        <is>
          <t>RECARGAS DEVOLVIDAS</t>
        </is>
      </c>
    </row>
    <row r="2015">
      <c r="A2015" t="n">
        <v>176</v>
      </c>
      <c r="B2015" t="inlineStr">
        <is>
          <t>The Cavern</t>
        </is>
      </c>
      <c r="C2015" s="27" t="n">
        <v>46050</v>
      </c>
      <c r="D2015" t="n">
        <v>0</v>
      </c>
      <c r="E2015" t="inlineStr">
        <is>
          <t>VOUCHER INTEGRADO</t>
        </is>
      </c>
    </row>
    <row r="2016">
      <c r="A2016" t="n">
        <v>176</v>
      </c>
      <c r="B2016" t="inlineStr">
        <is>
          <t>The Cavern</t>
        </is>
      </c>
      <c r="C2016" s="27" t="n">
        <v>46050</v>
      </c>
      <c r="D2016" t="n">
        <v>0</v>
      </c>
      <c r="E2016" t="inlineStr">
        <is>
          <t>MBWAY</t>
        </is>
      </c>
    </row>
    <row r="2017">
      <c r="A2017" t="n">
        <v>176</v>
      </c>
      <c r="B2017" t="inlineStr">
        <is>
          <t>The Cavern</t>
        </is>
      </c>
      <c r="C2017" s="27" t="n">
        <v>46050</v>
      </c>
      <c r="D2017" t="n">
        <v>0</v>
      </c>
      <c r="E2017" t="inlineStr">
        <is>
          <t>RECARGAS DEVOLVIDAS</t>
        </is>
      </c>
    </row>
    <row r="2018">
      <c r="A2018" t="n">
        <v>176</v>
      </c>
      <c r="B2018" t="inlineStr">
        <is>
          <t>The Cavern</t>
        </is>
      </c>
      <c r="C2018" s="27" t="n">
        <v>46050</v>
      </c>
      <c r="D2018" t="n">
        <v>0</v>
      </c>
      <c r="E2018" t="inlineStr">
        <is>
          <t>VOUCHER INTEGRADO</t>
        </is>
      </c>
    </row>
    <row r="2019">
      <c r="A2019" t="n">
        <v>176</v>
      </c>
      <c r="B2019" t="inlineStr">
        <is>
          <t>The Cavern</t>
        </is>
      </c>
      <c r="C2019" s="27" t="n">
        <v>46050</v>
      </c>
      <c r="D2019" t="n">
        <v>0</v>
      </c>
      <c r="E2019" t="inlineStr">
        <is>
          <t>DINHEIRO</t>
        </is>
      </c>
    </row>
    <row r="2020">
      <c r="A2020" t="n">
        <v>176</v>
      </c>
      <c r="B2020" t="inlineStr">
        <is>
          <t>The Cavern</t>
        </is>
      </c>
      <c r="C2020" s="27" t="n">
        <v>46050</v>
      </c>
      <c r="D2020" t="n">
        <v>0</v>
      </c>
      <c r="E2020" t="inlineStr">
        <is>
          <t>APP</t>
        </is>
      </c>
    </row>
    <row r="2021">
      <c r="A2021" t="n">
        <v>176</v>
      </c>
      <c r="B2021" t="inlineStr">
        <is>
          <t>The Cavern</t>
        </is>
      </c>
      <c r="C2021" s="27" t="n">
        <v>46050</v>
      </c>
      <c r="D2021" t="n">
        <v>0</v>
      </c>
      <c r="E2021" t="inlineStr">
        <is>
          <t>DELIVERY ONLINE</t>
        </is>
      </c>
    </row>
    <row r="2022">
      <c r="A2022" t="n">
        <v>176</v>
      </c>
      <c r="B2022" t="inlineStr">
        <is>
          <t>The Cavern</t>
        </is>
      </c>
      <c r="C2022" s="27" t="n">
        <v>46050</v>
      </c>
      <c r="D2022" t="n">
        <v>0</v>
      </c>
      <c r="E2022" t="inlineStr">
        <is>
          <t>IFOOD</t>
        </is>
      </c>
    </row>
    <row r="2023">
      <c r="A2023" t="n">
        <v>176</v>
      </c>
      <c r="B2023" t="inlineStr">
        <is>
          <t>The Cavern</t>
        </is>
      </c>
      <c r="C2023" s="27" t="n">
        <v>46050</v>
      </c>
      <c r="D2023" t="n">
        <v>0</v>
      </c>
      <c r="E2023" t="inlineStr">
        <is>
          <t>PIX</t>
        </is>
      </c>
    </row>
    <row r="2024">
      <c r="A2024" t="n">
        <v>176</v>
      </c>
      <c r="B2024" t="inlineStr">
        <is>
          <t>The Cavern</t>
        </is>
      </c>
      <c r="C2024" s="27" t="n">
        <v>46050</v>
      </c>
      <c r="D2024" t="n">
        <v>0</v>
      </c>
      <c r="E2024" t="inlineStr">
        <is>
          <t>RAPPI</t>
        </is>
      </c>
    </row>
    <row r="2025">
      <c r="A2025" t="n">
        <v>176</v>
      </c>
      <c r="B2025" t="inlineStr">
        <is>
          <t>The Cavern</t>
        </is>
      </c>
      <c r="C2025" s="27" t="n">
        <v>46050</v>
      </c>
      <c r="D2025" t="n">
        <v>0</v>
      </c>
      <c r="E2025" t="inlineStr">
        <is>
          <t>UBER</t>
        </is>
      </c>
    </row>
    <row r="2026">
      <c r="A2026" t="n">
        <v>176</v>
      </c>
      <c r="B2026" t="inlineStr">
        <is>
          <t>The Cavern</t>
        </is>
      </c>
      <c r="C2026" s="27" t="n">
        <v>46050</v>
      </c>
      <c r="D2026" t="n">
        <v>0</v>
      </c>
      <c r="E2026" t="inlineStr">
        <is>
          <t>VOUCHER</t>
        </is>
      </c>
    </row>
    <row r="2027">
      <c r="A2027" t="n">
        <v>176</v>
      </c>
      <c r="B2027" t="inlineStr">
        <is>
          <t>The Cavern</t>
        </is>
      </c>
      <c r="C2027" s="27" t="n">
        <v>46050</v>
      </c>
      <c r="D2027" t="n">
        <v>0</v>
      </c>
      <c r="E2027" t="inlineStr">
        <is>
          <t>NOTAS MANUAIS + SERVIÇO</t>
        </is>
      </c>
    </row>
    <row r="2028">
      <c r="A2028" t="n">
        <v>176</v>
      </c>
      <c r="B2028" t="inlineStr">
        <is>
          <t>The Cavern</t>
        </is>
      </c>
      <c r="C2028" s="27" t="n">
        <v>46050</v>
      </c>
      <c r="D2028" t="n">
        <v>0</v>
      </c>
      <c r="E2028" t="inlineStr">
        <is>
          <t>NOTAS MANUAIS + SERVIÇO</t>
        </is>
      </c>
    </row>
    <row r="2029">
      <c r="A2029" t="n">
        <v>176</v>
      </c>
      <c r="B2029" t="inlineStr">
        <is>
          <t>The Cavern</t>
        </is>
      </c>
      <c r="C2029" s="27" t="n">
        <v>46050</v>
      </c>
      <c r="D2029" t="n">
        <v>0</v>
      </c>
      <c r="E2029" t="inlineStr">
        <is>
          <t>AME</t>
        </is>
      </c>
    </row>
    <row r="2030">
      <c r="A2030" t="n">
        <v>176</v>
      </c>
      <c r="B2030" t="inlineStr">
        <is>
          <t>The Cavern</t>
        </is>
      </c>
      <c r="C2030" s="27" t="n">
        <v>46050</v>
      </c>
      <c r="D2030" t="n">
        <v>0</v>
      </c>
      <c r="E2030" t="inlineStr">
        <is>
          <t>OUTROS</t>
        </is>
      </c>
    </row>
    <row r="2031">
      <c r="A2031" t="n">
        <v>176</v>
      </c>
      <c r="B2031" t="inlineStr">
        <is>
          <t>The Cavern</t>
        </is>
      </c>
      <c r="C2031" s="27" t="n">
        <v>46050</v>
      </c>
      <c r="D2031" t="n">
        <v>0</v>
      </c>
      <c r="E2031" t="inlineStr">
        <is>
          <t>ANTECIPADO</t>
        </is>
      </c>
    </row>
    <row r="2032">
      <c r="A2032" t="n">
        <v>176</v>
      </c>
      <c r="B2032" t="inlineStr">
        <is>
          <t>The Cavern</t>
        </is>
      </c>
      <c r="C2032" s="27" t="n">
        <v>46050</v>
      </c>
      <c r="D2032" t="n">
        <v>0</v>
      </c>
      <c r="E2032" t="inlineStr">
        <is>
          <t>BÔNUS</t>
        </is>
      </c>
    </row>
    <row r="2033">
      <c r="A2033" t="n">
        <v>176</v>
      </c>
      <c r="B2033" t="inlineStr">
        <is>
          <t>The Cavern</t>
        </is>
      </c>
      <c r="C2033" s="27" t="n">
        <v>46050</v>
      </c>
      <c r="D2033" t="n">
        <v>536.1799999999999</v>
      </c>
      <c r="E2033" t="inlineStr">
        <is>
          <t>DÉBITO</t>
        </is>
      </c>
    </row>
    <row r="2034">
      <c r="A2034" t="n">
        <v>176</v>
      </c>
      <c r="B2034" t="inlineStr">
        <is>
          <t>The Cavern</t>
        </is>
      </c>
      <c r="C2034" s="27" t="n">
        <v>46050</v>
      </c>
      <c r="D2034" t="n">
        <v>0</v>
      </c>
      <c r="E2034" t="inlineStr">
        <is>
          <t>ANTECIPADO</t>
        </is>
      </c>
    </row>
    <row r="2035">
      <c r="A2035" t="n">
        <v>176</v>
      </c>
      <c r="B2035" t="inlineStr">
        <is>
          <t>The Cavern</t>
        </is>
      </c>
      <c r="C2035" s="27" t="n">
        <v>46049</v>
      </c>
      <c r="D2035" t="n">
        <v>0</v>
      </c>
      <c r="E2035" t="inlineStr">
        <is>
          <t>MBWAY</t>
        </is>
      </c>
    </row>
    <row r="2036">
      <c r="A2036" t="n">
        <v>176</v>
      </c>
      <c r="B2036" t="inlineStr">
        <is>
          <t>The Cavern</t>
        </is>
      </c>
      <c r="C2036" s="27" t="n">
        <v>46049</v>
      </c>
      <c r="D2036" t="n">
        <v>0</v>
      </c>
      <c r="E2036" t="inlineStr">
        <is>
          <t>VOUCHER INTEGRADO</t>
        </is>
      </c>
    </row>
    <row r="2037">
      <c r="A2037" t="n">
        <v>176</v>
      </c>
      <c r="B2037" t="inlineStr">
        <is>
          <t>The Cavern</t>
        </is>
      </c>
      <c r="C2037" s="27" t="n">
        <v>46049</v>
      </c>
      <c r="D2037" t="n">
        <v>0</v>
      </c>
      <c r="E2037" t="inlineStr">
        <is>
          <t>DINHEIRO</t>
        </is>
      </c>
    </row>
    <row r="2038">
      <c r="A2038" t="n">
        <v>176</v>
      </c>
      <c r="B2038" t="inlineStr">
        <is>
          <t>The Cavern</t>
        </is>
      </c>
      <c r="C2038" s="27" t="n">
        <v>46049</v>
      </c>
      <c r="D2038" t="n">
        <v>0</v>
      </c>
      <c r="E2038" t="inlineStr">
        <is>
          <t>RECARGAS DEVOLVIDAS</t>
        </is>
      </c>
    </row>
    <row r="2039">
      <c r="A2039" t="n">
        <v>176</v>
      </c>
      <c r="B2039" t="inlineStr">
        <is>
          <t>The Cavern</t>
        </is>
      </c>
      <c r="C2039" s="27" t="n">
        <v>46049</v>
      </c>
      <c r="D2039" t="n">
        <v>0</v>
      </c>
      <c r="E2039" t="inlineStr">
        <is>
          <t>NOTAS MANUAIS + SERVIÇO</t>
        </is>
      </c>
    </row>
    <row r="2040">
      <c r="A2040" t="n">
        <v>176</v>
      </c>
      <c r="B2040" t="inlineStr">
        <is>
          <t>The Cavern</t>
        </is>
      </c>
      <c r="C2040" s="27" t="n">
        <v>46049</v>
      </c>
      <c r="D2040" t="n">
        <v>0</v>
      </c>
      <c r="E2040" t="inlineStr">
        <is>
          <t>AME</t>
        </is>
      </c>
    </row>
    <row r="2041">
      <c r="A2041" t="n">
        <v>176</v>
      </c>
      <c r="B2041" t="inlineStr">
        <is>
          <t>The Cavern</t>
        </is>
      </c>
      <c r="C2041" s="27" t="n">
        <v>46049</v>
      </c>
      <c r="D2041" t="n">
        <v>0</v>
      </c>
      <c r="E2041" t="inlineStr">
        <is>
          <t>OUTROS</t>
        </is>
      </c>
    </row>
    <row r="2042">
      <c r="A2042" t="n">
        <v>176</v>
      </c>
      <c r="B2042" t="inlineStr">
        <is>
          <t>The Cavern</t>
        </is>
      </c>
      <c r="C2042" s="27" t="n">
        <v>46049</v>
      </c>
      <c r="D2042" t="n">
        <v>0</v>
      </c>
      <c r="E2042" t="inlineStr">
        <is>
          <t>ANTECIPADO</t>
        </is>
      </c>
    </row>
    <row r="2043">
      <c r="A2043" t="n">
        <v>176</v>
      </c>
      <c r="B2043" t="inlineStr">
        <is>
          <t>The Cavern</t>
        </is>
      </c>
      <c r="C2043" s="27" t="n">
        <v>46049</v>
      </c>
      <c r="D2043" t="n">
        <v>0</v>
      </c>
      <c r="E2043" t="inlineStr">
        <is>
          <t>BÔNUS</t>
        </is>
      </c>
    </row>
    <row r="2044">
      <c r="A2044" t="n">
        <v>176</v>
      </c>
      <c r="B2044" t="inlineStr">
        <is>
          <t>The Cavern</t>
        </is>
      </c>
      <c r="C2044" s="27" t="n">
        <v>46049</v>
      </c>
      <c r="D2044" t="n">
        <v>1641.78</v>
      </c>
      <c r="E2044" t="inlineStr">
        <is>
          <t>DÉBITO</t>
        </is>
      </c>
    </row>
    <row r="2045">
      <c r="A2045" t="n">
        <v>176</v>
      </c>
      <c r="B2045" t="inlineStr">
        <is>
          <t>The Cavern</t>
        </is>
      </c>
      <c r="C2045" s="27" t="n">
        <v>46049</v>
      </c>
      <c r="D2045" t="n">
        <v>0</v>
      </c>
      <c r="E2045" t="inlineStr">
        <is>
          <t>ANTECIPADO</t>
        </is>
      </c>
    </row>
    <row r="2046">
      <c r="A2046" t="n">
        <v>176</v>
      </c>
      <c r="B2046" t="inlineStr">
        <is>
          <t>The Cavern</t>
        </is>
      </c>
      <c r="C2046" s="27" t="n">
        <v>46049</v>
      </c>
      <c r="D2046" t="n">
        <v>3383.79</v>
      </c>
      <c r="E2046" t="inlineStr">
        <is>
          <t>CRÉDITO</t>
        </is>
      </c>
    </row>
    <row r="2047">
      <c r="A2047" t="n">
        <v>176</v>
      </c>
      <c r="B2047" t="inlineStr">
        <is>
          <t>The Cavern</t>
        </is>
      </c>
      <c r="C2047" s="27" t="n">
        <v>46049</v>
      </c>
      <c r="D2047" t="n">
        <v>0</v>
      </c>
      <c r="E2047" t="inlineStr">
        <is>
          <t>APP</t>
        </is>
      </c>
    </row>
    <row r="2048">
      <c r="A2048" t="n">
        <v>176</v>
      </c>
      <c r="B2048" t="inlineStr">
        <is>
          <t>The Cavern</t>
        </is>
      </c>
      <c r="C2048" s="27" t="n">
        <v>46049</v>
      </c>
      <c r="D2048" t="n">
        <v>0</v>
      </c>
      <c r="E2048" t="inlineStr">
        <is>
          <t>DELIVERY ONLINE</t>
        </is>
      </c>
    </row>
    <row r="2049">
      <c r="A2049" t="n">
        <v>176</v>
      </c>
      <c r="B2049" t="inlineStr">
        <is>
          <t>The Cavern</t>
        </is>
      </c>
      <c r="C2049" s="27" t="n">
        <v>46049</v>
      </c>
      <c r="D2049" t="n">
        <v>0</v>
      </c>
      <c r="E2049" t="inlineStr">
        <is>
          <t>IFOOD</t>
        </is>
      </c>
    </row>
    <row r="2050">
      <c r="A2050" t="n">
        <v>176</v>
      </c>
      <c r="B2050" t="inlineStr">
        <is>
          <t>The Cavern</t>
        </is>
      </c>
      <c r="C2050" s="27" t="n">
        <v>46049</v>
      </c>
      <c r="D2050" t="n">
        <v>0</v>
      </c>
      <c r="E2050" t="inlineStr">
        <is>
          <t>PIX</t>
        </is>
      </c>
    </row>
    <row r="2051">
      <c r="A2051" t="n">
        <v>176</v>
      </c>
      <c r="B2051" t="inlineStr">
        <is>
          <t>The Cavern</t>
        </is>
      </c>
      <c r="C2051" s="27" t="n">
        <v>46049</v>
      </c>
      <c r="D2051" t="n">
        <v>0</v>
      </c>
      <c r="E2051" t="inlineStr">
        <is>
          <t>RAPPI</t>
        </is>
      </c>
    </row>
    <row r="2052">
      <c r="A2052" t="n">
        <v>176</v>
      </c>
      <c r="B2052" t="inlineStr">
        <is>
          <t>The Cavern</t>
        </is>
      </c>
      <c r="C2052" s="27" t="n">
        <v>46049</v>
      </c>
      <c r="D2052" t="n">
        <v>0</v>
      </c>
      <c r="E2052" t="inlineStr">
        <is>
          <t>UBER</t>
        </is>
      </c>
    </row>
    <row r="2053">
      <c r="A2053" t="n">
        <v>176</v>
      </c>
      <c r="B2053" t="inlineStr">
        <is>
          <t>The Cavern</t>
        </is>
      </c>
      <c r="C2053" s="27" t="n">
        <v>46049</v>
      </c>
      <c r="D2053" t="n">
        <v>0</v>
      </c>
      <c r="E2053" t="inlineStr">
        <is>
          <t>ANTECIPADO</t>
        </is>
      </c>
    </row>
    <row r="2054">
      <c r="A2054" t="n">
        <v>176</v>
      </c>
      <c r="B2054" t="inlineStr">
        <is>
          <t>The Cavern</t>
        </is>
      </c>
      <c r="C2054" s="27" t="n">
        <v>46049</v>
      </c>
      <c r="D2054" t="n">
        <v>0</v>
      </c>
      <c r="E2054" t="inlineStr">
        <is>
          <t>VOUCHER</t>
        </is>
      </c>
    </row>
    <row r="2055">
      <c r="A2055" t="n">
        <v>176</v>
      </c>
      <c r="B2055" t="inlineStr">
        <is>
          <t>The Cavern</t>
        </is>
      </c>
      <c r="C2055" s="27" t="n">
        <v>46049</v>
      </c>
      <c r="D2055" t="n">
        <v>536.1799999999999</v>
      </c>
      <c r="E2055" t="inlineStr">
        <is>
          <t>DÉBITO</t>
        </is>
      </c>
    </row>
    <row r="2056">
      <c r="A2056" t="n">
        <v>176</v>
      </c>
      <c r="B2056" t="inlineStr">
        <is>
          <t>The Cavern</t>
        </is>
      </c>
      <c r="C2056" s="27" t="n">
        <v>46049</v>
      </c>
      <c r="D2056" t="n">
        <v>0</v>
      </c>
      <c r="E2056" t="inlineStr">
        <is>
          <t>BÔNUS</t>
        </is>
      </c>
    </row>
    <row r="2057">
      <c r="A2057" t="n">
        <v>176</v>
      </c>
      <c r="B2057" t="inlineStr">
        <is>
          <t>The Cavern</t>
        </is>
      </c>
      <c r="C2057" s="27" t="n">
        <v>46049</v>
      </c>
      <c r="D2057" t="n">
        <v>0</v>
      </c>
      <c r="E2057" t="inlineStr">
        <is>
          <t>ANTECIPADO</t>
        </is>
      </c>
    </row>
    <row r="2058">
      <c r="A2058" t="n">
        <v>176</v>
      </c>
      <c r="B2058" t="inlineStr">
        <is>
          <t>The Cavern</t>
        </is>
      </c>
      <c r="C2058" s="27" t="n">
        <v>46049</v>
      </c>
      <c r="D2058" t="n">
        <v>0</v>
      </c>
      <c r="E2058" t="inlineStr">
        <is>
          <t>OUTROS</t>
        </is>
      </c>
    </row>
    <row r="2059">
      <c r="A2059" t="n">
        <v>176</v>
      </c>
      <c r="B2059" t="inlineStr">
        <is>
          <t>The Cavern</t>
        </is>
      </c>
      <c r="C2059" s="27" t="n">
        <v>46049</v>
      </c>
      <c r="D2059" t="n">
        <v>0</v>
      </c>
      <c r="E2059" t="inlineStr">
        <is>
          <t>NOTAS MANUAIS + SERVIÇO</t>
        </is>
      </c>
    </row>
    <row r="2060">
      <c r="A2060" t="n">
        <v>176</v>
      </c>
      <c r="B2060" t="inlineStr">
        <is>
          <t>The Cavern</t>
        </is>
      </c>
      <c r="C2060" s="27" t="n">
        <v>46049</v>
      </c>
      <c r="D2060" t="n">
        <v>0</v>
      </c>
      <c r="E2060" t="inlineStr">
        <is>
          <t>VOUCHER</t>
        </is>
      </c>
    </row>
    <row r="2061">
      <c r="A2061" t="n">
        <v>176</v>
      </c>
      <c r="B2061" t="inlineStr">
        <is>
          <t>The Cavern</t>
        </is>
      </c>
      <c r="C2061" s="27" t="n">
        <v>46049</v>
      </c>
      <c r="D2061" t="n">
        <v>0</v>
      </c>
      <c r="E2061" t="inlineStr">
        <is>
          <t>UBER</t>
        </is>
      </c>
    </row>
    <row r="2062">
      <c r="A2062" t="n">
        <v>176</v>
      </c>
      <c r="B2062" t="inlineStr">
        <is>
          <t>The Cavern</t>
        </is>
      </c>
      <c r="C2062" s="27" t="n">
        <v>46049</v>
      </c>
      <c r="D2062" t="n">
        <v>0</v>
      </c>
      <c r="E2062" t="inlineStr">
        <is>
          <t>RAPPI</t>
        </is>
      </c>
    </row>
    <row r="2063">
      <c r="A2063" t="n">
        <v>176</v>
      </c>
      <c r="B2063" t="inlineStr">
        <is>
          <t>The Cavern</t>
        </is>
      </c>
      <c r="C2063" s="27" t="n">
        <v>46049</v>
      </c>
      <c r="D2063" t="n">
        <v>301.35</v>
      </c>
      <c r="E2063" t="inlineStr">
        <is>
          <t>PIX</t>
        </is>
      </c>
    </row>
    <row r="2064">
      <c r="A2064" t="n">
        <v>176</v>
      </c>
      <c r="B2064" t="inlineStr">
        <is>
          <t>The Cavern</t>
        </is>
      </c>
      <c r="C2064" s="27" t="n">
        <v>46049</v>
      </c>
      <c r="D2064" t="n">
        <v>0</v>
      </c>
      <c r="E2064" t="inlineStr">
        <is>
          <t>IFOOD</t>
        </is>
      </c>
    </row>
    <row r="2065">
      <c r="A2065" t="n">
        <v>176</v>
      </c>
      <c r="B2065" t="inlineStr">
        <is>
          <t>The Cavern</t>
        </is>
      </c>
      <c r="C2065" s="27" t="n">
        <v>46049</v>
      </c>
      <c r="D2065" t="n">
        <v>0</v>
      </c>
      <c r="E2065" t="inlineStr">
        <is>
          <t>DELIVERY ONLINE</t>
        </is>
      </c>
    </row>
    <row r="2066">
      <c r="A2066" t="n">
        <v>176</v>
      </c>
      <c r="B2066" t="inlineStr">
        <is>
          <t>The Cavern</t>
        </is>
      </c>
      <c r="C2066" s="27" t="n">
        <v>46049</v>
      </c>
      <c r="D2066" t="n">
        <v>0</v>
      </c>
      <c r="E2066" t="inlineStr">
        <is>
          <t>APP</t>
        </is>
      </c>
    </row>
    <row r="2067">
      <c r="A2067" t="n">
        <v>176</v>
      </c>
      <c r="B2067" t="inlineStr">
        <is>
          <t>The Cavern</t>
        </is>
      </c>
      <c r="C2067" s="27" t="n">
        <v>46049</v>
      </c>
      <c r="D2067" t="n">
        <v>0</v>
      </c>
      <c r="E2067" t="inlineStr">
        <is>
          <t>DINHEIRO</t>
        </is>
      </c>
    </row>
    <row r="2068">
      <c r="A2068" t="n">
        <v>176</v>
      </c>
      <c r="B2068" t="inlineStr">
        <is>
          <t>The Cavern</t>
        </is>
      </c>
      <c r="C2068" s="27" t="n">
        <v>46049</v>
      </c>
      <c r="D2068" t="n">
        <v>8195.809999999999</v>
      </c>
      <c r="E2068" t="inlineStr">
        <is>
          <t>CRÉDITO</t>
        </is>
      </c>
    </row>
    <row r="2069">
      <c r="A2069" t="n">
        <v>176</v>
      </c>
      <c r="B2069" t="inlineStr">
        <is>
          <t>The Cavern</t>
        </is>
      </c>
      <c r="C2069" s="27" t="n">
        <v>46049</v>
      </c>
      <c r="D2069" t="n">
        <v>0</v>
      </c>
      <c r="E2069" t="inlineStr">
        <is>
          <t>MBWAY</t>
        </is>
      </c>
    </row>
    <row r="2070">
      <c r="A2070" t="n">
        <v>176</v>
      </c>
      <c r="B2070" t="inlineStr">
        <is>
          <t>The Cavern</t>
        </is>
      </c>
      <c r="C2070" s="27" t="n">
        <v>46049</v>
      </c>
      <c r="D2070" t="n">
        <v>0</v>
      </c>
      <c r="E2070" t="inlineStr">
        <is>
          <t>VOUCHER INTEGRADO</t>
        </is>
      </c>
    </row>
    <row r="2071">
      <c r="A2071" t="n">
        <v>176</v>
      </c>
      <c r="B2071" t="inlineStr">
        <is>
          <t>The Cavern</t>
        </is>
      </c>
      <c r="C2071" s="27" t="n">
        <v>46049</v>
      </c>
      <c r="D2071" t="n">
        <v>0</v>
      </c>
      <c r="E2071" t="inlineStr">
        <is>
          <t>RECARGAS DEVOLVIDAS</t>
        </is>
      </c>
    </row>
    <row r="2072">
      <c r="A2072" t="n">
        <v>176</v>
      </c>
      <c r="B2072" t="inlineStr">
        <is>
          <t>The Cavern</t>
        </is>
      </c>
      <c r="C2072" s="27" t="n">
        <v>46049</v>
      </c>
      <c r="D2072" t="n">
        <v>0</v>
      </c>
      <c r="E2072" t="inlineStr">
        <is>
          <t>AME</t>
        </is>
      </c>
    </row>
    <row r="2073">
      <c r="A2073" t="n">
        <v>176</v>
      </c>
      <c r="B2073" t="inlineStr">
        <is>
          <t>The Cavern</t>
        </is>
      </c>
      <c r="C2073" s="27" t="n">
        <v>46048</v>
      </c>
      <c r="D2073" t="n">
        <v>0</v>
      </c>
      <c r="E2073" t="inlineStr">
        <is>
          <t>APP</t>
        </is>
      </c>
    </row>
    <row r="2074">
      <c r="A2074" t="n">
        <v>176</v>
      </c>
      <c r="B2074" t="inlineStr">
        <is>
          <t>The Cavern</t>
        </is>
      </c>
      <c r="C2074" s="27" t="n">
        <v>46048</v>
      </c>
      <c r="D2074" t="n">
        <v>0</v>
      </c>
      <c r="E2074" t="inlineStr">
        <is>
          <t>DELIVERY ONLINE</t>
        </is>
      </c>
    </row>
    <row r="2075">
      <c r="A2075" t="n">
        <v>176</v>
      </c>
      <c r="B2075" t="inlineStr">
        <is>
          <t>The Cavern</t>
        </is>
      </c>
      <c r="C2075" s="27" t="n">
        <v>46048</v>
      </c>
      <c r="D2075" t="n">
        <v>0</v>
      </c>
      <c r="E2075" t="inlineStr">
        <is>
          <t>IFOOD</t>
        </is>
      </c>
    </row>
    <row r="2076">
      <c r="A2076" t="n">
        <v>176</v>
      </c>
      <c r="B2076" t="inlineStr">
        <is>
          <t>The Cavern</t>
        </is>
      </c>
      <c r="C2076" s="27" t="n">
        <v>46048</v>
      </c>
      <c r="D2076" t="n">
        <v>0</v>
      </c>
      <c r="E2076" t="inlineStr">
        <is>
          <t>PIX</t>
        </is>
      </c>
    </row>
    <row r="2077">
      <c r="A2077" t="n">
        <v>176</v>
      </c>
      <c r="B2077" t="inlineStr">
        <is>
          <t>The Cavern</t>
        </is>
      </c>
      <c r="C2077" s="27" t="n">
        <v>46048</v>
      </c>
      <c r="D2077" t="n">
        <v>0</v>
      </c>
      <c r="E2077" t="inlineStr">
        <is>
          <t>RAPPI</t>
        </is>
      </c>
    </row>
    <row r="2078">
      <c r="A2078" t="n">
        <v>176</v>
      </c>
      <c r="B2078" t="inlineStr">
        <is>
          <t>The Cavern</t>
        </is>
      </c>
      <c r="C2078" s="27" t="n">
        <v>46048</v>
      </c>
      <c r="D2078" t="n">
        <v>0</v>
      </c>
      <c r="E2078" t="inlineStr">
        <is>
          <t>UBER</t>
        </is>
      </c>
    </row>
    <row r="2079">
      <c r="A2079" t="n">
        <v>176</v>
      </c>
      <c r="B2079" t="inlineStr">
        <is>
          <t>The Cavern</t>
        </is>
      </c>
      <c r="C2079" s="27" t="n">
        <v>46048</v>
      </c>
      <c r="D2079" t="n">
        <v>0</v>
      </c>
      <c r="E2079" t="inlineStr">
        <is>
          <t>ANTECIPADO</t>
        </is>
      </c>
    </row>
    <row r="2080">
      <c r="A2080" t="n">
        <v>176</v>
      </c>
      <c r="B2080" t="inlineStr">
        <is>
          <t>The Cavern</t>
        </is>
      </c>
      <c r="C2080" s="27" t="n">
        <v>46048</v>
      </c>
      <c r="D2080" t="n">
        <v>0</v>
      </c>
      <c r="E2080" t="inlineStr">
        <is>
          <t>VOUCHER</t>
        </is>
      </c>
    </row>
    <row r="2081">
      <c r="A2081" t="n">
        <v>176</v>
      </c>
      <c r="B2081" t="inlineStr">
        <is>
          <t>The Cavern</t>
        </is>
      </c>
      <c r="C2081" s="27" t="n">
        <v>46048</v>
      </c>
      <c r="D2081" t="n">
        <v>142.38</v>
      </c>
      <c r="E2081" t="inlineStr">
        <is>
          <t>DÉBITO</t>
        </is>
      </c>
    </row>
    <row r="2082">
      <c r="A2082" t="n">
        <v>176</v>
      </c>
      <c r="B2082" t="inlineStr">
        <is>
          <t>The Cavern</t>
        </is>
      </c>
      <c r="C2082" s="27" t="n">
        <v>46048</v>
      </c>
      <c r="D2082" t="n">
        <v>0</v>
      </c>
      <c r="E2082" t="inlineStr">
        <is>
          <t>BÔNUS</t>
        </is>
      </c>
    </row>
    <row r="2083">
      <c r="A2083" t="n">
        <v>176</v>
      </c>
      <c r="B2083" t="inlineStr">
        <is>
          <t>The Cavern</t>
        </is>
      </c>
      <c r="C2083" s="27" t="n">
        <v>46048</v>
      </c>
      <c r="D2083" t="n">
        <v>0</v>
      </c>
      <c r="E2083" t="inlineStr">
        <is>
          <t>ANTECIPADO</t>
        </is>
      </c>
    </row>
    <row r="2084">
      <c r="A2084" t="n">
        <v>176</v>
      </c>
      <c r="B2084" t="inlineStr">
        <is>
          <t>The Cavern</t>
        </is>
      </c>
      <c r="C2084" s="27" t="n">
        <v>46048</v>
      </c>
      <c r="D2084" t="n">
        <v>0</v>
      </c>
      <c r="E2084" t="inlineStr">
        <is>
          <t>OUTROS</t>
        </is>
      </c>
    </row>
    <row r="2085">
      <c r="A2085" t="n">
        <v>176</v>
      </c>
      <c r="B2085" t="inlineStr">
        <is>
          <t>The Cavern</t>
        </is>
      </c>
      <c r="C2085" s="27" t="n">
        <v>46048</v>
      </c>
      <c r="D2085" t="n">
        <v>0</v>
      </c>
      <c r="E2085" t="inlineStr">
        <is>
          <t>AME</t>
        </is>
      </c>
    </row>
    <row r="2086">
      <c r="A2086" t="n">
        <v>176</v>
      </c>
      <c r="B2086" t="inlineStr">
        <is>
          <t>The Cavern</t>
        </is>
      </c>
      <c r="C2086" s="27" t="n">
        <v>46048</v>
      </c>
      <c r="D2086" t="n">
        <v>0</v>
      </c>
      <c r="E2086" t="inlineStr">
        <is>
          <t>NOTAS MANUAIS + SERVIÇO</t>
        </is>
      </c>
    </row>
    <row r="2087">
      <c r="A2087" t="n">
        <v>176</v>
      </c>
      <c r="B2087" t="inlineStr">
        <is>
          <t>The Cavern</t>
        </is>
      </c>
      <c r="C2087" s="27" t="n">
        <v>46048</v>
      </c>
      <c r="D2087" t="n">
        <v>0</v>
      </c>
      <c r="E2087" t="inlineStr">
        <is>
          <t>RECARGAS DEVOLVIDAS</t>
        </is>
      </c>
    </row>
    <row r="2088">
      <c r="A2088" t="n">
        <v>176</v>
      </c>
      <c r="B2088" t="inlineStr">
        <is>
          <t>The Cavern</t>
        </is>
      </c>
      <c r="C2088" s="27" t="n">
        <v>46048</v>
      </c>
      <c r="D2088" t="n">
        <v>0</v>
      </c>
      <c r="E2088" t="inlineStr">
        <is>
          <t>VOUCHER INTEGRADO</t>
        </is>
      </c>
    </row>
    <row r="2089">
      <c r="A2089" t="n">
        <v>176</v>
      </c>
      <c r="B2089" t="inlineStr">
        <is>
          <t>The Cavern</t>
        </is>
      </c>
      <c r="C2089" s="27" t="n">
        <v>46048</v>
      </c>
      <c r="D2089" t="n">
        <v>0</v>
      </c>
      <c r="E2089" t="inlineStr">
        <is>
          <t>MBWAY</t>
        </is>
      </c>
    </row>
    <row r="2090">
      <c r="A2090" t="n">
        <v>176</v>
      </c>
      <c r="B2090" t="inlineStr">
        <is>
          <t>The Cavern</t>
        </is>
      </c>
      <c r="C2090" s="27" t="n">
        <v>46048</v>
      </c>
      <c r="D2090" t="n">
        <v>659.92</v>
      </c>
      <c r="E2090" t="inlineStr">
        <is>
          <t>CRÉDITO</t>
        </is>
      </c>
    </row>
    <row r="2091">
      <c r="A2091" t="n">
        <v>176</v>
      </c>
      <c r="B2091" t="inlineStr">
        <is>
          <t>The Cavern</t>
        </is>
      </c>
      <c r="C2091" s="27" t="n">
        <v>46048</v>
      </c>
      <c r="D2091" t="n">
        <v>0</v>
      </c>
      <c r="E2091" t="inlineStr">
        <is>
          <t>DINHEIRO</t>
        </is>
      </c>
    </row>
    <row r="2092">
      <c r="A2092" t="n">
        <v>176</v>
      </c>
      <c r="B2092" t="inlineStr">
        <is>
          <t>The Cavern</t>
        </is>
      </c>
      <c r="C2092" s="27" t="n">
        <v>46048</v>
      </c>
      <c r="D2092" t="n">
        <v>1391.61</v>
      </c>
      <c r="E2092" t="inlineStr">
        <is>
          <t>CRÉDITO</t>
        </is>
      </c>
    </row>
    <row r="2093">
      <c r="A2093" t="n">
        <v>176</v>
      </c>
      <c r="B2093" t="inlineStr">
        <is>
          <t>The Cavern</t>
        </is>
      </c>
      <c r="C2093" s="27" t="n">
        <v>46048</v>
      </c>
      <c r="D2093" t="n">
        <v>0</v>
      </c>
      <c r="E2093" t="inlineStr">
        <is>
          <t>DINHEIRO</t>
        </is>
      </c>
    </row>
    <row r="2094">
      <c r="A2094" t="n">
        <v>176</v>
      </c>
      <c r="B2094" t="inlineStr">
        <is>
          <t>The Cavern</t>
        </is>
      </c>
      <c r="C2094" s="27" t="n">
        <v>46048</v>
      </c>
      <c r="D2094" t="n">
        <v>0</v>
      </c>
      <c r="E2094" t="inlineStr">
        <is>
          <t>APP</t>
        </is>
      </c>
    </row>
    <row r="2095">
      <c r="A2095" t="n">
        <v>176</v>
      </c>
      <c r="B2095" t="inlineStr">
        <is>
          <t>The Cavern</t>
        </is>
      </c>
      <c r="C2095" s="27" t="n">
        <v>46048</v>
      </c>
      <c r="D2095" t="n">
        <v>0</v>
      </c>
      <c r="E2095" t="inlineStr">
        <is>
          <t>DELIVERY ONLINE</t>
        </is>
      </c>
    </row>
    <row r="2096">
      <c r="A2096" t="n">
        <v>176</v>
      </c>
      <c r="B2096" t="inlineStr">
        <is>
          <t>The Cavern</t>
        </is>
      </c>
      <c r="C2096" s="27" t="n">
        <v>46048</v>
      </c>
      <c r="D2096" t="n">
        <v>0</v>
      </c>
      <c r="E2096" t="inlineStr">
        <is>
          <t>IFOOD</t>
        </is>
      </c>
    </row>
    <row r="2097">
      <c r="A2097" t="n">
        <v>176</v>
      </c>
      <c r="B2097" t="inlineStr">
        <is>
          <t>The Cavern</t>
        </is>
      </c>
      <c r="C2097" s="27" t="n">
        <v>46048</v>
      </c>
      <c r="D2097" t="n">
        <v>0</v>
      </c>
      <c r="E2097" t="inlineStr">
        <is>
          <t>PIX</t>
        </is>
      </c>
    </row>
    <row r="2098">
      <c r="A2098" t="n">
        <v>176</v>
      </c>
      <c r="B2098" t="inlineStr">
        <is>
          <t>The Cavern</t>
        </is>
      </c>
      <c r="C2098" s="27" t="n">
        <v>46048</v>
      </c>
      <c r="D2098" t="n">
        <v>0</v>
      </c>
      <c r="E2098" t="inlineStr">
        <is>
          <t>RAPPI</t>
        </is>
      </c>
    </row>
    <row r="2099">
      <c r="A2099" t="n">
        <v>176</v>
      </c>
      <c r="B2099" t="inlineStr">
        <is>
          <t>The Cavern</t>
        </is>
      </c>
      <c r="C2099" s="27" t="n">
        <v>46048</v>
      </c>
      <c r="D2099" t="n">
        <v>0</v>
      </c>
      <c r="E2099" t="inlineStr">
        <is>
          <t>UBER</t>
        </is>
      </c>
    </row>
    <row r="2100">
      <c r="A2100" t="n">
        <v>176</v>
      </c>
      <c r="B2100" t="inlineStr">
        <is>
          <t>The Cavern</t>
        </is>
      </c>
      <c r="C2100" s="27" t="n">
        <v>46048</v>
      </c>
      <c r="D2100" t="n">
        <v>0</v>
      </c>
      <c r="E2100" t="inlineStr">
        <is>
          <t>ANTECIPADO</t>
        </is>
      </c>
    </row>
    <row r="2101">
      <c r="A2101" t="n">
        <v>176</v>
      </c>
      <c r="B2101" t="inlineStr">
        <is>
          <t>The Cavern</t>
        </is>
      </c>
      <c r="C2101" s="27" t="n">
        <v>46048</v>
      </c>
      <c r="D2101" t="n">
        <v>0</v>
      </c>
      <c r="E2101" t="inlineStr">
        <is>
          <t>MBWAY</t>
        </is>
      </c>
    </row>
    <row r="2102">
      <c r="A2102" t="n">
        <v>176</v>
      </c>
      <c r="B2102" t="inlineStr">
        <is>
          <t>The Cavern</t>
        </is>
      </c>
      <c r="C2102" s="27" t="n">
        <v>46048</v>
      </c>
      <c r="D2102" t="n">
        <v>0</v>
      </c>
      <c r="E2102" t="inlineStr">
        <is>
          <t>VOUCHER</t>
        </is>
      </c>
    </row>
    <row r="2103">
      <c r="A2103" t="n">
        <v>176</v>
      </c>
      <c r="B2103" t="inlineStr">
        <is>
          <t>The Cavern</t>
        </is>
      </c>
      <c r="C2103" s="27" t="n">
        <v>46048</v>
      </c>
      <c r="D2103" t="n">
        <v>678.4</v>
      </c>
      <c r="E2103" t="inlineStr">
        <is>
          <t>DÉBITO</t>
        </is>
      </c>
    </row>
    <row r="2104">
      <c r="A2104" t="n">
        <v>176</v>
      </c>
      <c r="B2104" t="inlineStr">
        <is>
          <t>The Cavern</t>
        </is>
      </c>
      <c r="C2104" s="27" t="n">
        <v>46048</v>
      </c>
      <c r="D2104" t="n">
        <v>0</v>
      </c>
      <c r="E2104" t="inlineStr">
        <is>
          <t>BÔNUS</t>
        </is>
      </c>
    </row>
    <row r="2105">
      <c r="A2105" t="n">
        <v>176</v>
      </c>
      <c r="B2105" t="inlineStr">
        <is>
          <t>The Cavern</t>
        </is>
      </c>
      <c r="C2105" s="27" t="n">
        <v>46048</v>
      </c>
      <c r="D2105" t="n">
        <v>0</v>
      </c>
      <c r="E2105" t="inlineStr">
        <is>
          <t>ANTECIPADO</t>
        </is>
      </c>
    </row>
    <row r="2106">
      <c r="A2106" t="n">
        <v>176</v>
      </c>
      <c r="B2106" t="inlineStr">
        <is>
          <t>The Cavern</t>
        </is>
      </c>
      <c r="C2106" s="27" t="n">
        <v>46048</v>
      </c>
      <c r="D2106" t="n">
        <v>0</v>
      </c>
      <c r="E2106" t="inlineStr">
        <is>
          <t>OUTROS</t>
        </is>
      </c>
    </row>
    <row r="2107">
      <c r="A2107" t="n">
        <v>176</v>
      </c>
      <c r="B2107" t="inlineStr">
        <is>
          <t>The Cavern</t>
        </is>
      </c>
      <c r="C2107" s="27" t="n">
        <v>46048</v>
      </c>
      <c r="D2107" t="n">
        <v>0</v>
      </c>
      <c r="E2107" t="inlineStr">
        <is>
          <t>AME</t>
        </is>
      </c>
    </row>
    <row r="2108">
      <c r="A2108" t="n">
        <v>176</v>
      </c>
      <c r="B2108" t="inlineStr">
        <is>
          <t>The Cavern</t>
        </is>
      </c>
      <c r="C2108" s="27" t="n">
        <v>46048</v>
      </c>
      <c r="D2108" t="n">
        <v>0</v>
      </c>
      <c r="E2108" t="inlineStr">
        <is>
          <t>VOUCHER INTEGRADO</t>
        </is>
      </c>
    </row>
    <row r="2109">
      <c r="A2109" t="n">
        <v>176</v>
      </c>
      <c r="B2109" t="inlineStr">
        <is>
          <t>The Cavern</t>
        </is>
      </c>
      <c r="C2109" s="27" t="n">
        <v>46048</v>
      </c>
      <c r="D2109" t="n">
        <v>0</v>
      </c>
      <c r="E2109" t="inlineStr">
        <is>
          <t>RECARGAS DEVOLVIDAS</t>
        </is>
      </c>
    </row>
    <row r="2110">
      <c r="A2110" t="n">
        <v>176</v>
      </c>
      <c r="B2110" t="inlineStr">
        <is>
          <t>The Cavern</t>
        </is>
      </c>
      <c r="C2110" s="27" t="n">
        <v>46048</v>
      </c>
      <c r="D2110" t="n">
        <v>0</v>
      </c>
      <c r="E2110" t="inlineStr">
        <is>
          <t>NOTAS MANUAIS + SERVIÇO</t>
        </is>
      </c>
    </row>
    <row r="2111">
      <c r="A2111" t="n">
        <v>176</v>
      </c>
      <c r="B2111" t="inlineStr">
        <is>
          <t>The Cavern</t>
        </is>
      </c>
      <c r="C2111" s="27" t="n">
        <v>46047</v>
      </c>
      <c r="D2111" t="n">
        <v>0</v>
      </c>
      <c r="E2111" t="inlineStr">
        <is>
          <t>VOUCHER</t>
        </is>
      </c>
    </row>
    <row r="2112">
      <c r="A2112" t="n">
        <v>176</v>
      </c>
      <c r="B2112" t="inlineStr">
        <is>
          <t>The Cavern</t>
        </is>
      </c>
      <c r="C2112" s="27" t="n">
        <v>46047</v>
      </c>
      <c r="D2112" t="n">
        <v>0</v>
      </c>
      <c r="E2112" t="inlineStr">
        <is>
          <t>MBWAY</t>
        </is>
      </c>
    </row>
    <row r="2113">
      <c r="A2113" t="n">
        <v>176</v>
      </c>
      <c r="B2113" t="inlineStr">
        <is>
          <t>The Cavern</t>
        </is>
      </c>
      <c r="C2113" s="27" t="n">
        <v>46047</v>
      </c>
      <c r="D2113" t="n">
        <v>0</v>
      </c>
      <c r="E2113" t="inlineStr">
        <is>
          <t>VOUCHER INTEGRADO</t>
        </is>
      </c>
    </row>
    <row r="2114">
      <c r="A2114" t="n">
        <v>176</v>
      </c>
      <c r="B2114" t="inlineStr">
        <is>
          <t>The Cavern</t>
        </is>
      </c>
      <c r="C2114" s="27" t="n">
        <v>46047</v>
      </c>
      <c r="D2114" t="n">
        <v>0</v>
      </c>
      <c r="E2114" t="inlineStr">
        <is>
          <t>RECARGAS DEVOLVIDAS</t>
        </is>
      </c>
    </row>
    <row r="2115">
      <c r="A2115" t="n">
        <v>176</v>
      </c>
      <c r="B2115" t="inlineStr">
        <is>
          <t>The Cavern</t>
        </is>
      </c>
      <c r="C2115" s="27" t="n">
        <v>46047</v>
      </c>
      <c r="D2115" t="n">
        <v>0</v>
      </c>
      <c r="E2115" t="inlineStr">
        <is>
          <t>NOTAS MANUAIS + SERVIÇO</t>
        </is>
      </c>
    </row>
    <row r="2116">
      <c r="A2116" t="n">
        <v>176</v>
      </c>
      <c r="B2116" t="inlineStr">
        <is>
          <t>The Cavern</t>
        </is>
      </c>
      <c r="C2116" s="27" t="n">
        <v>46047</v>
      </c>
      <c r="D2116" t="n">
        <v>0</v>
      </c>
      <c r="E2116" t="inlineStr">
        <is>
          <t>AME</t>
        </is>
      </c>
    </row>
    <row r="2117">
      <c r="A2117" t="n">
        <v>176</v>
      </c>
      <c r="B2117" t="inlineStr">
        <is>
          <t>The Cavern</t>
        </is>
      </c>
      <c r="C2117" s="27" t="n">
        <v>46047</v>
      </c>
      <c r="D2117" t="n">
        <v>0</v>
      </c>
      <c r="E2117" t="inlineStr">
        <is>
          <t>OUTROS</t>
        </is>
      </c>
    </row>
    <row r="2118">
      <c r="A2118" t="n">
        <v>176</v>
      </c>
      <c r="B2118" t="inlineStr">
        <is>
          <t>The Cavern</t>
        </is>
      </c>
      <c r="C2118" s="27" t="n">
        <v>46047</v>
      </c>
      <c r="D2118" t="n">
        <v>0</v>
      </c>
      <c r="E2118" t="inlineStr">
        <is>
          <t>ANTECIPADO</t>
        </is>
      </c>
    </row>
    <row r="2119">
      <c r="A2119" t="n">
        <v>176</v>
      </c>
      <c r="B2119" t="inlineStr">
        <is>
          <t>The Cavern</t>
        </is>
      </c>
      <c r="C2119" s="27" t="n">
        <v>46047</v>
      </c>
      <c r="D2119" t="n">
        <v>0</v>
      </c>
      <c r="E2119" t="inlineStr">
        <is>
          <t>BÔNUS</t>
        </is>
      </c>
    </row>
    <row r="2120">
      <c r="A2120" t="n">
        <v>176</v>
      </c>
      <c r="B2120" t="inlineStr">
        <is>
          <t>The Cavern</t>
        </is>
      </c>
      <c r="C2120" s="27" t="n">
        <v>46047</v>
      </c>
      <c r="D2120" t="n">
        <v>140.68</v>
      </c>
      <c r="E2120" t="inlineStr">
        <is>
          <t>DÉBITO</t>
        </is>
      </c>
    </row>
    <row r="2121">
      <c r="A2121" t="n">
        <v>176</v>
      </c>
      <c r="B2121" t="inlineStr">
        <is>
          <t>The Cavern</t>
        </is>
      </c>
      <c r="C2121" s="27" t="n">
        <v>46047</v>
      </c>
      <c r="D2121" t="n">
        <v>0</v>
      </c>
      <c r="E2121" t="inlineStr">
        <is>
          <t>MBWAY</t>
        </is>
      </c>
    </row>
    <row r="2122">
      <c r="A2122" t="n">
        <v>176</v>
      </c>
      <c r="B2122" t="inlineStr">
        <is>
          <t>The Cavern</t>
        </is>
      </c>
      <c r="C2122" s="27" t="n">
        <v>46047</v>
      </c>
      <c r="D2122" t="n">
        <v>0</v>
      </c>
      <c r="E2122" t="inlineStr">
        <is>
          <t>ANTECIPADO</t>
        </is>
      </c>
    </row>
    <row r="2123">
      <c r="A2123" t="n">
        <v>176</v>
      </c>
      <c r="B2123" t="inlineStr">
        <is>
          <t>The Cavern</t>
        </is>
      </c>
      <c r="C2123" s="27" t="n">
        <v>46047</v>
      </c>
      <c r="D2123" t="n">
        <v>0</v>
      </c>
      <c r="E2123" t="inlineStr">
        <is>
          <t>UBER</t>
        </is>
      </c>
    </row>
    <row r="2124">
      <c r="A2124" t="n">
        <v>176</v>
      </c>
      <c r="B2124" t="inlineStr">
        <is>
          <t>The Cavern</t>
        </is>
      </c>
      <c r="C2124" s="27" t="n">
        <v>46047</v>
      </c>
      <c r="D2124" t="n">
        <v>0</v>
      </c>
      <c r="E2124" t="inlineStr">
        <is>
          <t>RAPPI</t>
        </is>
      </c>
    </row>
    <row r="2125">
      <c r="A2125" t="n">
        <v>176</v>
      </c>
      <c r="B2125" t="inlineStr">
        <is>
          <t>The Cavern</t>
        </is>
      </c>
      <c r="C2125" s="27" t="n">
        <v>46047</v>
      </c>
      <c r="D2125" t="n">
        <v>0</v>
      </c>
      <c r="E2125" t="inlineStr">
        <is>
          <t>PIX</t>
        </is>
      </c>
    </row>
    <row r="2126">
      <c r="A2126" t="n">
        <v>176</v>
      </c>
      <c r="B2126" t="inlineStr">
        <is>
          <t>The Cavern</t>
        </is>
      </c>
      <c r="C2126" s="27" t="n">
        <v>46047</v>
      </c>
      <c r="D2126" t="n">
        <v>0</v>
      </c>
      <c r="E2126" t="inlineStr">
        <is>
          <t>IFOOD</t>
        </is>
      </c>
    </row>
    <row r="2127">
      <c r="A2127" t="n">
        <v>176</v>
      </c>
      <c r="B2127" t="inlineStr">
        <is>
          <t>The Cavern</t>
        </is>
      </c>
      <c r="C2127" s="27" t="n">
        <v>46047</v>
      </c>
      <c r="D2127" t="n">
        <v>0</v>
      </c>
      <c r="E2127" t="inlineStr">
        <is>
          <t>DELIVERY ONLINE</t>
        </is>
      </c>
    </row>
    <row r="2128">
      <c r="A2128" t="n">
        <v>176</v>
      </c>
      <c r="B2128" t="inlineStr">
        <is>
          <t>The Cavern</t>
        </is>
      </c>
      <c r="C2128" s="27" t="n">
        <v>46047</v>
      </c>
      <c r="D2128" t="n">
        <v>0</v>
      </c>
      <c r="E2128" t="inlineStr">
        <is>
          <t>APP</t>
        </is>
      </c>
    </row>
    <row r="2129">
      <c r="A2129" t="n">
        <v>176</v>
      </c>
      <c r="B2129" t="inlineStr">
        <is>
          <t>The Cavern</t>
        </is>
      </c>
      <c r="C2129" s="27" t="n">
        <v>46047</v>
      </c>
      <c r="D2129" t="n">
        <v>111.08</v>
      </c>
      <c r="E2129" t="inlineStr">
        <is>
          <t>DINHEIRO</t>
        </is>
      </c>
    </row>
    <row r="2130">
      <c r="A2130" t="n">
        <v>176</v>
      </c>
      <c r="B2130" t="inlineStr">
        <is>
          <t>The Cavern</t>
        </is>
      </c>
      <c r="C2130" s="27" t="n">
        <v>46047</v>
      </c>
      <c r="D2130" t="n">
        <v>1158.25</v>
      </c>
      <c r="E2130" t="inlineStr">
        <is>
          <t>CRÉDITO</t>
        </is>
      </c>
    </row>
    <row r="2131">
      <c r="A2131" t="n">
        <v>176</v>
      </c>
      <c r="B2131" t="inlineStr">
        <is>
          <t>The Cavern</t>
        </is>
      </c>
      <c r="C2131" s="27" t="n">
        <v>46047</v>
      </c>
      <c r="D2131" t="n">
        <v>0</v>
      </c>
      <c r="E2131" t="inlineStr">
        <is>
          <t>DINHEIRO</t>
        </is>
      </c>
    </row>
    <row r="2132">
      <c r="A2132" t="n">
        <v>176</v>
      </c>
      <c r="B2132" t="inlineStr">
        <is>
          <t>The Cavern</t>
        </is>
      </c>
      <c r="C2132" s="27" t="n">
        <v>46047</v>
      </c>
      <c r="D2132" t="n">
        <v>0</v>
      </c>
      <c r="E2132" t="inlineStr">
        <is>
          <t>VOUCHER INTEGRADO</t>
        </is>
      </c>
    </row>
    <row r="2133">
      <c r="A2133" t="n">
        <v>176</v>
      </c>
      <c r="B2133" t="inlineStr">
        <is>
          <t>The Cavern</t>
        </is>
      </c>
      <c r="C2133" s="27" t="n">
        <v>46047</v>
      </c>
      <c r="D2133" t="n">
        <v>0</v>
      </c>
      <c r="E2133" t="inlineStr">
        <is>
          <t>RECARGAS DEVOLVIDAS</t>
        </is>
      </c>
    </row>
    <row r="2134">
      <c r="A2134" t="n">
        <v>176</v>
      </c>
      <c r="B2134" t="inlineStr">
        <is>
          <t>The Cavern</t>
        </is>
      </c>
      <c r="C2134" s="27" t="n">
        <v>46047</v>
      </c>
      <c r="D2134" t="n">
        <v>0</v>
      </c>
      <c r="E2134" t="inlineStr">
        <is>
          <t>NOTAS MANUAIS + SERVIÇO</t>
        </is>
      </c>
    </row>
    <row r="2135">
      <c r="A2135" t="n">
        <v>176</v>
      </c>
      <c r="B2135" t="inlineStr">
        <is>
          <t>The Cavern</t>
        </is>
      </c>
      <c r="C2135" s="27" t="n">
        <v>46047</v>
      </c>
      <c r="D2135" t="n">
        <v>0</v>
      </c>
      <c r="E2135" t="inlineStr">
        <is>
          <t>AME</t>
        </is>
      </c>
    </row>
    <row r="2136">
      <c r="A2136" t="n">
        <v>176</v>
      </c>
      <c r="B2136" t="inlineStr">
        <is>
          <t>The Cavern</t>
        </is>
      </c>
      <c r="C2136" s="27" t="n">
        <v>46047</v>
      </c>
      <c r="D2136" t="n">
        <v>0</v>
      </c>
      <c r="E2136" t="inlineStr">
        <is>
          <t>OUTROS</t>
        </is>
      </c>
    </row>
    <row r="2137">
      <c r="A2137" t="n">
        <v>176</v>
      </c>
      <c r="B2137" t="inlineStr">
        <is>
          <t>The Cavern</t>
        </is>
      </c>
      <c r="C2137" s="27" t="n">
        <v>46047</v>
      </c>
      <c r="D2137" t="n">
        <v>0</v>
      </c>
      <c r="E2137" t="inlineStr">
        <is>
          <t>ANTECIPADO</t>
        </is>
      </c>
    </row>
    <row r="2138">
      <c r="A2138" t="n">
        <v>176</v>
      </c>
      <c r="B2138" t="inlineStr">
        <is>
          <t>The Cavern</t>
        </is>
      </c>
      <c r="C2138" s="27" t="n">
        <v>46047</v>
      </c>
      <c r="D2138" t="n">
        <v>0</v>
      </c>
      <c r="E2138" t="inlineStr">
        <is>
          <t>BÔNUS</t>
        </is>
      </c>
    </row>
    <row r="2139">
      <c r="A2139" t="n">
        <v>176</v>
      </c>
      <c r="B2139" t="inlineStr">
        <is>
          <t>The Cavern</t>
        </is>
      </c>
      <c r="C2139" s="27" t="n">
        <v>46047</v>
      </c>
      <c r="D2139" t="n">
        <v>320.92</v>
      </c>
      <c r="E2139" t="inlineStr">
        <is>
          <t>DÉBITO</t>
        </is>
      </c>
    </row>
    <row r="2140">
      <c r="A2140" t="n">
        <v>176</v>
      </c>
      <c r="B2140" t="inlineStr">
        <is>
          <t>The Cavern</t>
        </is>
      </c>
      <c r="C2140" s="27" t="n">
        <v>46047</v>
      </c>
      <c r="D2140" t="n">
        <v>0</v>
      </c>
      <c r="E2140" t="inlineStr">
        <is>
          <t>ANTECIPADO</t>
        </is>
      </c>
    </row>
    <row r="2141">
      <c r="A2141" t="n">
        <v>176</v>
      </c>
      <c r="B2141" t="inlineStr">
        <is>
          <t>The Cavern</t>
        </is>
      </c>
      <c r="C2141" s="27" t="n">
        <v>46047</v>
      </c>
      <c r="D2141" t="n">
        <v>1056.81</v>
      </c>
      <c r="E2141" t="inlineStr">
        <is>
          <t>CRÉDITO</t>
        </is>
      </c>
    </row>
    <row r="2142">
      <c r="A2142" t="n">
        <v>176</v>
      </c>
      <c r="B2142" t="inlineStr">
        <is>
          <t>The Cavern</t>
        </is>
      </c>
      <c r="C2142" s="27" t="n">
        <v>46047</v>
      </c>
      <c r="D2142" t="n">
        <v>2</v>
      </c>
      <c r="E2142" t="inlineStr">
        <is>
          <t>APP</t>
        </is>
      </c>
    </row>
    <row r="2143">
      <c r="A2143" t="n">
        <v>176</v>
      </c>
      <c r="B2143" t="inlineStr">
        <is>
          <t>The Cavern</t>
        </is>
      </c>
      <c r="C2143" s="27" t="n">
        <v>46047</v>
      </c>
      <c r="D2143" t="n">
        <v>0</v>
      </c>
      <c r="E2143" t="inlineStr">
        <is>
          <t>DELIVERY ONLINE</t>
        </is>
      </c>
    </row>
    <row r="2144">
      <c r="A2144" t="n">
        <v>176</v>
      </c>
      <c r="B2144" t="inlineStr">
        <is>
          <t>The Cavern</t>
        </is>
      </c>
      <c r="C2144" s="27" t="n">
        <v>46047</v>
      </c>
      <c r="D2144" t="n">
        <v>0</v>
      </c>
      <c r="E2144" t="inlineStr">
        <is>
          <t>IFOOD</t>
        </is>
      </c>
    </row>
    <row r="2145">
      <c r="A2145" t="n">
        <v>176</v>
      </c>
      <c r="B2145" t="inlineStr">
        <is>
          <t>The Cavern</t>
        </is>
      </c>
      <c r="C2145" s="27" t="n">
        <v>46047</v>
      </c>
      <c r="D2145" t="n">
        <v>0</v>
      </c>
      <c r="E2145" t="inlineStr">
        <is>
          <t>PIX</t>
        </is>
      </c>
    </row>
    <row r="2146">
      <c r="A2146" t="n">
        <v>176</v>
      </c>
      <c r="B2146" t="inlineStr">
        <is>
          <t>The Cavern</t>
        </is>
      </c>
      <c r="C2146" s="27" t="n">
        <v>46047</v>
      </c>
      <c r="D2146" t="n">
        <v>0</v>
      </c>
      <c r="E2146" t="inlineStr">
        <is>
          <t>RAPPI</t>
        </is>
      </c>
    </row>
    <row r="2147">
      <c r="A2147" t="n">
        <v>176</v>
      </c>
      <c r="B2147" t="inlineStr">
        <is>
          <t>The Cavern</t>
        </is>
      </c>
      <c r="C2147" s="27" t="n">
        <v>46047</v>
      </c>
      <c r="D2147" t="n">
        <v>0</v>
      </c>
      <c r="E2147" t="inlineStr">
        <is>
          <t>UBER</t>
        </is>
      </c>
    </row>
    <row r="2148">
      <c r="A2148" t="n">
        <v>176</v>
      </c>
      <c r="B2148" t="inlineStr">
        <is>
          <t>The Cavern</t>
        </is>
      </c>
      <c r="C2148" s="27" t="n">
        <v>46047</v>
      </c>
      <c r="D2148" t="n">
        <v>0</v>
      </c>
      <c r="E2148" t="inlineStr">
        <is>
          <t>VOUCHER</t>
        </is>
      </c>
    </row>
    <row r="2149">
      <c r="A2149" t="n">
        <v>176</v>
      </c>
      <c r="B2149" t="inlineStr">
        <is>
          <t>The Cavern</t>
        </is>
      </c>
      <c r="C2149" s="27" t="n">
        <v>46046</v>
      </c>
      <c r="D2149" t="n">
        <v>160</v>
      </c>
      <c r="E2149" t="inlineStr">
        <is>
          <t>DINHEIRO</t>
        </is>
      </c>
    </row>
    <row r="2150">
      <c r="A2150" t="n">
        <v>176</v>
      </c>
      <c r="B2150" t="inlineStr">
        <is>
          <t>The Cavern</t>
        </is>
      </c>
      <c r="C2150" s="27" t="n">
        <v>46046</v>
      </c>
      <c r="D2150" t="n">
        <v>0</v>
      </c>
      <c r="E2150" t="inlineStr">
        <is>
          <t>MBWAY</t>
        </is>
      </c>
    </row>
    <row r="2151">
      <c r="A2151" t="n">
        <v>176</v>
      </c>
      <c r="B2151" t="inlineStr">
        <is>
          <t>The Cavern</t>
        </is>
      </c>
      <c r="C2151" s="27" t="n">
        <v>46046</v>
      </c>
      <c r="D2151" t="n">
        <v>0</v>
      </c>
      <c r="E2151" t="inlineStr">
        <is>
          <t>VOUCHER INTEGRADO</t>
        </is>
      </c>
    </row>
    <row r="2152">
      <c r="A2152" t="n">
        <v>176</v>
      </c>
      <c r="B2152" t="inlineStr">
        <is>
          <t>The Cavern</t>
        </is>
      </c>
      <c r="C2152" s="27" t="n">
        <v>46046</v>
      </c>
      <c r="D2152" t="n">
        <v>0</v>
      </c>
      <c r="E2152" t="inlineStr">
        <is>
          <t>RECARGAS DEVOLVIDAS</t>
        </is>
      </c>
    </row>
    <row r="2153">
      <c r="A2153" t="n">
        <v>176</v>
      </c>
      <c r="B2153" t="inlineStr">
        <is>
          <t>The Cavern</t>
        </is>
      </c>
      <c r="C2153" s="27" t="n">
        <v>46046</v>
      </c>
      <c r="D2153" t="n">
        <v>0</v>
      </c>
      <c r="E2153" t="inlineStr">
        <is>
          <t>NOTAS MANUAIS + SERVIÇO</t>
        </is>
      </c>
    </row>
    <row r="2154">
      <c r="A2154" t="n">
        <v>176</v>
      </c>
      <c r="B2154" t="inlineStr">
        <is>
          <t>The Cavern</t>
        </is>
      </c>
      <c r="C2154" s="27" t="n">
        <v>46046</v>
      </c>
      <c r="D2154" t="n">
        <v>0</v>
      </c>
      <c r="E2154" t="inlineStr">
        <is>
          <t>AME</t>
        </is>
      </c>
    </row>
    <row r="2155">
      <c r="A2155" t="n">
        <v>176</v>
      </c>
      <c r="B2155" t="inlineStr">
        <is>
          <t>The Cavern</t>
        </is>
      </c>
      <c r="C2155" s="27" t="n">
        <v>46046</v>
      </c>
      <c r="D2155" t="n">
        <v>0</v>
      </c>
      <c r="E2155" t="inlineStr">
        <is>
          <t>OUTROS</t>
        </is>
      </c>
    </row>
    <row r="2156">
      <c r="A2156" t="n">
        <v>176</v>
      </c>
      <c r="B2156" t="inlineStr">
        <is>
          <t>The Cavern</t>
        </is>
      </c>
      <c r="C2156" s="27" t="n">
        <v>46046</v>
      </c>
      <c r="D2156" t="n">
        <v>0</v>
      </c>
      <c r="E2156" t="inlineStr">
        <is>
          <t>ANTECIPADO</t>
        </is>
      </c>
    </row>
    <row r="2157">
      <c r="A2157" t="n">
        <v>176</v>
      </c>
      <c r="B2157" t="inlineStr">
        <is>
          <t>The Cavern</t>
        </is>
      </c>
      <c r="C2157" s="27" t="n">
        <v>46046</v>
      </c>
      <c r="D2157" t="n">
        <v>377.42</v>
      </c>
      <c r="E2157" t="inlineStr">
        <is>
          <t>DÉBITO</t>
        </is>
      </c>
    </row>
    <row r="2158">
      <c r="A2158" t="n">
        <v>176</v>
      </c>
      <c r="B2158" t="inlineStr">
        <is>
          <t>The Cavern</t>
        </is>
      </c>
      <c r="C2158" s="27" t="n">
        <v>46046</v>
      </c>
      <c r="D2158" t="n">
        <v>0</v>
      </c>
      <c r="E2158" t="inlineStr">
        <is>
          <t>BÔNUS</t>
        </is>
      </c>
    </row>
    <row r="2159">
      <c r="A2159" t="n">
        <v>176</v>
      </c>
      <c r="B2159" t="inlineStr">
        <is>
          <t>The Cavern</t>
        </is>
      </c>
      <c r="C2159" s="27" t="n">
        <v>46046</v>
      </c>
      <c r="D2159" t="n">
        <v>1487.64</v>
      </c>
      <c r="E2159" t="inlineStr">
        <is>
          <t>CRÉDITO</t>
        </is>
      </c>
    </row>
    <row r="2160">
      <c r="A2160" t="n">
        <v>176</v>
      </c>
      <c r="B2160" t="inlineStr">
        <is>
          <t>The Cavern</t>
        </is>
      </c>
      <c r="C2160" s="27" t="n">
        <v>46046</v>
      </c>
      <c r="D2160" t="n">
        <v>0</v>
      </c>
      <c r="E2160" t="inlineStr">
        <is>
          <t>DELIVERY ONLINE</t>
        </is>
      </c>
    </row>
    <row r="2161">
      <c r="A2161" t="n">
        <v>176</v>
      </c>
      <c r="B2161" t="inlineStr">
        <is>
          <t>The Cavern</t>
        </is>
      </c>
      <c r="C2161" s="27" t="n">
        <v>46046</v>
      </c>
      <c r="D2161" t="n">
        <v>0</v>
      </c>
      <c r="E2161" t="inlineStr">
        <is>
          <t>APP</t>
        </is>
      </c>
    </row>
    <row r="2162">
      <c r="A2162" t="n">
        <v>176</v>
      </c>
      <c r="B2162" t="inlineStr">
        <is>
          <t>The Cavern</t>
        </is>
      </c>
      <c r="C2162" s="27" t="n">
        <v>46046</v>
      </c>
      <c r="D2162" t="n">
        <v>0</v>
      </c>
      <c r="E2162" t="inlineStr">
        <is>
          <t>IFOOD</t>
        </is>
      </c>
    </row>
    <row r="2163">
      <c r="A2163" t="n">
        <v>176</v>
      </c>
      <c r="B2163" t="inlineStr">
        <is>
          <t>The Cavern</t>
        </is>
      </c>
      <c r="C2163" s="27" t="n">
        <v>46046</v>
      </c>
      <c r="D2163" t="n">
        <v>367.25</v>
      </c>
      <c r="E2163" t="inlineStr">
        <is>
          <t>PIX</t>
        </is>
      </c>
    </row>
    <row r="2164">
      <c r="A2164" t="n">
        <v>176</v>
      </c>
      <c r="B2164" t="inlineStr">
        <is>
          <t>The Cavern</t>
        </is>
      </c>
      <c r="C2164" s="27" t="n">
        <v>46046</v>
      </c>
      <c r="D2164" t="n">
        <v>0</v>
      </c>
      <c r="E2164" t="inlineStr">
        <is>
          <t>RAPPI</t>
        </is>
      </c>
    </row>
    <row r="2165">
      <c r="A2165" t="n">
        <v>176</v>
      </c>
      <c r="B2165" t="inlineStr">
        <is>
          <t>The Cavern</t>
        </is>
      </c>
      <c r="C2165" s="27" t="n">
        <v>46046</v>
      </c>
      <c r="D2165" t="n">
        <v>0</v>
      </c>
      <c r="E2165" t="inlineStr">
        <is>
          <t>UBER</t>
        </is>
      </c>
    </row>
    <row r="2166">
      <c r="A2166" t="n">
        <v>176</v>
      </c>
      <c r="B2166" t="inlineStr">
        <is>
          <t>The Cavern</t>
        </is>
      </c>
      <c r="C2166" s="27" t="n">
        <v>46046</v>
      </c>
      <c r="D2166" t="n">
        <v>0</v>
      </c>
      <c r="E2166" t="inlineStr">
        <is>
          <t>ANTECIPADO</t>
        </is>
      </c>
    </row>
    <row r="2167">
      <c r="A2167" t="n">
        <v>176</v>
      </c>
      <c r="B2167" t="inlineStr">
        <is>
          <t>The Cavern</t>
        </is>
      </c>
      <c r="C2167" s="27" t="n">
        <v>46046</v>
      </c>
      <c r="D2167" t="n">
        <v>0</v>
      </c>
      <c r="E2167" t="inlineStr">
        <is>
          <t>VOUCHER</t>
        </is>
      </c>
    </row>
    <row r="2168">
      <c r="A2168" t="n">
        <v>176</v>
      </c>
      <c r="B2168" t="inlineStr">
        <is>
          <t>The Cavern</t>
        </is>
      </c>
      <c r="C2168" s="27" t="n">
        <v>46046</v>
      </c>
      <c r="D2168" t="n">
        <v>0</v>
      </c>
      <c r="E2168" t="inlineStr">
        <is>
          <t>VOUCHER</t>
        </is>
      </c>
    </row>
    <row r="2169">
      <c r="A2169" t="n">
        <v>176</v>
      </c>
      <c r="B2169" t="inlineStr">
        <is>
          <t>The Cavern</t>
        </is>
      </c>
      <c r="C2169" s="27" t="n">
        <v>46046</v>
      </c>
      <c r="D2169" t="n">
        <v>3185.95</v>
      </c>
      <c r="E2169" t="inlineStr">
        <is>
          <t>CRÉDITO</t>
        </is>
      </c>
    </row>
    <row r="2170">
      <c r="A2170" t="n">
        <v>176</v>
      </c>
      <c r="B2170" t="inlineStr">
        <is>
          <t>The Cavern</t>
        </is>
      </c>
      <c r="C2170" s="27" t="n">
        <v>46046</v>
      </c>
      <c r="D2170" t="n">
        <v>0</v>
      </c>
      <c r="E2170" t="inlineStr">
        <is>
          <t>DINHEIRO</t>
        </is>
      </c>
    </row>
    <row r="2171">
      <c r="A2171" t="n">
        <v>176</v>
      </c>
      <c r="B2171" t="inlineStr">
        <is>
          <t>The Cavern</t>
        </is>
      </c>
      <c r="C2171" s="27" t="n">
        <v>46046</v>
      </c>
      <c r="D2171" t="n">
        <v>0</v>
      </c>
      <c r="E2171" t="inlineStr">
        <is>
          <t>DELIVERY ONLINE</t>
        </is>
      </c>
    </row>
    <row r="2172">
      <c r="A2172" t="n">
        <v>176</v>
      </c>
      <c r="B2172" t="inlineStr">
        <is>
          <t>The Cavern</t>
        </is>
      </c>
      <c r="C2172" s="27" t="n">
        <v>46046</v>
      </c>
      <c r="D2172" t="n">
        <v>0</v>
      </c>
      <c r="E2172" t="inlineStr">
        <is>
          <t>MBWAY</t>
        </is>
      </c>
    </row>
    <row r="2173">
      <c r="A2173" t="n">
        <v>176</v>
      </c>
      <c r="B2173" t="inlineStr">
        <is>
          <t>The Cavern</t>
        </is>
      </c>
      <c r="C2173" s="27" t="n">
        <v>46046</v>
      </c>
      <c r="D2173" t="n">
        <v>0</v>
      </c>
      <c r="E2173" t="inlineStr">
        <is>
          <t>VOUCHER INTEGRADO</t>
        </is>
      </c>
    </row>
    <row r="2174">
      <c r="A2174" t="n">
        <v>176</v>
      </c>
      <c r="B2174" t="inlineStr">
        <is>
          <t>The Cavern</t>
        </is>
      </c>
      <c r="C2174" s="27" t="n">
        <v>46046</v>
      </c>
      <c r="D2174" t="n">
        <v>0</v>
      </c>
      <c r="E2174" t="inlineStr">
        <is>
          <t>RECARGAS DEVOLVIDAS</t>
        </is>
      </c>
    </row>
    <row r="2175">
      <c r="A2175" t="n">
        <v>176</v>
      </c>
      <c r="B2175" t="inlineStr">
        <is>
          <t>The Cavern</t>
        </is>
      </c>
      <c r="C2175" s="27" t="n">
        <v>46046</v>
      </c>
      <c r="D2175" t="n">
        <v>0</v>
      </c>
      <c r="E2175" t="inlineStr">
        <is>
          <t>NOTAS MANUAIS + SERVIÇO</t>
        </is>
      </c>
    </row>
    <row r="2176">
      <c r="A2176" t="n">
        <v>176</v>
      </c>
      <c r="B2176" t="inlineStr">
        <is>
          <t>The Cavern</t>
        </is>
      </c>
      <c r="C2176" s="27" t="n">
        <v>46046</v>
      </c>
      <c r="D2176" t="n">
        <v>0</v>
      </c>
      <c r="E2176" t="inlineStr">
        <is>
          <t>AME</t>
        </is>
      </c>
    </row>
    <row r="2177">
      <c r="A2177" t="n">
        <v>176</v>
      </c>
      <c r="B2177" t="inlineStr">
        <is>
          <t>The Cavern</t>
        </is>
      </c>
      <c r="C2177" s="27" t="n">
        <v>46046</v>
      </c>
      <c r="D2177" t="n">
        <v>0</v>
      </c>
      <c r="E2177" t="inlineStr">
        <is>
          <t>OUTROS</t>
        </is>
      </c>
    </row>
    <row r="2178">
      <c r="A2178" t="n">
        <v>176</v>
      </c>
      <c r="B2178" t="inlineStr">
        <is>
          <t>The Cavern</t>
        </is>
      </c>
      <c r="C2178" s="27" t="n">
        <v>46046</v>
      </c>
      <c r="D2178" t="n">
        <v>0</v>
      </c>
      <c r="E2178" t="inlineStr">
        <is>
          <t>ANTECIPADO</t>
        </is>
      </c>
    </row>
    <row r="2179">
      <c r="A2179" t="n">
        <v>176</v>
      </c>
      <c r="B2179" t="inlineStr">
        <is>
          <t>The Cavern</t>
        </is>
      </c>
      <c r="C2179" s="27" t="n">
        <v>46046</v>
      </c>
      <c r="D2179" t="n">
        <v>198</v>
      </c>
      <c r="E2179" t="inlineStr">
        <is>
          <t>BÔNUS</t>
        </is>
      </c>
    </row>
    <row r="2180">
      <c r="A2180" t="n">
        <v>176</v>
      </c>
      <c r="B2180" t="inlineStr">
        <is>
          <t>The Cavern</t>
        </is>
      </c>
      <c r="C2180" s="27" t="n">
        <v>46046</v>
      </c>
      <c r="D2180" t="n">
        <v>853.15</v>
      </c>
      <c r="E2180" t="inlineStr">
        <is>
          <t>DÉBITO</t>
        </is>
      </c>
    </row>
    <row r="2181">
      <c r="A2181" t="n">
        <v>176</v>
      </c>
      <c r="B2181" t="inlineStr">
        <is>
          <t>The Cavern</t>
        </is>
      </c>
      <c r="C2181" s="27" t="n">
        <v>46046</v>
      </c>
      <c r="D2181" t="n">
        <v>0</v>
      </c>
      <c r="E2181" t="inlineStr">
        <is>
          <t>ANTECIPADO</t>
        </is>
      </c>
    </row>
    <row r="2182">
      <c r="A2182" t="n">
        <v>176</v>
      </c>
      <c r="B2182" t="inlineStr">
        <is>
          <t>The Cavern</t>
        </is>
      </c>
      <c r="C2182" s="27" t="n">
        <v>46046</v>
      </c>
      <c r="D2182" t="n">
        <v>0</v>
      </c>
      <c r="E2182" t="inlineStr">
        <is>
          <t>UBER</t>
        </is>
      </c>
    </row>
    <row r="2183">
      <c r="A2183" t="n">
        <v>176</v>
      </c>
      <c r="B2183" t="inlineStr">
        <is>
          <t>The Cavern</t>
        </is>
      </c>
      <c r="C2183" s="27" t="n">
        <v>46046</v>
      </c>
      <c r="D2183" t="n">
        <v>0</v>
      </c>
      <c r="E2183" t="inlineStr">
        <is>
          <t>RAPPI</t>
        </is>
      </c>
    </row>
    <row r="2184">
      <c r="A2184" t="n">
        <v>176</v>
      </c>
      <c r="B2184" t="inlineStr">
        <is>
          <t>The Cavern</t>
        </is>
      </c>
      <c r="C2184" s="27" t="n">
        <v>46046</v>
      </c>
      <c r="D2184" t="n">
        <v>153.68</v>
      </c>
      <c r="E2184" t="inlineStr">
        <is>
          <t>PIX</t>
        </is>
      </c>
    </row>
    <row r="2185">
      <c r="A2185" t="n">
        <v>176</v>
      </c>
      <c r="B2185" t="inlineStr">
        <is>
          <t>The Cavern</t>
        </is>
      </c>
      <c r="C2185" s="27" t="n">
        <v>46046</v>
      </c>
      <c r="D2185" t="n">
        <v>0</v>
      </c>
      <c r="E2185" t="inlineStr">
        <is>
          <t>IFOOD</t>
        </is>
      </c>
    </row>
    <row r="2186">
      <c r="A2186" t="n">
        <v>176</v>
      </c>
      <c r="B2186" t="inlineStr">
        <is>
          <t>The Cavern</t>
        </is>
      </c>
      <c r="C2186" s="27" t="n">
        <v>46046</v>
      </c>
      <c r="D2186" t="n">
        <v>0</v>
      </c>
      <c r="E2186" t="inlineStr">
        <is>
          <t>APP</t>
        </is>
      </c>
    </row>
    <row r="2187">
      <c r="A2187" t="n">
        <v>176</v>
      </c>
      <c r="B2187" t="inlineStr">
        <is>
          <t>The Cavern</t>
        </is>
      </c>
      <c r="C2187" s="27" t="n">
        <v>46045</v>
      </c>
      <c r="D2187" t="n">
        <v>0</v>
      </c>
      <c r="E2187" t="inlineStr">
        <is>
          <t>BÔNUS</t>
        </is>
      </c>
    </row>
    <row r="2188">
      <c r="A2188" t="n">
        <v>176</v>
      </c>
      <c r="B2188" t="inlineStr">
        <is>
          <t>The Cavern</t>
        </is>
      </c>
      <c r="C2188" s="27" t="n">
        <v>46045</v>
      </c>
      <c r="D2188" t="n">
        <v>3826.88</v>
      </c>
      <c r="E2188" t="inlineStr">
        <is>
          <t>CRÉDITO</t>
        </is>
      </c>
    </row>
    <row r="2189">
      <c r="A2189" t="n">
        <v>176</v>
      </c>
      <c r="B2189" t="inlineStr">
        <is>
          <t>The Cavern</t>
        </is>
      </c>
      <c r="C2189" s="27" t="n">
        <v>46045</v>
      </c>
      <c r="D2189" t="n">
        <v>0</v>
      </c>
      <c r="E2189" t="inlineStr">
        <is>
          <t>DINHEIRO</t>
        </is>
      </c>
    </row>
    <row r="2190">
      <c r="A2190" t="n">
        <v>176</v>
      </c>
      <c r="B2190" t="inlineStr">
        <is>
          <t>The Cavern</t>
        </is>
      </c>
      <c r="C2190" s="27" t="n">
        <v>46045</v>
      </c>
      <c r="D2190" t="n">
        <v>0</v>
      </c>
      <c r="E2190" t="inlineStr">
        <is>
          <t>APP</t>
        </is>
      </c>
    </row>
    <row r="2191">
      <c r="A2191" t="n">
        <v>176</v>
      </c>
      <c r="B2191" t="inlineStr">
        <is>
          <t>The Cavern</t>
        </is>
      </c>
      <c r="C2191" s="27" t="n">
        <v>46045</v>
      </c>
      <c r="D2191" t="n">
        <v>0</v>
      </c>
      <c r="E2191" t="inlineStr">
        <is>
          <t>ANTECIPADO</t>
        </is>
      </c>
    </row>
    <row r="2192">
      <c r="A2192" t="n">
        <v>176</v>
      </c>
      <c r="B2192" t="inlineStr">
        <is>
          <t>The Cavern</t>
        </is>
      </c>
      <c r="C2192" s="27" t="n">
        <v>46045</v>
      </c>
      <c r="D2192" t="n">
        <v>442.96</v>
      </c>
      <c r="E2192" t="inlineStr">
        <is>
          <t>DINHEIRO</t>
        </is>
      </c>
    </row>
    <row r="2193">
      <c r="A2193" t="n">
        <v>176</v>
      </c>
      <c r="B2193" t="inlineStr">
        <is>
          <t>The Cavern</t>
        </is>
      </c>
      <c r="C2193" s="27" t="n">
        <v>46045</v>
      </c>
      <c r="D2193" t="n">
        <v>13457.73</v>
      </c>
      <c r="E2193" t="inlineStr">
        <is>
          <t>CRÉDITO</t>
        </is>
      </c>
    </row>
    <row r="2194">
      <c r="A2194" t="n">
        <v>176</v>
      </c>
      <c r="B2194" t="inlineStr">
        <is>
          <t>The Cavern</t>
        </is>
      </c>
      <c r="C2194" s="27" t="n">
        <v>46045</v>
      </c>
      <c r="D2194" t="n">
        <v>0</v>
      </c>
      <c r="E2194" t="inlineStr">
        <is>
          <t>MBWAY</t>
        </is>
      </c>
    </row>
    <row r="2195">
      <c r="A2195" t="n">
        <v>176</v>
      </c>
      <c r="B2195" t="inlineStr">
        <is>
          <t>The Cavern</t>
        </is>
      </c>
      <c r="C2195" s="27" t="n">
        <v>46045</v>
      </c>
      <c r="D2195" t="n">
        <v>0</v>
      </c>
      <c r="E2195" t="inlineStr">
        <is>
          <t>VOUCHER INTEGRADO</t>
        </is>
      </c>
    </row>
    <row r="2196">
      <c r="A2196" t="n">
        <v>176</v>
      </c>
      <c r="B2196" t="inlineStr">
        <is>
          <t>The Cavern</t>
        </is>
      </c>
      <c r="C2196" s="27" t="n">
        <v>46045</v>
      </c>
      <c r="D2196" t="n">
        <v>0</v>
      </c>
      <c r="E2196" t="inlineStr">
        <is>
          <t>RECARGAS DEVOLVIDAS</t>
        </is>
      </c>
    </row>
    <row r="2197">
      <c r="A2197" t="n">
        <v>176</v>
      </c>
      <c r="B2197" t="inlineStr">
        <is>
          <t>The Cavern</t>
        </is>
      </c>
      <c r="C2197" s="27" t="n">
        <v>46045</v>
      </c>
      <c r="D2197" t="n">
        <v>0</v>
      </c>
      <c r="E2197" t="inlineStr">
        <is>
          <t>NOTAS MANUAIS + SERVIÇO</t>
        </is>
      </c>
    </row>
    <row r="2198">
      <c r="A2198" t="n">
        <v>176</v>
      </c>
      <c r="B2198" t="inlineStr">
        <is>
          <t>The Cavern</t>
        </is>
      </c>
      <c r="C2198" s="27" t="n">
        <v>46045</v>
      </c>
      <c r="D2198" t="n">
        <v>0</v>
      </c>
      <c r="E2198" t="inlineStr">
        <is>
          <t>AME</t>
        </is>
      </c>
    </row>
    <row r="2199">
      <c r="A2199" t="n">
        <v>176</v>
      </c>
      <c r="B2199" t="inlineStr">
        <is>
          <t>The Cavern</t>
        </is>
      </c>
      <c r="C2199" s="27" t="n">
        <v>46045</v>
      </c>
      <c r="D2199" t="n">
        <v>0</v>
      </c>
      <c r="E2199" t="inlineStr">
        <is>
          <t>OUTROS</t>
        </is>
      </c>
    </row>
    <row r="2200">
      <c r="A2200" t="n">
        <v>176</v>
      </c>
      <c r="B2200" t="inlineStr">
        <is>
          <t>The Cavern</t>
        </is>
      </c>
      <c r="C2200" s="27" t="n">
        <v>46045</v>
      </c>
      <c r="D2200" t="n">
        <v>112.74</v>
      </c>
      <c r="E2200" t="inlineStr">
        <is>
          <t>APP</t>
        </is>
      </c>
    </row>
    <row r="2201">
      <c r="A2201" t="n">
        <v>176</v>
      </c>
      <c r="B2201" t="inlineStr">
        <is>
          <t>The Cavern</t>
        </is>
      </c>
      <c r="C2201" s="27" t="n">
        <v>46045</v>
      </c>
      <c r="D2201" t="n">
        <v>10.17</v>
      </c>
      <c r="E2201" t="inlineStr">
        <is>
          <t>BÔNUS</t>
        </is>
      </c>
    </row>
    <row r="2202">
      <c r="A2202" t="n">
        <v>176</v>
      </c>
      <c r="B2202" t="inlineStr">
        <is>
          <t>The Cavern</t>
        </is>
      </c>
      <c r="C2202" s="27" t="n">
        <v>46045</v>
      </c>
      <c r="D2202" t="n">
        <v>969.48</v>
      </c>
      <c r="E2202" t="inlineStr">
        <is>
          <t>DÉBITO</t>
        </is>
      </c>
    </row>
    <row r="2203">
      <c r="A2203" t="n">
        <v>176</v>
      </c>
      <c r="B2203" t="inlineStr">
        <is>
          <t>The Cavern</t>
        </is>
      </c>
      <c r="C2203" s="27" t="n">
        <v>46045</v>
      </c>
      <c r="D2203" t="n">
        <v>0</v>
      </c>
      <c r="E2203" t="inlineStr">
        <is>
          <t>VOUCHER</t>
        </is>
      </c>
    </row>
    <row r="2204">
      <c r="A2204" t="n">
        <v>176</v>
      </c>
      <c r="B2204" t="inlineStr">
        <is>
          <t>The Cavern</t>
        </is>
      </c>
      <c r="C2204" s="27" t="n">
        <v>46045</v>
      </c>
      <c r="D2204" t="n">
        <v>0</v>
      </c>
      <c r="E2204" t="inlineStr">
        <is>
          <t>ANTECIPADO</t>
        </is>
      </c>
    </row>
    <row r="2205">
      <c r="A2205" t="n">
        <v>176</v>
      </c>
      <c r="B2205" t="inlineStr">
        <is>
          <t>The Cavern</t>
        </is>
      </c>
      <c r="C2205" s="27" t="n">
        <v>46045</v>
      </c>
      <c r="D2205" t="n">
        <v>0</v>
      </c>
      <c r="E2205" t="inlineStr">
        <is>
          <t>UBER</t>
        </is>
      </c>
    </row>
    <row r="2206">
      <c r="A2206" t="n">
        <v>176</v>
      </c>
      <c r="B2206" t="inlineStr">
        <is>
          <t>The Cavern</t>
        </is>
      </c>
      <c r="C2206" s="27" t="n">
        <v>46045</v>
      </c>
      <c r="D2206" t="n">
        <v>0</v>
      </c>
      <c r="E2206" t="inlineStr">
        <is>
          <t>RAPPI</t>
        </is>
      </c>
    </row>
    <row r="2207">
      <c r="A2207" t="n">
        <v>176</v>
      </c>
      <c r="B2207" t="inlineStr">
        <is>
          <t>The Cavern</t>
        </is>
      </c>
      <c r="C2207" s="27" t="n">
        <v>46045</v>
      </c>
      <c r="D2207" t="n">
        <v>200.01</v>
      </c>
      <c r="E2207" t="inlineStr">
        <is>
          <t>PIX</t>
        </is>
      </c>
    </row>
    <row r="2208">
      <c r="A2208" t="n">
        <v>176</v>
      </c>
      <c r="B2208" t="inlineStr">
        <is>
          <t>The Cavern</t>
        </is>
      </c>
      <c r="C2208" s="27" t="n">
        <v>46045</v>
      </c>
      <c r="D2208" t="n">
        <v>0</v>
      </c>
      <c r="E2208" t="inlineStr">
        <is>
          <t>DELIVERY ONLINE</t>
        </is>
      </c>
    </row>
    <row r="2209">
      <c r="A2209" t="n">
        <v>176</v>
      </c>
      <c r="B2209" t="inlineStr">
        <is>
          <t>The Cavern</t>
        </is>
      </c>
      <c r="C2209" s="27" t="n">
        <v>46045</v>
      </c>
      <c r="D2209" t="n">
        <v>3892.67</v>
      </c>
      <c r="E2209" t="inlineStr">
        <is>
          <t>DÉBITO</t>
        </is>
      </c>
    </row>
    <row r="2210">
      <c r="A2210" t="n">
        <v>176</v>
      </c>
      <c r="B2210" t="inlineStr">
        <is>
          <t>The Cavern</t>
        </is>
      </c>
      <c r="C2210" s="27" t="n">
        <v>46045</v>
      </c>
      <c r="D2210" t="n">
        <v>0</v>
      </c>
      <c r="E2210" t="inlineStr">
        <is>
          <t>MBWAY</t>
        </is>
      </c>
    </row>
    <row r="2211">
      <c r="A2211" t="n">
        <v>176</v>
      </c>
      <c r="B2211" t="inlineStr">
        <is>
          <t>The Cavern</t>
        </is>
      </c>
      <c r="C2211" s="27" t="n">
        <v>46045</v>
      </c>
      <c r="D2211" t="n">
        <v>0</v>
      </c>
      <c r="E2211" t="inlineStr">
        <is>
          <t>VOUCHER INTEGRADO</t>
        </is>
      </c>
    </row>
    <row r="2212">
      <c r="A2212" t="n">
        <v>176</v>
      </c>
      <c r="B2212" t="inlineStr">
        <is>
          <t>The Cavern</t>
        </is>
      </c>
      <c r="C2212" s="27" t="n">
        <v>46045</v>
      </c>
      <c r="D2212" t="n">
        <v>0</v>
      </c>
      <c r="E2212" t="inlineStr">
        <is>
          <t>RECARGAS DEVOLVIDAS</t>
        </is>
      </c>
    </row>
    <row r="2213">
      <c r="A2213" t="n">
        <v>176</v>
      </c>
      <c r="B2213" t="inlineStr">
        <is>
          <t>The Cavern</t>
        </is>
      </c>
      <c r="C2213" s="27" t="n">
        <v>46045</v>
      </c>
      <c r="D2213" t="n">
        <v>0</v>
      </c>
      <c r="E2213" t="inlineStr">
        <is>
          <t>NOTAS MANUAIS + SERVIÇO</t>
        </is>
      </c>
    </row>
    <row r="2214">
      <c r="A2214" t="n">
        <v>176</v>
      </c>
      <c r="B2214" t="inlineStr">
        <is>
          <t>The Cavern</t>
        </is>
      </c>
      <c r="C2214" s="27" t="n">
        <v>46045</v>
      </c>
      <c r="D2214" t="n">
        <v>0</v>
      </c>
      <c r="E2214" t="inlineStr">
        <is>
          <t>AME</t>
        </is>
      </c>
    </row>
    <row r="2215">
      <c r="A2215" t="n">
        <v>176</v>
      </c>
      <c r="B2215" t="inlineStr">
        <is>
          <t>The Cavern</t>
        </is>
      </c>
      <c r="C2215" s="27" t="n">
        <v>46045</v>
      </c>
      <c r="D2215" t="n">
        <v>0</v>
      </c>
      <c r="E2215" t="inlineStr">
        <is>
          <t>OUTROS</t>
        </is>
      </c>
    </row>
    <row r="2216">
      <c r="A2216" t="n">
        <v>176</v>
      </c>
      <c r="B2216" t="inlineStr">
        <is>
          <t>The Cavern</t>
        </is>
      </c>
      <c r="C2216" s="27" t="n">
        <v>46045</v>
      </c>
      <c r="D2216" t="n">
        <v>0</v>
      </c>
      <c r="E2216" t="inlineStr">
        <is>
          <t>ANTECIPADO</t>
        </is>
      </c>
    </row>
    <row r="2217">
      <c r="A2217" t="n">
        <v>176</v>
      </c>
      <c r="B2217" t="inlineStr">
        <is>
          <t>The Cavern</t>
        </is>
      </c>
      <c r="C2217" s="27" t="n">
        <v>46045</v>
      </c>
      <c r="D2217" t="n">
        <v>0</v>
      </c>
      <c r="E2217" t="inlineStr">
        <is>
          <t>IFOOD</t>
        </is>
      </c>
    </row>
    <row r="2218">
      <c r="A2218" t="n">
        <v>176</v>
      </c>
      <c r="B2218" t="inlineStr">
        <is>
          <t>The Cavern</t>
        </is>
      </c>
      <c r="C2218" s="27" t="n">
        <v>46045</v>
      </c>
      <c r="D2218" t="n">
        <v>0</v>
      </c>
      <c r="E2218" t="inlineStr">
        <is>
          <t>VOUCHER</t>
        </is>
      </c>
    </row>
    <row r="2219">
      <c r="A2219" t="n">
        <v>176</v>
      </c>
      <c r="B2219" t="inlineStr">
        <is>
          <t>The Cavern</t>
        </is>
      </c>
      <c r="C2219" s="27" t="n">
        <v>46045</v>
      </c>
      <c r="D2219" t="n">
        <v>0</v>
      </c>
      <c r="E2219" t="inlineStr">
        <is>
          <t>ANTECIPADO</t>
        </is>
      </c>
    </row>
    <row r="2220">
      <c r="A2220" t="n">
        <v>176</v>
      </c>
      <c r="B2220" t="inlineStr">
        <is>
          <t>The Cavern</t>
        </is>
      </c>
      <c r="C2220" s="27" t="n">
        <v>46045</v>
      </c>
      <c r="D2220" t="n">
        <v>0</v>
      </c>
      <c r="E2220" t="inlineStr">
        <is>
          <t>UBER</t>
        </is>
      </c>
    </row>
    <row r="2221">
      <c r="A2221" t="n">
        <v>176</v>
      </c>
      <c r="B2221" t="inlineStr">
        <is>
          <t>The Cavern</t>
        </is>
      </c>
      <c r="C2221" s="27" t="n">
        <v>46045</v>
      </c>
      <c r="D2221" t="n">
        <v>0</v>
      </c>
      <c r="E2221" t="inlineStr">
        <is>
          <t>RAPPI</t>
        </is>
      </c>
    </row>
    <row r="2222">
      <c r="A2222" t="n">
        <v>176</v>
      </c>
      <c r="B2222" t="inlineStr">
        <is>
          <t>The Cavern</t>
        </is>
      </c>
      <c r="C2222" s="27" t="n">
        <v>46045</v>
      </c>
      <c r="D2222" t="n">
        <v>699.47</v>
      </c>
      <c r="E2222" t="inlineStr">
        <is>
          <t>PIX</t>
        </is>
      </c>
    </row>
    <row r="2223">
      <c r="A2223" t="n">
        <v>176</v>
      </c>
      <c r="B2223" t="inlineStr">
        <is>
          <t>The Cavern</t>
        </is>
      </c>
      <c r="C2223" s="27" t="n">
        <v>46045</v>
      </c>
      <c r="D2223" t="n">
        <v>0</v>
      </c>
      <c r="E2223" t="inlineStr">
        <is>
          <t>IFOOD</t>
        </is>
      </c>
    </row>
    <row r="2224">
      <c r="A2224" t="n">
        <v>176</v>
      </c>
      <c r="B2224" t="inlineStr">
        <is>
          <t>The Cavern</t>
        </is>
      </c>
      <c r="C2224" s="27" t="n">
        <v>46045</v>
      </c>
      <c r="D2224" t="n">
        <v>0</v>
      </c>
      <c r="E2224" t="inlineStr">
        <is>
          <t>DELIVERY ONLINE</t>
        </is>
      </c>
    </row>
    <row r="2225">
      <c r="A2225" t="n">
        <v>176</v>
      </c>
      <c r="B2225" t="inlineStr">
        <is>
          <t>The Cavern</t>
        </is>
      </c>
      <c r="C2225" s="27" t="n">
        <v>46044</v>
      </c>
      <c r="D2225" t="n">
        <v>0</v>
      </c>
      <c r="E2225" t="inlineStr">
        <is>
          <t>MBWAY</t>
        </is>
      </c>
    </row>
    <row r="2226">
      <c r="A2226" t="n">
        <v>176</v>
      </c>
      <c r="B2226" t="inlineStr">
        <is>
          <t>The Cavern</t>
        </is>
      </c>
      <c r="C2226" s="27" t="n">
        <v>46044</v>
      </c>
      <c r="D2226" t="n">
        <v>0</v>
      </c>
      <c r="E2226" t="inlineStr">
        <is>
          <t>ANTECIPADO</t>
        </is>
      </c>
    </row>
    <row r="2227">
      <c r="A2227" t="n">
        <v>176</v>
      </c>
      <c r="B2227" t="inlineStr">
        <is>
          <t>The Cavern</t>
        </is>
      </c>
      <c r="C2227" s="27" t="n">
        <v>46044</v>
      </c>
      <c r="D2227" t="n">
        <v>0</v>
      </c>
      <c r="E2227" t="inlineStr">
        <is>
          <t>VOUCHER INTEGRADO</t>
        </is>
      </c>
    </row>
    <row r="2228">
      <c r="A2228" t="n">
        <v>176</v>
      </c>
      <c r="B2228" t="inlineStr">
        <is>
          <t>The Cavern</t>
        </is>
      </c>
      <c r="C2228" s="27" t="n">
        <v>46044</v>
      </c>
      <c r="D2228" t="n">
        <v>0</v>
      </c>
      <c r="E2228" t="inlineStr">
        <is>
          <t>RECARGAS DEVOLVIDAS</t>
        </is>
      </c>
    </row>
    <row r="2229">
      <c r="A2229" t="n">
        <v>176</v>
      </c>
      <c r="B2229" t="inlineStr">
        <is>
          <t>The Cavern</t>
        </is>
      </c>
      <c r="C2229" s="27" t="n">
        <v>46044</v>
      </c>
      <c r="D2229" t="n">
        <v>0</v>
      </c>
      <c r="E2229" t="inlineStr">
        <is>
          <t>NOTAS MANUAIS + SERVIÇO</t>
        </is>
      </c>
    </row>
    <row r="2230">
      <c r="A2230" t="n">
        <v>176</v>
      </c>
      <c r="B2230" t="inlineStr">
        <is>
          <t>The Cavern</t>
        </is>
      </c>
      <c r="C2230" s="27" t="n">
        <v>46044</v>
      </c>
      <c r="D2230" t="n">
        <v>0</v>
      </c>
      <c r="E2230" t="inlineStr">
        <is>
          <t>AME</t>
        </is>
      </c>
    </row>
    <row r="2231">
      <c r="A2231" t="n">
        <v>176</v>
      </c>
      <c r="B2231" t="inlineStr">
        <is>
          <t>The Cavern</t>
        </is>
      </c>
      <c r="C2231" s="27" t="n">
        <v>46044</v>
      </c>
      <c r="D2231" t="n">
        <v>0</v>
      </c>
      <c r="E2231" t="inlineStr">
        <is>
          <t>OUTROS</t>
        </is>
      </c>
    </row>
    <row r="2232">
      <c r="A2232" t="n">
        <v>176</v>
      </c>
      <c r="B2232" t="inlineStr">
        <is>
          <t>The Cavern</t>
        </is>
      </c>
      <c r="C2232" s="27" t="n">
        <v>46044</v>
      </c>
      <c r="D2232" t="n">
        <v>0</v>
      </c>
      <c r="E2232" t="inlineStr">
        <is>
          <t>ANTECIPADO</t>
        </is>
      </c>
    </row>
    <row r="2233">
      <c r="A2233" t="n">
        <v>176</v>
      </c>
      <c r="B2233" t="inlineStr">
        <is>
          <t>The Cavern</t>
        </is>
      </c>
      <c r="C2233" s="27" t="n">
        <v>46044</v>
      </c>
      <c r="D2233" t="n">
        <v>0</v>
      </c>
      <c r="E2233" t="inlineStr">
        <is>
          <t>BÔNUS</t>
        </is>
      </c>
    </row>
    <row r="2234">
      <c r="A2234" t="n">
        <v>176</v>
      </c>
      <c r="B2234" t="inlineStr">
        <is>
          <t>The Cavern</t>
        </is>
      </c>
      <c r="C2234" s="27" t="n">
        <v>46044</v>
      </c>
      <c r="D2234" t="n">
        <v>3447.71</v>
      </c>
      <c r="E2234" t="inlineStr">
        <is>
          <t>DÉBITO</t>
        </is>
      </c>
    </row>
    <row r="2235">
      <c r="A2235" t="n">
        <v>176</v>
      </c>
      <c r="B2235" t="inlineStr">
        <is>
          <t>The Cavern</t>
        </is>
      </c>
      <c r="C2235" s="27" t="n">
        <v>46044</v>
      </c>
      <c r="D2235" t="n">
        <v>0</v>
      </c>
      <c r="E2235" t="inlineStr">
        <is>
          <t>VOUCHER</t>
        </is>
      </c>
    </row>
    <row r="2236">
      <c r="A2236" t="n">
        <v>176</v>
      </c>
      <c r="B2236" t="inlineStr">
        <is>
          <t>The Cavern</t>
        </is>
      </c>
      <c r="C2236" s="27" t="n">
        <v>46044</v>
      </c>
      <c r="D2236" t="n">
        <v>0</v>
      </c>
      <c r="E2236" t="inlineStr">
        <is>
          <t>DINHEIRO</t>
        </is>
      </c>
    </row>
    <row r="2237">
      <c r="A2237" t="n">
        <v>176</v>
      </c>
      <c r="B2237" t="inlineStr">
        <is>
          <t>The Cavern</t>
        </is>
      </c>
      <c r="C2237" s="27" t="n">
        <v>46044</v>
      </c>
      <c r="D2237" t="n">
        <v>0</v>
      </c>
      <c r="E2237" t="inlineStr">
        <is>
          <t>UBER</t>
        </is>
      </c>
    </row>
    <row r="2238">
      <c r="A2238" t="n">
        <v>176</v>
      </c>
      <c r="B2238" t="inlineStr">
        <is>
          <t>The Cavern</t>
        </is>
      </c>
      <c r="C2238" s="27" t="n">
        <v>46044</v>
      </c>
      <c r="D2238" t="n">
        <v>0</v>
      </c>
      <c r="E2238" t="inlineStr">
        <is>
          <t>RAPPI</t>
        </is>
      </c>
    </row>
    <row r="2239">
      <c r="A2239" t="n">
        <v>176</v>
      </c>
      <c r="B2239" t="inlineStr">
        <is>
          <t>The Cavern</t>
        </is>
      </c>
      <c r="C2239" s="27" t="n">
        <v>46044</v>
      </c>
      <c r="D2239" t="n">
        <v>143.51</v>
      </c>
      <c r="E2239" t="inlineStr">
        <is>
          <t>PIX</t>
        </is>
      </c>
    </row>
    <row r="2240">
      <c r="A2240" t="n">
        <v>176</v>
      </c>
      <c r="B2240" t="inlineStr">
        <is>
          <t>The Cavern</t>
        </is>
      </c>
      <c r="C2240" s="27" t="n">
        <v>46044</v>
      </c>
      <c r="D2240" t="n">
        <v>0</v>
      </c>
      <c r="E2240" t="inlineStr">
        <is>
          <t>IFOOD</t>
        </is>
      </c>
    </row>
    <row r="2241">
      <c r="A2241" t="n">
        <v>176</v>
      </c>
      <c r="B2241" t="inlineStr">
        <is>
          <t>The Cavern</t>
        </is>
      </c>
      <c r="C2241" s="27" t="n">
        <v>46044</v>
      </c>
      <c r="D2241" t="n">
        <v>0</v>
      </c>
      <c r="E2241" t="inlineStr">
        <is>
          <t>DELIVERY ONLINE</t>
        </is>
      </c>
    </row>
    <row r="2242">
      <c r="A2242" t="n">
        <v>176</v>
      </c>
      <c r="B2242" t="inlineStr">
        <is>
          <t>The Cavern</t>
        </is>
      </c>
      <c r="C2242" s="27" t="n">
        <v>46044</v>
      </c>
      <c r="D2242" t="n">
        <v>16</v>
      </c>
      <c r="E2242" t="inlineStr">
        <is>
          <t>APP</t>
        </is>
      </c>
    </row>
    <row r="2243">
      <c r="A2243" t="n">
        <v>176</v>
      </c>
      <c r="B2243" t="inlineStr">
        <is>
          <t>The Cavern</t>
        </is>
      </c>
      <c r="C2243" s="27" t="n">
        <v>46044</v>
      </c>
      <c r="D2243" t="n">
        <v>254.24</v>
      </c>
      <c r="E2243" t="inlineStr">
        <is>
          <t>DINHEIRO</t>
        </is>
      </c>
    </row>
    <row r="2244">
      <c r="A2244" t="n">
        <v>176</v>
      </c>
      <c r="B2244" t="inlineStr">
        <is>
          <t>The Cavern</t>
        </is>
      </c>
      <c r="C2244" s="27" t="n">
        <v>46044</v>
      </c>
      <c r="D2244" t="n">
        <v>13805.6</v>
      </c>
      <c r="E2244" t="inlineStr">
        <is>
          <t>CRÉDITO</t>
        </is>
      </c>
    </row>
    <row r="2245">
      <c r="A2245" t="n">
        <v>176</v>
      </c>
      <c r="B2245" t="inlineStr">
        <is>
          <t>The Cavern</t>
        </is>
      </c>
      <c r="C2245" s="27" t="n">
        <v>46044</v>
      </c>
      <c r="D2245" t="n">
        <v>0</v>
      </c>
      <c r="E2245" t="inlineStr">
        <is>
          <t>VOUCHER INTEGRADO</t>
        </is>
      </c>
    </row>
    <row r="2246">
      <c r="A2246" t="n">
        <v>176</v>
      </c>
      <c r="B2246" t="inlineStr">
        <is>
          <t>The Cavern</t>
        </is>
      </c>
      <c r="C2246" s="27" t="n">
        <v>46044</v>
      </c>
      <c r="D2246" t="n">
        <v>5508.41</v>
      </c>
      <c r="E2246" t="inlineStr">
        <is>
          <t>CRÉDITO</t>
        </is>
      </c>
    </row>
    <row r="2247">
      <c r="A2247" t="n">
        <v>176</v>
      </c>
      <c r="B2247" t="inlineStr">
        <is>
          <t>The Cavern</t>
        </is>
      </c>
      <c r="C2247" s="27" t="n">
        <v>46044</v>
      </c>
      <c r="D2247" t="n">
        <v>0</v>
      </c>
      <c r="E2247" t="inlineStr">
        <is>
          <t>APP</t>
        </is>
      </c>
    </row>
    <row r="2248">
      <c r="A2248" t="n">
        <v>176</v>
      </c>
      <c r="B2248" t="inlineStr">
        <is>
          <t>The Cavern</t>
        </is>
      </c>
      <c r="C2248" s="27" t="n">
        <v>46044</v>
      </c>
      <c r="D2248" t="n">
        <v>0</v>
      </c>
      <c r="E2248" t="inlineStr">
        <is>
          <t>DELIVERY ONLINE</t>
        </is>
      </c>
    </row>
    <row r="2249">
      <c r="A2249" t="n">
        <v>176</v>
      </c>
      <c r="B2249" t="inlineStr">
        <is>
          <t>The Cavern</t>
        </is>
      </c>
      <c r="C2249" s="27" t="n">
        <v>46044</v>
      </c>
      <c r="D2249" t="n">
        <v>0</v>
      </c>
      <c r="E2249" t="inlineStr">
        <is>
          <t>IFOOD</t>
        </is>
      </c>
    </row>
    <row r="2250">
      <c r="A2250" t="n">
        <v>176</v>
      </c>
      <c r="B2250" t="inlineStr">
        <is>
          <t>The Cavern</t>
        </is>
      </c>
      <c r="C2250" s="27" t="n">
        <v>46044</v>
      </c>
      <c r="D2250" t="n">
        <v>314.14</v>
      </c>
      <c r="E2250" t="inlineStr">
        <is>
          <t>PIX</t>
        </is>
      </c>
    </row>
    <row r="2251">
      <c r="A2251" t="n">
        <v>176</v>
      </c>
      <c r="B2251" t="inlineStr">
        <is>
          <t>The Cavern</t>
        </is>
      </c>
      <c r="C2251" s="27" t="n">
        <v>46044</v>
      </c>
      <c r="D2251" t="n">
        <v>0</v>
      </c>
      <c r="E2251" t="inlineStr">
        <is>
          <t>RAPPI</t>
        </is>
      </c>
    </row>
    <row r="2252">
      <c r="A2252" t="n">
        <v>176</v>
      </c>
      <c r="B2252" t="inlineStr">
        <is>
          <t>The Cavern</t>
        </is>
      </c>
      <c r="C2252" s="27" t="n">
        <v>46044</v>
      </c>
      <c r="D2252" t="n">
        <v>0</v>
      </c>
      <c r="E2252" t="inlineStr">
        <is>
          <t>UBER</t>
        </is>
      </c>
    </row>
    <row r="2253">
      <c r="A2253" t="n">
        <v>176</v>
      </c>
      <c r="B2253" t="inlineStr">
        <is>
          <t>The Cavern</t>
        </is>
      </c>
      <c r="C2253" s="27" t="n">
        <v>46044</v>
      </c>
      <c r="D2253" t="n">
        <v>0</v>
      </c>
      <c r="E2253" t="inlineStr">
        <is>
          <t>ANTECIPADO</t>
        </is>
      </c>
    </row>
    <row r="2254">
      <c r="A2254" t="n">
        <v>176</v>
      </c>
      <c r="B2254" t="inlineStr">
        <is>
          <t>The Cavern</t>
        </is>
      </c>
      <c r="C2254" s="27" t="n">
        <v>46044</v>
      </c>
      <c r="D2254" t="n">
        <v>0</v>
      </c>
      <c r="E2254" t="inlineStr">
        <is>
          <t>VOUCHER</t>
        </is>
      </c>
    </row>
    <row r="2255">
      <c r="A2255" t="n">
        <v>176</v>
      </c>
      <c r="B2255" t="inlineStr">
        <is>
          <t>The Cavern</t>
        </is>
      </c>
      <c r="C2255" s="27" t="n">
        <v>46044</v>
      </c>
      <c r="D2255" t="n">
        <v>2007.44</v>
      </c>
      <c r="E2255" t="inlineStr">
        <is>
          <t>DÉBITO</t>
        </is>
      </c>
    </row>
    <row r="2256">
      <c r="A2256" t="n">
        <v>176</v>
      </c>
      <c r="B2256" t="inlineStr">
        <is>
          <t>The Cavern</t>
        </is>
      </c>
      <c r="C2256" s="27" t="n">
        <v>46044</v>
      </c>
      <c r="D2256" t="n">
        <v>0</v>
      </c>
      <c r="E2256" t="inlineStr">
        <is>
          <t>BÔNUS</t>
        </is>
      </c>
    </row>
    <row r="2257">
      <c r="A2257" t="n">
        <v>176</v>
      </c>
      <c r="B2257" t="inlineStr">
        <is>
          <t>The Cavern</t>
        </is>
      </c>
      <c r="C2257" s="27" t="n">
        <v>46044</v>
      </c>
      <c r="D2257" t="n">
        <v>0</v>
      </c>
      <c r="E2257" t="inlineStr">
        <is>
          <t>ANTECIPADO</t>
        </is>
      </c>
    </row>
    <row r="2258">
      <c r="A2258" t="n">
        <v>176</v>
      </c>
      <c r="B2258" t="inlineStr">
        <is>
          <t>The Cavern</t>
        </is>
      </c>
      <c r="C2258" s="27" t="n">
        <v>46044</v>
      </c>
      <c r="D2258" t="n">
        <v>0</v>
      </c>
      <c r="E2258" t="inlineStr">
        <is>
          <t>OUTROS</t>
        </is>
      </c>
    </row>
    <row r="2259">
      <c r="A2259" t="n">
        <v>176</v>
      </c>
      <c r="B2259" t="inlineStr">
        <is>
          <t>The Cavern</t>
        </is>
      </c>
      <c r="C2259" s="27" t="n">
        <v>46044</v>
      </c>
      <c r="D2259" t="n">
        <v>0</v>
      </c>
      <c r="E2259" t="inlineStr">
        <is>
          <t>AME</t>
        </is>
      </c>
    </row>
    <row r="2260">
      <c r="A2260" t="n">
        <v>176</v>
      </c>
      <c r="B2260" t="inlineStr">
        <is>
          <t>The Cavern</t>
        </is>
      </c>
      <c r="C2260" s="27" t="n">
        <v>46044</v>
      </c>
      <c r="D2260" t="n">
        <v>0</v>
      </c>
      <c r="E2260" t="inlineStr">
        <is>
          <t>NOTAS MANUAIS + SERVIÇO</t>
        </is>
      </c>
    </row>
    <row r="2261">
      <c r="A2261" t="n">
        <v>176</v>
      </c>
      <c r="B2261" t="inlineStr">
        <is>
          <t>The Cavern</t>
        </is>
      </c>
      <c r="C2261" s="27" t="n">
        <v>46044</v>
      </c>
      <c r="D2261" t="n">
        <v>0</v>
      </c>
      <c r="E2261" t="inlineStr">
        <is>
          <t>RECARGAS DEVOLVIDAS</t>
        </is>
      </c>
    </row>
    <row r="2262">
      <c r="A2262" t="n">
        <v>176</v>
      </c>
      <c r="B2262" t="inlineStr">
        <is>
          <t>The Cavern</t>
        </is>
      </c>
      <c r="C2262" s="27" t="n">
        <v>46044</v>
      </c>
      <c r="D2262" t="n">
        <v>0</v>
      </c>
      <c r="E2262" t="inlineStr">
        <is>
          <t>MBWAY</t>
        </is>
      </c>
    </row>
    <row r="2263">
      <c r="A2263" t="n">
        <v>176</v>
      </c>
      <c r="B2263" t="inlineStr">
        <is>
          <t>The Cavern</t>
        </is>
      </c>
      <c r="C2263" s="27" t="n">
        <v>46043</v>
      </c>
      <c r="D2263" t="n">
        <v>0</v>
      </c>
      <c r="E2263" t="inlineStr">
        <is>
          <t>DELIVERY ONLINE</t>
        </is>
      </c>
    </row>
    <row r="2264">
      <c r="A2264" t="n">
        <v>176</v>
      </c>
      <c r="B2264" t="inlineStr">
        <is>
          <t>The Cavern</t>
        </is>
      </c>
      <c r="C2264" s="27" t="n">
        <v>46043</v>
      </c>
      <c r="D2264" t="n">
        <v>0</v>
      </c>
      <c r="E2264" t="inlineStr">
        <is>
          <t>RAPPI</t>
        </is>
      </c>
    </row>
    <row r="2265">
      <c r="A2265" t="n">
        <v>176</v>
      </c>
      <c r="B2265" t="inlineStr">
        <is>
          <t>The Cavern</t>
        </is>
      </c>
      <c r="C2265" s="27" t="n">
        <v>46043</v>
      </c>
      <c r="D2265" t="n">
        <v>0</v>
      </c>
      <c r="E2265" t="inlineStr">
        <is>
          <t>APP</t>
        </is>
      </c>
    </row>
    <row r="2266">
      <c r="A2266" t="n">
        <v>176</v>
      </c>
      <c r="B2266" t="inlineStr">
        <is>
          <t>The Cavern</t>
        </is>
      </c>
      <c r="C2266" s="27" t="n">
        <v>46043</v>
      </c>
      <c r="D2266" t="n">
        <v>0</v>
      </c>
      <c r="E2266" t="inlineStr">
        <is>
          <t>DINHEIRO</t>
        </is>
      </c>
    </row>
    <row r="2267">
      <c r="A2267" t="n">
        <v>176</v>
      </c>
      <c r="B2267" t="inlineStr">
        <is>
          <t>The Cavern</t>
        </is>
      </c>
      <c r="C2267" s="27" t="n">
        <v>46043</v>
      </c>
      <c r="D2267" t="n">
        <v>3511.35</v>
      </c>
      <c r="E2267" t="inlineStr">
        <is>
          <t>CRÉDITO</t>
        </is>
      </c>
    </row>
    <row r="2268">
      <c r="A2268" t="n">
        <v>176</v>
      </c>
      <c r="B2268" t="inlineStr">
        <is>
          <t>The Cavern</t>
        </is>
      </c>
      <c r="C2268" s="27" t="n">
        <v>46043</v>
      </c>
      <c r="D2268" t="n">
        <v>0</v>
      </c>
      <c r="E2268" t="inlineStr">
        <is>
          <t>MBWAY</t>
        </is>
      </c>
    </row>
    <row r="2269">
      <c r="A2269" t="n">
        <v>176</v>
      </c>
      <c r="B2269" t="inlineStr">
        <is>
          <t>The Cavern</t>
        </is>
      </c>
      <c r="C2269" s="27" t="n">
        <v>46043</v>
      </c>
      <c r="D2269" t="n">
        <v>0</v>
      </c>
      <c r="E2269" t="inlineStr">
        <is>
          <t>VOUCHER INTEGRADO</t>
        </is>
      </c>
    </row>
    <row r="2270">
      <c r="A2270" t="n">
        <v>176</v>
      </c>
      <c r="B2270" t="inlineStr">
        <is>
          <t>The Cavern</t>
        </is>
      </c>
      <c r="C2270" s="27" t="n">
        <v>46043</v>
      </c>
      <c r="D2270" t="n">
        <v>0</v>
      </c>
      <c r="E2270" t="inlineStr">
        <is>
          <t>RECARGAS DEVOLVIDAS</t>
        </is>
      </c>
    </row>
    <row r="2271">
      <c r="A2271" t="n">
        <v>176</v>
      </c>
      <c r="B2271" t="inlineStr">
        <is>
          <t>The Cavern</t>
        </is>
      </c>
      <c r="C2271" s="27" t="n">
        <v>46043</v>
      </c>
      <c r="D2271" t="n">
        <v>0</v>
      </c>
      <c r="E2271" t="inlineStr">
        <is>
          <t>NOTAS MANUAIS + SERVIÇO</t>
        </is>
      </c>
    </row>
    <row r="2272">
      <c r="A2272" t="n">
        <v>176</v>
      </c>
      <c r="B2272" t="inlineStr">
        <is>
          <t>The Cavern</t>
        </is>
      </c>
      <c r="C2272" s="27" t="n">
        <v>46043</v>
      </c>
      <c r="D2272" t="n">
        <v>0</v>
      </c>
      <c r="E2272" t="inlineStr">
        <is>
          <t>AME</t>
        </is>
      </c>
    </row>
    <row r="2273">
      <c r="A2273" t="n">
        <v>176</v>
      </c>
      <c r="B2273" t="inlineStr">
        <is>
          <t>The Cavern</t>
        </is>
      </c>
      <c r="C2273" s="27" t="n">
        <v>46043</v>
      </c>
      <c r="D2273" t="n">
        <v>0</v>
      </c>
      <c r="E2273" t="inlineStr">
        <is>
          <t>OUTROS</t>
        </is>
      </c>
    </row>
    <row r="2274">
      <c r="A2274" t="n">
        <v>176</v>
      </c>
      <c r="B2274" t="inlineStr">
        <is>
          <t>The Cavern</t>
        </is>
      </c>
      <c r="C2274" s="27" t="n">
        <v>46043</v>
      </c>
      <c r="D2274" t="n">
        <v>0</v>
      </c>
      <c r="E2274" t="inlineStr">
        <is>
          <t>ANTECIPADO</t>
        </is>
      </c>
    </row>
    <row r="2275">
      <c r="A2275" t="n">
        <v>176</v>
      </c>
      <c r="B2275" t="inlineStr">
        <is>
          <t>The Cavern</t>
        </is>
      </c>
      <c r="C2275" s="27" t="n">
        <v>46043</v>
      </c>
      <c r="D2275" t="n">
        <v>0</v>
      </c>
      <c r="E2275" t="inlineStr">
        <is>
          <t>BÔNUS</t>
        </is>
      </c>
    </row>
    <row r="2276">
      <c r="A2276" t="n">
        <v>176</v>
      </c>
      <c r="B2276" t="inlineStr">
        <is>
          <t>The Cavern</t>
        </is>
      </c>
      <c r="C2276" s="27" t="n">
        <v>46043</v>
      </c>
      <c r="D2276" t="n">
        <v>572.91</v>
      </c>
      <c r="E2276" t="inlineStr">
        <is>
          <t>DÉBITO</t>
        </is>
      </c>
    </row>
    <row r="2277">
      <c r="A2277" t="n">
        <v>176</v>
      </c>
      <c r="B2277" t="inlineStr">
        <is>
          <t>The Cavern</t>
        </is>
      </c>
      <c r="C2277" s="27" t="n">
        <v>46043</v>
      </c>
      <c r="D2277" t="n">
        <v>0</v>
      </c>
      <c r="E2277" t="inlineStr">
        <is>
          <t>VOUCHER</t>
        </is>
      </c>
    </row>
    <row r="2278">
      <c r="A2278" t="n">
        <v>176</v>
      </c>
      <c r="B2278" t="inlineStr">
        <is>
          <t>The Cavern</t>
        </is>
      </c>
      <c r="C2278" s="27" t="n">
        <v>46043</v>
      </c>
      <c r="D2278" t="n">
        <v>0</v>
      </c>
      <c r="E2278" t="inlineStr">
        <is>
          <t>IFOOD</t>
        </is>
      </c>
    </row>
    <row r="2279">
      <c r="A2279" t="n">
        <v>176</v>
      </c>
      <c r="B2279" t="inlineStr">
        <is>
          <t>The Cavern</t>
        </is>
      </c>
      <c r="C2279" s="27" t="n">
        <v>46043</v>
      </c>
      <c r="D2279" t="n">
        <v>0</v>
      </c>
      <c r="E2279" t="inlineStr">
        <is>
          <t>PIX</t>
        </is>
      </c>
    </row>
    <row r="2280">
      <c r="A2280" t="n">
        <v>176</v>
      </c>
      <c r="B2280" t="inlineStr">
        <is>
          <t>The Cavern</t>
        </is>
      </c>
      <c r="C2280" s="27" t="n">
        <v>46043</v>
      </c>
      <c r="D2280" t="n">
        <v>0</v>
      </c>
      <c r="E2280" t="inlineStr">
        <is>
          <t>OUTROS</t>
        </is>
      </c>
    </row>
    <row r="2281">
      <c r="A2281" t="n">
        <v>176</v>
      </c>
      <c r="B2281" t="inlineStr">
        <is>
          <t>The Cavern</t>
        </is>
      </c>
      <c r="C2281" s="27" t="n">
        <v>46043</v>
      </c>
      <c r="D2281" t="n">
        <v>0</v>
      </c>
      <c r="E2281" t="inlineStr">
        <is>
          <t>UBER</t>
        </is>
      </c>
    </row>
    <row r="2282">
      <c r="A2282" t="n">
        <v>176</v>
      </c>
      <c r="B2282" t="inlineStr">
        <is>
          <t>The Cavern</t>
        </is>
      </c>
      <c r="C2282" s="27" t="n">
        <v>46043</v>
      </c>
      <c r="D2282" t="n">
        <v>0</v>
      </c>
      <c r="E2282" t="inlineStr">
        <is>
          <t>ANTECIPADO</t>
        </is>
      </c>
    </row>
    <row r="2283">
      <c r="A2283" t="n">
        <v>176</v>
      </c>
      <c r="B2283" t="inlineStr">
        <is>
          <t>The Cavern</t>
        </is>
      </c>
      <c r="C2283" s="27" t="n">
        <v>46043</v>
      </c>
      <c r="D2283" t="n">
        <v>0</v>
      </c>
      <c r="E2283" t="inlineStr">
        <is>
          <t>RECARGAS DEVOLVIDAS</t>
        </is>
      </c>
    </row>
    <row r="2284">
      <c r="A2284" t="n">
        <v>176</v>
      </c>
      <c r="B2284" t="inlineStr">
        <is>
          <t>The Cavern</t>
        </is>
      </c>
      <c r="C2284" s="27" t="n">
        <v>46043</v>
      </c>
      <c r="D2284" t="n">
        <v>0</v>
      </c>
      <c r="E2284" t="inlineStr">
        <is>
          <t>MBWAY</t>
        </is>
      </c>
    </row>
    <row r="2285">
      <c r="A2285" t="n">
        <v>176</v>
      </c>
      <c r="B2285" t="inlineStr">
        <is>
          <t>The Cavern</t>
        </is>
      </c>
      <c r="C2285" s="27" t="n">
        <v>46043</v>
      </c>
      <c r="D2285" t="n">
        <v>0</v>
      </c>
      <c r="E2285" t="inlineStr">
        <is>
          <t>VOUCHER INTEGRADO</t>
        </is>
      </c>
    </row>
    <row r="2286">
      <c r="A2286" t="n">
        <v>176</v>
      </c>
      <c r="B2286" t="inlineStr">
        <is>
          <t>The Cavern</t>
        </is>
      </c>
      <c r="C2286" s="27" t="n">
        <v>46043</v>
      </c>
      <c r="D2286" t="n">
        <v>0</v>
      </c>
      <c r="E2286" t="inlineStr">
        <is>
          <t>NOTAS MANUAIS + SERVIÇO</t>
        </is>
      </c>
    </row>
    <row r="2287">
      <c r="A2287" t="n">
        <v>176</v>
      </c>
      <c r="B2287" t="inlineStr">
        <is>
          <t>The Cavern</t>
        </is>
      </c>
      <c r="C2287" s="27" t="n">
        <v>46043</v>
      </c>
      <c r="D2287" t="n">
        <v>0</v>
      </c>
      <c r="E2287" t="inlineStr">
        <is>
          <t>AME</t>
        </is>
      </c>
    </row>
    <row r="2288">
      <c r="A2288" t="n">
        <v>176</v>
      </c>
      <c r="B2288" t="inlineStr">
        <is>
          <t>The Cavern</t>
        </is>
      </c>
      <c r="C2288" s="27" t="n">
        <v>46043</v>
      </c>
      <c r="D2288" t="n">
        <v>0</v>
      </c>
      <c r="E2288" t="inlineStr">
        <is>
          <t>VOUCHER</t>
        </is>
      </c>
    </row>
    <row r="2289">
      <c r="A2289" t="n">
        <v>176</v>
      </c>
      <c r="B2289" t="inlineStr">
        <is>
          <t>The Cavern</t>
        </is>
      </c>
      <c r="C2289" s="27" t="n">
        <v>46043</v>
      </c>
      <c r="D2289" t="n">
        <v>1404.01</v>
      </c>
      <c r="E2289" t="inlineStr">
        <is>
          <t>DÉBITO</t>
        </is>
      </c>
    </row>
    <row r="2290">
      <c r="A2290" t="n">
        <v>176</v>
      </c>
      <c r="B2290" t="inlineStr">
        <is>
          <t>The Cavern</t>
        </is>
      </c>
      <c r="C2290" s="27" t="n">
        <v>46043</v>
      </c>
      <c r="D2290" t="n">
        <v>0</v>
      </c>
      <c r="E2290" t="inlineStr">
        <is>
          <t>BÔNUS</t>
        </is>
      </c>
    </row>
    <row r="2291">
      <c r="A2291" t="n">
        <v>176</v>
      </c>
      <c r="B2291" t="inlineStr">
        <is>
          <t>The Cavern</t>
        </is>
      </c>
      <c r="C2291" s="27" t="n">
        <v>46043</v>
      </c>
      <c r="D2291" t="n">
        <v>0</v>
      </c>
      <c r="E2291" t="inlineStr">
        <is>
          <t>ANTECIPADO</t>
        </is>
      </c>
    </row>
    <row r="2292">
      <c r="A2292" t="n">
        <v>176</v>
      </c>
      <c r="B2292" t="inlineStr">
        <is>
          <t>The Cavern</t>
        </is>
      </c>
      <c r="C2292" s="27" t="n">
        <v>46043</v>
      </c>
      <c r="D2292" t="n">
        <v>0</v>
      </c>
      <c r="E2292" t="inlineStr">
        <is>
          <t>UBER</t>
        </is>
      </c>
    </row>
    <row r="2293">
      <c r="A2293" t="n">
        <v>176</v>
      </c>
      <c r="B2293" t="inlineStr">
        <is>
          <t>The Cavern</t>
        </is>
      </c>
      <c r="C2293" s="27" t="n">
        <v>46043</v>
      </c>
      <c r="D2293" t="n">
        <v>0</v>
      </c>
      <c r="E2293" t="inlineStr">
        <is>
          <t>RAPPI</t>
        </is>
      </c>
    </row>
    <row r="2294">
      <c r="A2294" t="n">
        <v>176</v>
      </c>
      <c r="B2294" t="inlineStr">
        <is>
          <t>The Cavern</t>
        </is>
      </c>
      <c r="C2294" s="27" t="n">
        <v>46043</v>
      </c>
      <c r="D2294" t="n">
        <v>0</v>
      </c>
      <c r="E2294" t="inlineStr">
        <is>
          <t>PIX</t>
        </is>
      </c>
    </row>
    <row r="2295">
      <c r="A2295" t="n">
        <v>176</v>
      </c>
      <c r="B2295" t="inlineStr">
        <is>
          <t>The Cavern</t>
        </is>
      </c>
      <c r="C2295" s="27" t="n">
        <v>46043</v>
      </c>
      <c r="D2295" t="n">
        <v>0</v>
      </c>
      <c r="E2295" t="inlineStr">
        <is>
          <t>IFOOD</t>
        </is>
      </c>
    </row>
    <row r="2296">
      <c r="A2296" t="n">
        <v>176</v>
      </c>
      <c r="B2296" t="inlineStr">
        <is>
          <t>The Cavern</t>
        </is>
      </c>
      <c r="C2296" s="27" t="n">
        <v>46043</v>
      </c>
      <c r="D2296" t="n">
        <v>0</v>
      </c>
      <c r="E2296" t="inlineStr">
        <is>
          <t>DELIVERY ONLINE</t>
        </is>
      </c>
    </row>
    <row r="2297">
      <c r="A2297" t="n">
        <v>176</v>
      </c>
      <c r="B2297" t="inlineStr">
        <is>
          <t>The Cavern</t>
        </is>
      </c>
      <c r="C2297" s="27" t="n">
        <v>46043</v>
      </c>
      <c r="D2297" t="n">
        <v>0</v>
      </c>
      <c r="E2297" t="inlineStr">
        <is>
          <t>APP</t>
        </is>
      </c>
    </row>
    <row r="2298">
      <c r="A2298" t="n">
        <v>176</v>
      </c>
      <c r="B2298" t="inlineStr">
        <is>
          <t>The Cavern</t>
        </is>
      </c>
      <c r="C2298" s="27" t="n">
        <v>46043</v>
      </c>
      <c r="D2298" t="n">
        <v>0</v>
      </c>
      <c r="E2298" t="inlineStr">
        <is>
          <t>DINHEIRO</t>
        </is>
      </c>
    </row>
    <row r="2299">
      <c r="A2299" t="n">
        <v>176</v>
      </c>
      <c r="B2299" t="inlineStr">
        <is>
          <t>The Cavern</t>
        </is>
      </c>
      <c r="C2299" s="27" t="n">
        <v>46043</v>
      </c>
      <c r="D2299" t="n">
        <v>2363.96</v>
      </c>
      <c r="E2299" t="inlineStr">
        <is>
          <t>CRÉDITO</t>
        </is>
      </c>
    </row>
    <row r="2300">
      <c r="A2300" t="n">
        <v>176</v>
      </c>
      <c r="B2300" t="inlineStr">
        <is>
          <t>The Cavern</t>
        </is>
      </c>
      <c r="C2300" s="27" t="n">
        <v>46043</v>
      </c>
      <c r="D2300" t="n">
        <v>0</v>
      </c>
      <c r="E2300" t="inlineStr">
        <is>
          <t>ANTECIPADO</t>
        </is>
      </c>
    </row>
    <row r="2301">
      <c r="A2301" t="n">
        <v>176</v>
      </c>
      <c r="B2301" t="inlineStr">
        <is>
          <t>The Cavern</t>
        </is>
      </c>
      <c r="C2301" s="27" t="n">
        <v>46042</v>
      </c>
      <c r="D2301" t="n">
        <v>0</v>
      </c>
      <c r="E2301" t="inlineStr">
        <is>
          <t>ANTECIPADO</t>
        </is>
      </c>
    </row>
    <row r="2302">
      <c r="A2302" t="n">
        <v>176</v>
      </c>
      <c r="B2302" t="inlineStr">
        <is>
          <t>The Cavern</t>
        </is>
      </c>
      <c r="C2302" s="27" t="n">
        <v>46042</v>
      </c>
      <c r="D2302" t="n">
        <v>3042.87</v>
      </c>
      <c r="E2302" t="inlineStr">
        <is>
          <t>CRÉDITO</t>
        </is>
      </c>
    </row>
    <row r="2303">
      <c r="A2303" t="n">
        <v>176</v>
      </c>
      <c r="B2303" t="inlineStr">
        <is>
          <t>The Cavern</t>
        </is>
      </c>
      <c r="C2303" s="27" t="n">
        <v>46042</v>
      </c>
      <c r="D2303" t="n">
        <v>0</v>
      </c>
      <c r="E2303" t="inlineStr">
        <is>
          <t>UBER</t>
        </is>
      </c>
    </row>
    <row r="2304">
      <c r="A2304" t="n">
        <v>176</v>
      </c>
      <c r="B2304" t="inlineStr">
        <is>
          <t>The Cavern</t>
        </is>
      </c>
      <c r="C2304" s="27" t="n">
        <v>46042</v>
      </c>
      <c r="D2304" t="n">
        <v>0</v>
      </c>
      <c r="E2304" t="inlineStr">
        <is>
          <t>RAPPI</t>
        </is>
      </c>
    </row>
    <row r="2305">
      <c r="A2305" t="n">
        <v>176</v>
      </c>
      <c r="B2305" t="inlineStr">
        <is>
          <t>The Cavern</t>
        </is>
      </c>
      <c r="C2305" s="27" t="n">
        <v>46042</v>
      </c>
      <c r="D2305" t="n">
        <v>99.44</v>
      </c>
      <c r="E2305" t="inlineStr">
        <is>
          <t>PIX</t>
        </is>
      </c>
    </row>
    <row r="2306">
      <c r="A2306" t="n">
        <v>176</v>
      </c>
      <c r="B2306" t="inlineStr">
        <is>
          <t>The Cavern</t>
        </is>
      </c>
      <c r="C2306" s="27" t="n">
        <v>46042</v>
      </c>
      <c r="D2306" t="n">
        <v>0</v>
      </c>
      <c r="E2306" t="inlineStr">
        <is>
          <t>IFOOD</t>
        </is>
      </c>
    </row>
    <row r="2307">
      <c r="A2307" t="n">
        <v>176</v>
      </c>
      <c r="B2307" t="inlineStr">
        <is>
          <t>The Cavern</t>
        </is>
      </c>
      <c r="C2307" s="27" t="n">
        <v>46042</v>
      </c>
      <c r="D2307" t="n">
        <v>0</v>
      </c>
      <c r="E2307" t="inlineStr">
        <is>
          <t>APP</t>
        </is>
      </c>
    </row>
    <row r="2308">
      <c r="A2308" t="n">
        <v>176</v>
      </c>
      <c r="B2308" t="inlineStr">
        <is>
          <t>The Cavern</t>
        </is>
      </c>
      <c r="C2308" s="27" t="n">
        <v>46042</v>
      </c>
      <c r="D2308" t="n">
        <v>0</v>
      </c>
      <c r="E2308" t="inlineStr">
        <is>
          <t>DINHEIRO</t>
        </is>
      </c>
    </row>
    <row r="2309">
      <c r="A2309" t="n">
        <v>176</v>
      </c>
      <c r="B2309" t="inlineStr">
        <is>
          <t>The Cavern</t>
        </is>
      </c>
      <c r="C2309" s="27" t="n">
        <v>46042</v>
      </c>
      <c r="D2309" t="n">
        <v>0</v>
      </c>
      <c r="E2309" t="inlineStr">
        <is>
          <t>MBWAY</t>
        </is>
      </c>
    </row>
    <row r="2310">
      <c r="A2310" t="n">
        <v>176</v>
      </c>
      <c r="B2310" t="inlineStr">
        <is>
          <t>The Cavern</t>
        </is>
      </c>
      <c r="C2310" s="27" t="n">
        <v>46042</v>
      </c>
      <c r="D2310" t="n">
        <v>0</v>
      </c>
      <c r="E2310" t="inlineStr">
        <is>
          <t>VOUCHER</t>
        </is>
      </c>
    </row>
    <row r="2311">
      <c r="A2311" t="n">
        <v>176</v>
      </c>
      <c r="B2311" t="inlineStr">
        <is>
          <t>The Cavern</t>
        </is>
      </c>
      <c r="C2311" s="27" t="n">
        <v>46042</v>
      </c>
      <c r="D2311" t="n">
        <v>538.9400000000001</v>
      </c>
      <c r="E2311" t="inlineStr">
        <is>
          <t>DÉBITO</t>
        </is>
      </c>
    </row>
    <row r="2312">
      <c r="A2312" t="n">
        <v>176</v>
      </c>
      <c r="B2312" t="inlineStr">
        <is>
          <t>The Cavern</t>
        </is>
      </c>
      <c r="C2312" s="27" t="n">
        <v>46042</v>
      </c>
      <c r="D2312" t="n">
        <v>35</v>
      </c>
      <c r="E2312" t="inlineStr">
        <is>
          <t>BÔNUS</t>
        </is>
      </c>
    </row>
    <row r="2313">
      <c r="A2313" t="n">
        <v>176</v>
      </c>
      <c r="B2313" t="inlineStr">
        <is>
          <t>The Cavern</t>
        </is>
      </c>
      <c r="C2313" s="27" t="n">
        <v>46042</v>
      </c>
      <c r="D2313" t="n">
        <v>0</v>
      </c>
      <c r="E2313" t="inlineStr">
        <is>
          <t>ANTECIPADO</t>
        </is>
      </c>
    </row>
    <row r="2314">
      <c r="A2314" t="n">
        <v>176</v>
      </c>
      <c r="B2314" t="inlineStr">
        <is>
          <t>The Cavern</t>
        </is>
      </c>
      <c r="C2314" s="27" t="n">
        <v>46042</v>
      </c>
      <c r="D2314" t="n">
        <v>0</v>
      </c>
      <c r="E2314" t="inlineStr">
        <is>
          <t>OUTROS</t>
        </is>
      </c>
    </row>
    <row r="2315">
      <c r="A2315" t="n">
        <v>176</v>
      </c>
      <c r="B2315" t="inlineStr">
        <is>
          <t>The Cavern</t>
        </is>
      </c>
      <c r="C2315" s="27" t="n">
        <v>46042</v>
      </c>
      <c r="D2315" t="n">
        <v>0</v>
      </c>
      <c r="E2315" t="inlineStr">
        <is>
          <t>AME</t>
        </is>
      </c>
    </row>
    <row r="2316">
      <c r="A2316" t="n">
        <v>176</v>
      </c>
      <c r="B2316" t="inlineStr">
        <is>
          <t>The Cavern</t>
        </is>
      </c>
      <c r="C2316" s="27" t="n">
        <v>46042</v>
      </c>
      <c r="D2316" t="n">
        <v>0</v>
      </c>
      <c r="E2316" t="inlineStr">
        <is>
          <t>NOTAS MANUAIS + SERVIÇO</t>
        </is>
      </c>
    </row>
    <row r="2317">
      <c r="A2317" t="n">
        <v>176</v>
      </c>
      <c r="B2317" t="inlineStr">
        <is>
          <t>The Cavern</t>
        </is>
      </c>
      <c r="C2317" s="27" t="n">
        <v>46042</v>
      </c>
      <c r="D2317" t="n">
        <v>0</v>
      </c>
      <c r="E2317" t="inlineStr">
        <is>
          <t>RECARGAS DEVOLVIDAS</t>
        </is>
      </c>
    </row>
    <row r="2318">
      <c r="A2318" t="n">
        <v>176</v>
      </c>
      <c r="B2318" t="inlineStr">
        <is>
          <t>The Cavern</t>
        </is>
      </c>
      <c r="C2318" s="27" t="n">
        <v>46042</v>
      </c>
      <c r="D2318" t="n">
        <v>0</v>
      </c>
      <c r="E2318" t="inlineStr">
        <is>
          <t>VOUCHER INTEGRADO</t>
        </is>
      </c>
    </row>
    <row r="2319">
      <c r="A2319" t="n">
        <v>176</v>
      </c>
      <c r="B2319" t="inlineStr">
        <is>
          <t>The Cavern</t>
        </is>
      </c>
      <c r="C2319" s="27" t="n">
        <v>46042</v>
      </c>
      <c r="D2319" t="n">
        <v>0</v>
      </c>
      <c r="E2319" t="inlineStr">
        <is>
          <t>DELIVERY ONLINE</t>
        </is>
      </c>
    </row>
    <row r="2320">
      <c r="A2320" t="n">
        <v>176</v>
      </c>
      <c r="B2320" t="inlineStr">
        <is>
          <t>The Cavern</t>
        </is>
      </c>
      <c r="C2320" s="27" t="n">
        <v>46042</v>
      </c>
      <c r="D2320" t="n">
        <v>0</v>
      </c>
      <c r="E2320" t="inlineStr">
        <is>
          <t>VOUCHER</t>
        </is>
      </c>
    </row>
    <row r="2321">
      <c r="A2321" t="n">
        <v>176</v>
      </c>
      <c r="B2321" t="inlineStr">
        <is>
          <t>The Cavern</t>
        </is>
      </c>
      <c r="C2321" s="27" t="n">
        <v>46042</v>
      </c>
      <c r="D2321" t="n">
        <v>1438.49</v>
      </c>
      <c r="E2321" t="inlineStr">
        <is>
          <t>CRÉDITO</t>
        </is>
      </c>
    </row>
    <row r="2322">
      <c r="A2322" t="n">
        <v>176</v>
      </c>
      <c r="B2322" t="inlineStr">
        <is>
          <t>The Cavern</t>
        </is>
      </c>
      <c r="C2322" s="27" t="n">
        <v>46042</v>
      </c>
      <c r="D2322" t="n">
        <v>0</v>
      </c>
      <c r="E2322" t="inlineStr">
        <is>
          <t>DINHEIRO</t>
        </is>
      </c>
    </row>
    <row r="2323">
      <c r="A2323" t="n">
        <v>176</v>
      </c>
      <c r="B2323" t="inlineStr">
        <is>
          <t>The Cavern</t>
        </is>
      </c>
      <c r="C2323" s="27" t="n">
        <v>46042</v>
      </c>
      <c r="D2323" t="n">
        <v>0</v>
      </c>
      <c r="E2323" t="inlineStr">
        <is>
          <t>APP</t>
        </is>
      </c>
    </row>
    <row r="2324">
      <c r="A2324" t="n">
        <v>176</v>
      </c>
      <c r="B2324" t="inlineStr">
        <is>
          <t>The Cavern</t>
        </is>
      </c>
      <c r="C2324" s="27" t="n">
        <v>46042</v>
      </c>
      <c r="D2324" t="n">
        <v>0</v>
      </c>
      <c r="E2324" t="inlineStr">
        <is>
          <t>DELIVERY ONLINE</t>
        </is>
      </c>
    </row>
    <row r="2325">
      <c r="A2325" t="n">
        <v>176</v>
      </c>
      <c r="B2325" t="inlineStr">
        <is>
          <t>The Cavern</t>
        </is>
      </c>
      <c r="C2325" s="27" t="n">
        <v>46042</v>
      </c>
      <c r="D2325" t="n">
        <v>0</v>
      </c>
      <c r="E2325" t="inlineStr">
        <is>
          <t>IFOOD</t>
        </is>
      </c>
    </row>
    <row r="2326">
      <c r="A2326" t="n">
        <v>176</v>
      </c>
      <c r="B2326" t="inlineStr">
        <is>
          <t>The Cavern</t>
        </is>
      </c>
      <c r="C2326" s="27" t="n">
        <v>46042</v>
      </c>
      <c r="D2326" t="n">
        <v>166.11</v>
      </c>
      <c r="E2326" t="inlineStr">
        <is>
          <t>PIX</t>
        </is>
      </c>
    </row>
    <row r="2327">
      <c r="A2327" t="n">
        <v>176</v>
      </c>
      <c r="B2327" t="inlineStr">
        <is>
          <t>The Cavern</t>
        </is>
      </c>
      <c r="C2327" s="27" t="n">
        <v>46042</v>
      </c>
      <c r="D2327" t="n">
        <v>0</v>
      </c>
      <c r="E2327" t="inlineStr">
        <is>
          <t>RAPPI</t>
        </is>
      </c>
    </row>
    <row r="2328">
      <c r="A2328" t="n">
        <v>176</v>
      </c>
      <c r="B2328" t="inlineStr">
        <is>
          <t>The Cavern</t>
        </is>
      </c>
      <c r="C2328" s="27" t="n">
        <v>46042</v>
      </c>
      <c r="D2328" t="n">
        <v>0</v>
      </c>
      <c r="E2328" t="inlineStr">
        <is>
          <t>UBER</t>
        </is>
      </c>
    </row>
    <row r="2329">
      <c r="A2329" t="n">
        <v>176</v>
      </c>
      <c r="B2329" t="inlineStr">
        <is>
          <t>The Cavern</t>
        </is>
      </c>
      <c r="C2329" s="27" t="n">
        <v>46042</v>
      </c>
      <c r="D2329" t="n">
        <v>0</v>
      </c>
      <c r="E2329" t="inlineStr">
        <is>
          <t>ANTECIPADO</t>
        </is>
      </c>
    </row>
    <row r="2330">
      <c r="A2330" t="n">
        <v>176</v>
      </c>
      <c r="B2330" t="inlineStr">
        <is>
          <t>The Cavern</t>
        </is>
      </c>
      <c r="C2330" s="27" t="n">
        <v>46042</v>
      </c>
      <c r="D2330" t="n">
        <v>0</v>
      </c>
      <c r="E2330" t="inlineStr">
        <is>
          <t>MBWAY</t>
        </is>
      </c>
    </row>
    <row r="2331">
      <c r="A2331" t="n">
        <v>176</v>
      </c>
      <c r="B2331" t="inlineStr">
        <is>
          <t>The Cavern</t>
        </is>
      </c>
      <c r="C2331" s="27" t="n">
        <v>46042</v>
      </c>
      <c r="D2331" t="n">
        <v>603.42</v>
      </c>
      <c r="E2331" t="inlineStr">
        <is>
          <t>DÉBITO</t>
        </is>
      </c>
    </row>
    <row r="2332">
      <c r="A2332" t="n">
        <v>176</v>
      </c>
      <c r="B2332" t="inlineStr">
        <is>
          <t>The Cavern</t>
        </is>
      </c>
      <c r="C2332" s="27" t="n">
        <v>46042</v>
      </c>
      <c r="D2332" t="n">
        <v>0</v>
      </c>
      <c r="E2332" t="inlineStr">
        <is>
          <t>BÔNUS</t>
        </is>
      </c>
    </row>
    <row r="2333">
      <c r="A2333" t="n">
        <v>176</v>
      </c>
      <c r="B2333" t="inlineStr">
        <is>
          <t>The Cavern</t>
        </is>
      </c>
      <c r="C2333" s="27" t="n">
        <v>46042</v>
      </c>
      <c r="D2333" t="n">
        <v>0</v>
      </c>
      <c r="E2333" t="inlineStr">
        <is>
          <t>ANTECIPADO</t>
        </is>
      </c>
    </row>
    <row r="2334">
      <c r="A2334" t="n">
        <v>176</v>
      </c>
      <c r="B2334" t="inlineStr">
        <is>
          <t>The Cavern</t>
        </is>
      </c>
      <c r="C2334" s="27" t="n">
        <v>46042</v>
      </c>
      <c r="D2334" t="n">
        <v>0</v>
      </c>
      <c r="E2334" t="inlineStr">
        <is>
          <t>OUTROS</t>
        </is>
      </c>
    </row>
    <row r="2335">
      <c r="A2335" t="n">
        <v>176</v>
      </c>
      <c r="B2335" t="inlineStr">
        <is>
          <t>The Cavern</t>
        </is>
      </c>
      <c r="C2335" s="27" t="n">
        <v>46042</v>
      </c>
      <c r="D2335" t="n">
        <v>0</v>
      </c>
      <c r="E2335" t="inlineStr">
        <is>
          <t>AME</t>
        </is>
      </c>
    </row>
    <row r="2336">
      <c r="A2336" t="n">
        <v>176</v>
      </c>
      <c r="B2336" t="inlineStr">
        <is>
          <t>The Cavern</t>
        </is>
      </c>
      <c r="C2336" s="27" t="n">
        <v>46042</v>
      </c>
      <c r="D2336" t="n">
        <v>0</v>
      </c>
      <c r="E2336" t="inlineStr">
        <is>
          <t>NOTAS MANUAIS + SERVIÇO</t>
        </is>
      </c>
    </row>
    <row r="2337">
      <c r="A2337" t="n">
        <v>176</v>
      </c>
      <c r="B2337" t="inlineStr">
        <is>
          <t>The Cavern</t>
        </is>
      </c>
      <c r="C2337" s="27" t="n">
        <v>46042</v>
      </c>
      <c r="D2337" t="n">
        <v>0</v>
      </c>
      <c r="E2337" t="inlineStr">
        <is>
          <t>RECARGAS DEVOLVIDAS</t>
        </is>
      </c>
    </row>
    <row r="2338">
      <c r="A2338" t="n">
        <v>176</v>
      </c>
      <c r="B2338" t="inlineStr">
        <is>
          <t>The Cavern</t>
        </is>
      </c>
      <c r="C2338" s="27" t="n">
        <v>46042</v>
      </c>
      <c r="D2338" t="n">
        <v>0</v>
      </c>
      <c r="E2338" t="inlineStr">
        <is>
          <t>VOUCHER INTEGRADO</t>
        </is>
      </c>
    </row>
    <row r="2339">
      <c r="A2339" t="n">
        <v>176</v>
      </c>
      <c r="B2339" t="inlineStr">
        <is>
          <t>The Cavern</t>
        </is>
      </c>
      <c r="C2339" s="27" t="n">
        <v>46041</v>
      </c>
      <c r="D2339" t="n">
        <v>838</v>
      </c>
      <c r="E2339" t="inlineStr">
        <is>
          <t>CRÉDITO</t>
        </is>
      </c>
    </row>
    <row r="2340">
      <c r="A2340" t="n">
        <v>176</v>
      </c>
      <c r="B2340" t="inlineStr">
        <is>
          <t>The Cavern</t>
        </is>
      </c>
      <c r="C2340" s="27" t="n">
        <v>46041</v>
      </c>
      <c r="D2340" t="n">
        <v>0</v>
      </c>
      <c r="E2340" t="inlineStr">
        <is>
          <t>DINHEIRO</t>
        </is>
      </c>
    </row>
    <row r="2341">
      <c r="A2341" t="n">
        <v>176</v>
      </c>
      <c r="B2341" t="inlineStr">
        <is>
          <t>The Cavern</t>
        </is>
      </c>
      <c r="C2341" s="27" t="n">
        <v>46041</v>
      </c>
      <c r="D2341" t="n">
        <v>0</v>
      </c>
      <c r="E2341" t="inlineStr">
        <is>
          <t>ANTECIPADO</t>
        </is>
      </c>
    </row>
    <row r="2342">
      <c r="A2342" t="n">
        <v>176</v>
      </c>
      <c r="B2342" t="inlineStr">
        <is>
          <t>The Cavern</t>
        </is>
      </c>
      <c r="C2342" s="27" t="n">
        <v>46041</v>
      </c>
      <c r="D2342" t="n">
        <v>0</v>
      </c>
      <c r="E2342" t="inlineStr">
        <is>
          <t>UBER</t>
        </is>
      </c>
    </row>
    <row r="2343">
      <c r="A2343" t="n">
        <v>176</v>
      </c>
      <c r="B2343" t="inlineStr">
        <is>
          <t>The Cavern</t>
        </is>
      </c>
      <c r="C2343" s="27" t="n">
        <v>46041</v>
      </c>
      <c r="D2343" t="n">
        <v>0</v>
      </c>
      <c r="E2343" t="inlineStr">
        <is>
          <t>RAPPI</t>
        </is>
      </c>
    </row>
    <row r="2344">
      <c r="A2344" t="n">
        <v>176</v>
      </c>
      <c r="B2344" t="inlineStr">
        <is>
          <t>The Cavern</t>
        </is>
      </c>
      <c r="C2344" s="27" t="n">
        <v>46041</v>
      </c>
      <c r="D2344" t="n">
        <v>0</v>
      </c>
      <c r="E2344" t="inlineStr">
        <is>
          <t>PIX</t>
        </is>
      </c>
    </row>
    <row r="2345">
      <c r="A2345" t="n">
        <v>176</v>
      </c>
      <c r="B2345" t="inlineStr">
        <is>
          <t>The Cavern</t>
        </is>
      </c>
      <c r="C2345" s="27" t="n">
        <v>46041</v>
      </c>
      <c r="D2345" t="n">
        <v>0</v>
      </c>
      <c r="E2345" t="inlineStr">
        <is>
          <t>IFOOD</t>
        </is>
      </c>
    </row>
    <row r="2346">
      <c r="A2346" t="n">
        <v>176</v>
      </c>
      <c r="B2346" t="inlineStr">
        <is>
          <t>The Cavern</t>
        </is>
      </c>
      <c r="C2346" s="27" t="n">
        <v>46041</v>
      </c>
      <c r="D2346" t="n">
        <v>0</v>
      </c>
      <c r="E2346" t="inlineStr">
        <is>
          <t>DELIVERY ONLINE</t>
        </is>
      </c>
    </row>
    <row r="2347">
      <c r="A2347" t="n">
        <v>176</v>
      </c>
      <c r="B2347" t="inlineStr">
        <is>
          <t>The Cavern</t>
        </is>
      </c>
      <c r="C2347" s="27" t="n">
        <v>46041</v>
      </c>
      <c r="D2347" t="n">
        <v>0</v>
      </c>
      <c r="E2347" t="inlineStr">
        <is>
          <t>APP</t>
        </is>
      </c>
    </row>
    <row r="2348">
      <c r="A2348" t="n">
        <v>176</v>
      </c>
      <c r="B2348" t="inlineStr">
        <is>
          <t>The Cavern</t>
        </is>
      </c>
      <c r="C2348" s="27" t="n">
        <v>46041</v>
      </c>
      <c r="D2348" t="n">
        <v>0</v>
      </c>
      <c r="E2348" t="inlineStr">
        <is>
          <t>VOUCHER</t>
        </is>
      </c>
    </row>
    <row r="2349">
      <c r="A2349" t="n">
        <v>176</v>
      </c>
      <c r="B2349" t="inlineStr">
        <is>
          <t>The Cavern</t>
        </is>
      </c>
      <c r="C2349" s="27" t="n">
        <v>46041</v>
      </c>
      <c r="D2349" t="n">
        <v>170.63</v>
      </c>
      <c r="E2349" t="inlineStr">
        <is>
          <t>DÉBITO</t>
        </is>
      </c>
    </row>
    <row r="2350">
      <c r="A2350" t="n">
        <v>176</v>
      </c>
      <c r="B2350" t="inlineStr">
        <is>
          <t>The Cavern</t>
        </is>
      </c>
      <c r="C2350" s="27" t="n">
        <v>46041</v>
      </c>
      <c r="D2350" t="n">
        <v>0</v>
      </c>
      <c r="E2350" t="inlineStr">
        <is>
          <t>VOUCHER INTEGRADO</t>
        </is>
      </c>
    </row>
    <row r="2351">
      <c r="A2351" t="n">
        <v>176</v>
      </c>
      <c r="B2351" t="inlineStr">
        <is>
          <t>The Cavern</t>
        </is>
      </c>
      <c r="C2351" s="27" t="n">
        <v>46041</v>
      </c>
      <c r="D2351" t="n">
        <v>0</v>
      </c>
      <c r="E2351" t="inlineStr">
        <is>
          <t>MBWAY</t>
        </is>
      </c>
    </row>
    <row r="2352">
      <c r="A2352" t="n">
        <v>176</v>
      </c>
      <c r="B2352" t="inlineStr">
        <is>
          <t>The Cavern</t>
        </is>
      </c>
      <c r="C2352" s="27" t="n">
        <v>46041</v>
      </c>
      <c r="D2352" t="n">
        <v>0</v>
      </c>
      <c r="E2352" t="inlineStr">
        <is>
          <t>RECARGAS DEVOLVIDAS</t>
        </is>
      </c>
    </row>
    <row r="2353">
      <c r="A2353" t="n">
        <v>176</v>
      </c>
      <c r="B2353" t="inlineStr">
        <is>
          <t>The Cavern</t>
        </is>
      </c>
      <c r="C2353" s="27" t="n">
        <v>46041</v>
      </c>
      <c r="D2353" t="n">
        <v>0</v>
      </c>
      <c r="E2353" t="inlineStr">
        <is>
          <t>NOTAS MANUAIS + SERVIÇO</t>
        </is>
      </c>
    </row>
    <row r="2354">
      <c r="A2354" t="n">
        <v>176</v>
      </c>
      <c r="B2354" t="inlineStr">
        <is>
          <t>The Cavern</t>
        </is>
      </c>
      <c r="C2354" s="27" t="n">
        <v>46041</v>
      </c>
      <c r="D2354" t="n">
        <v>0</v>
      </c>
      <c r="E2354" t="inlineStr">
        <is>
          <t>BÔNUS</t>
        </is>
      </c>
    </row>
    <row r="2355">
      <c r="A2355" t="n">
        <v>176</v>
      </c>
      <c r="B2355" t="inlineStr">
        <is>
          <t>The Cavern</t>
        </is>
      </c>
      <c r="C2355" s="27" t="n">
        <v>46041</v>
      </c>
      <c r="D2355" t="n">
        <v>0</v>
      </c>
      <c r="E2355" t="inlineStr">
        <is>
          <t>ANTECIPADO</t>
        </is>
      </c>
    </row>
    <row r="2356">
      <c r="A2356" t="n">
        <v>176</v>
      </c>
      <c r="B2356" t="inlineStr">
        <is>
          <t>The Cavern</t>
        </is>
      </c>
      <c r="C2356" s="27" t="n">
        <v>46041</v>
      </c>
      <c r="D2356" t="n">
        <v>0</v>
      </c>
      <c r="E2356" t="inlineStr">
        <is>
          <t>OUTROS</t>
        </is>
      </c>
    </row>
    <row r="2357">
      <c r="A2357" t="n">
        <v>176</v>
      </c>
      <c r="B2357" t="inlineStr">
        <is>
          <t>The Cavern</t>
        </is>
      </c>
      <c r="C2357" s="27" t="n">
        <v>46041</v>
      </c>
      <c r="D2357" t="n">
        <v>0</v>
      </c>
      <c r="E2357" t="inlineStr">
        <is>
          <t>AME</t>
        </is>
      </c>
    </row>
    <row r="2358">
      <c r="A2358" t="n">
        <v>176</v>
      </c>
      <c r="B2358" t="inlineStr">
        <is>
          <t>The Cavern</t>
        </is>
      </c>
      <c r="C2358" s="27" t="n">
        <v>46041</v>
      </c>
      <c r="D2358" t="n">
        <v>0</v>
      </c>
      <c r="E2358" t="inlineStr">
        <is>
          <t>DELIVERY ONLINE</t>
        </is>
      </c>
    </row>
    <row r="2359">
      <c r="A2359" t="n">
        <v>176</v>
      </c>
      <c r="B2359" t="inlineStr">
        <is>
          <t>The Cavern</t>
        </is>
      </c>
      <c r="C2359" s="27" t="n">
        <v>46041</v>
      </c>
      <c r="D2359" t="n">
        <v>0</v>
      </c>
      <c r="E2359" t="inlineStr">
        <is>
          <t>APP</t>
        </is>
      </c>
    </row>
    <row r="2360">
      <c r="A2360" t="n">
        <v>176</v>
      </c>
      <c r="B2360" t="inlineStr">
        <is>
          <t>The Cavern</t>
        </is>
      </c>
      <c r="C2360" s="27" t="n">
        <v>46041</v>
      </c>
      <c r="D2360" t="n">
        <v>3131.22</v>
      </c>
      <c r="E2360" t="inlineStr">
        <is>
          <t>CRÉDITO</t>
        </is>
      </c>
    </row>
    <row r="2361">
      <c r="A2361" t="n">
        <v>176</v>
      </c>
      <c r="B2361" t="inlineStr">
        <is>
          <t>The Cavern</t>
        </is>
      </c>
      <c r="C2361" s="27" t="n">
        <v>46041</v>
      </c>
      <c r="D2361" t="n">
        <v>0</v>
      </c>
      <c r="E2361" t="inlineStr">
        <is>
          <t>DINHEIRO</t>
        </is>
      </c>
    </row>
    <row r="2362">
      <c r="A2362" t="n">
        <v>176</v>
      </c>
      <c r="B2362" t="inlineStr">
        <is>
          <t>The Cavern</t>
        </is>
      </c>
      <c r="C2362" s="27" t="n">
        <v>46041</v>
      </c>
      <c r="D2362" t="n">
        <v>0</v>
      </c>
      <c r="E2362" t="inlineStr">
        <is>
          <t>MBWAY</t>
        </is>
      </c>
    </row>
    <row r="2363">
      <c r="A2363" t="n">
        <v>176</v>
      </c>
      <c r="B2363" t="inlineStr">
        <is>
          <t>The Cavern</t>
        </is>
      </c>
      <c r="C2363" s="27" t="n">
        <v>46041</v>
      </c>
      <c r="D2363" t="n">
        <v>0</v>
      </c>
      <c r="E2363" t="inlineStr">
        <is>
          <t>VOUCHER INTEGRADO</t>
        </is>
      </c>
    </row>
    <row r="2364">
      <c r="A2364" t="n">
        <v>176</v>
      </c>
      <c r="B2364" t="inlineStr">
        <is>
          <t>The Cavern</t>
        </is>
      </c>
      <c r="C2364" s="27" t="n">
        <v>46041</v>
      </c>
      <c r="D2364" t="n">
        <v>0</v>
      </c>
      <c r="E2364" t="inlineStr">
        <is>
          <t>RECARGAS DEVOLVIDAS</t>
        </is>
      </c>
    </row>
    <row r="2365">
      <c r="A2365" t="n">
        <v>176</v>
      </c>
      <c r="B2365" t="inlineStr">
        <is>
          <t>The Cavern</t>
        </is>
      </c>
      <c r="C2365" s="27" t="n">
        <v>46041</v>
      </c>
      <c r="D2365" t="n">
        <v>0</v>
      </c>
      <c r="E2365" t="inlineStr">
        <is>
          <t>NOTAS MANUAIS + SERVIÇO</t>
        </is>
      </c>
    </row>
    <row r="2366">
      <c r="A2366" t="n">
        <v>176</v>
      </c>
      <c r="B2366" t="inlineStr">
        <is>
          <t>The Cavern</t>
        </is>
      </c>
      <c r="C2366" s="27" t="n">
        <v>46041</v>
      </c>
      <c r="D2366" t="n">
        <v>0</v>
      </c>
      <c r="E2366" t="inlineStr">
        <is>
          <t>AME</t>
        </is>
      </c>
    </row>
    <row r="2367">
      <c r="A2367" t="n">
        <v>176</v>
      </c>
      <c r="B2367" t="inlineStr">
        <is>
          <t>The Cavern</t>
        </is>
      </c>
      <c r="C2367" s="27" t="n">
        <v>46041</v>
      </c>
      <c r="D2367" t="n">
        <v>0</v>
      </c>
      <c r="E2367" t="inlineStr">
        <is>
          <t>OUTROS</t>
        </is>
      </c>
    </row>
    <row r="2368">
      <c r="A2368" t="n">
        <v>176</v>
      </c>
      <c r="B2368" t="inlineStr">
        <is>
          <t>The Cavern</t>
        </is>
      </c>
      <c r="C2368" s="27" t="n">
        <v>46041</v>
      </c>
      <c r="D2368" t="n">
        <v>0</v>
      </c>
      <c r="E2368" t="inlineStr">
        <is>
          <t>ANTECIPADO</t>
        </is>
      </c>
    </row>
    <row r="2369">
      <c r="A2369" t="n">
        <v>176</v>
      </c>
      <c r="B2369" t="inlineStr">
        <is>
          <t>The Cavern</t>
        </is>
      </c>
      <c r="C2369" s="27" t="n">
        <v>46041</v>
      </c>
      <c r="D2369" t="n">
        <v>993.17</v>
      </c>
      <c r="E2369" t="inlineStr">
        <is>
          <t>DÉBITO</t>
        </is>
      </c>
    </row>
    <row r="2370">
      <c r="A2370" t="n">
        <v>176</v>
      </c>
      <c r="B2370" t="inlineStr">
        <is>
          <t>The Cavern</t>
        </is>
      </c>
      <c r="C2370" s="27" t="n">
        <v>46041</v>
      </c>
      <c r="D2370" t="n">
        <v>0</v>
      </c>
      <c r="E2370" t="inlineStr">
        <is>
          <t>BÔNUS</t>
        </is>
      </c>
    </row>
    <row r="2371">
      <c r="A2371" t="n">
        <v>176</v>
      </c>
      <c r="B2371" t="inlineStr">
        <is>
          <t>The Cavern</t>
        </is>
      </c>
      <c r="C2371" s="27" t="n">
        <v>46041</v>
      </c>
      <c r="D2371" t="n">
        <v>0</v>
      </c>
      <c r="E2371" t="inlineStr">
        <is>
          <t>IFOOD</t>
        </is>
      </c>
    </row>
    <row r="2372">
      <c r="A2372" t="n">
        <v>176</v>
      </c>
      <c r="B2372" t="inlineStr">
        <is>
          <t>The Cavern</t>
        </is>
      </c>
      <c r="C2372" s="27" t="n">
        <v>46041</v>
      </c>
      <c r="D2372" t="n">
        <v>18.08</v>
      </c>
      <c r="E2372" t="inlineStr">
        <is>
          <t>PIX</t>
        </is>
      </c>
    </row>
    <row r="2373">
      <c r="A2373" t="n">
        <v>176</v>
      </c>
      <c r="B2373" t="inlineStr">
        <is>
          <t>The Cavern</t>
        </is>
      </c>
      <c r="C2373" s="27" t="n">
        <v>46041</v>
      </c>
      <c r="D2373" t="n">
        <v>0</v>
      </c>
      <c r="E2373" t="inlineStr">
        <is>
          <t>RAPPI</t>
        </is>
      </c>
    </row>
    <row r="2374">
      <c r="A2374" t="n">
        <v>176</v>
      </c>
      <c r="B2374" t="inlineStr">
        <is>
          <t>The Cavern</t>
        </is>
      </c>
      <c r="C2374" s="27" t="n">
        <v>46041</v>
      </c>
      <c r="D2374" t="n">
        <v>0</v>
      </c>
      <c r="E2374" t="inlineStr">
        <is>
          <t>UBER</t>
        </is>
      </c>
    </row>
    <row r="2375">
      <c r="A2375" t="n">
        <v>176</v>
      </c>
      <c r="B2375" t="inlineStr">
        <is>
          <t>The Cavern</t>
        </is>
      </c>
      <c r="C2375" s="27" t="n">
        <v>46041</v>
      </c>
      <c r="D2375" t="n">
        <v>0</v>
      </c>
      <c r="E2375" t="inlineStr">
        <is>
          <t>ANTECIPADO</t>
        </is>
      </c>
    </row>
    <row r="2376">
      <c r="A2376" t="n">
        <v>176</v>
      </c>
      <c r="B2376" t="inlineStr">
        <is>
          <t>The Cavern</t>
        </is>
      </c>
      <c r="C2376" s="27" t="n">
        <v>46041</v>
      </c>
      <c r="D2376" t="n">
        <v>0</v>
      </c>
      <c r="E2376" t="inlineStr">
        <is>
          <t>VOUCHER</t>
        </is>
      </c>
    </row>
    <row r="2377">
      <c r="A2377" t="n">
        <v>176</v>
      </c>
      <c r="B2377" t="inlineStr">
        <is>
          <t>The Cavern</t>
        </is>
      </c>
      <c r="C2377" s="27" t="n">
        <v>46040</v>
      </c>
      <c r="D2377" t="n">
        <v>689.95</v>
      </c>
      <c r="E2377" t="inlineStr">
        <is>
          <t>CRÉDITO</t>
        </is>
      </c>
    </row>
    <row r="2378">
      <c r="A2378" t="n">
        <v>176</v>
      </c>
      <c r="B2378" t="inlineStr">
        <is>
          <t>The Cavern</t>
        </is>
      </c>
      <c r="C2378" s="27" t="n">
        <v>46040</v>
      </c>
      <c r="D2378" t="n">
        <v>0</v>
      </c>
      <c r="E2378" t="inlineStr">
        <is>
          <t>DINHEIRO</t>
        </is>
      </c>
    </row>
    <row r="2379">
      <c r="A2379" t="n">
        <v>176</v>
      </c>
      <c r="B2379" t="inlineStr">
        <is>
          <t>The Cavern</t>
        </is>
      </c>
      <c r="C2379" s="27" t="n">
        <v>46040</v>
      </c>
      <c r="D2379" t="n">
        <v>0</v>
      </c>
      <c r="E2379" t="inlineStr">
        <is>
          <t>APP</t>
        </is>
      </c>
    </row>
    <row r="2380">
      <c r="A2380" t="n">
        <v>176</v>
      </c>
      <c r="B2380" t="inlineStr">
        <is>
          <t>The Cavern</t>
        </is>
      </c>
      <c r="C2380" s="27" t="n">
        <v>46040</v>
      </c>
      <c r="D2380" t="n">
        <v>0</v>
      </c>
      <c r="E2380" t="inlineStr">
        <is>
          <t>DELIVERY ONLINE</t>
        </is>
      </c>
    </row>
    <row r="2381">
      <c r="A2381" t="n">
        <v>176</v>
      </c>
      <c r="B2381" t="inlineStr">
        <is>
          <t>The Cavern</t>
        </is>
      </c>
      <c r="C2381" s="27" t="n">
        <v>46040</v>
      </c>
      <c r="D2381" t="n">
        <v>0</v>
      </c>
      <c r="E2381" t="inlineStr">
        <is>
          <t>IFOOD</t>
        </is>
      </c>
    </row>
    <row r="2382">
      <c r="A2382" t="n">
        <v>176</v>
      </c>
      <c r="B2382" t="inlineStr">
        <is>
          <t>The Cavern</t>
        </is>
      </c>
      <c r="C2382" s="27" t="n">
        <v>46040</v>
      </c>
      <c r="D2382" t="n">
        <v>97.18000000000001</v>
      </c>
      <c r="E2382" t="inlineStr">
        <is>
          <t>PIX</t>
        </is>
      </c>
    </row>
    <row r="2383">
      <c r="A2383" t="n">
        <v>176</v>
      </c>
      <c r="B2383" t="inlineStr">
        <is>
          <t>The Cavern</t>
        </is>
      </c>
      <c r="C2383" s="27" t="n">
        <v>46040</v>
      </c>
      <c r="D2383" t="n">
        <v>0</v>
      </c>
      <c r="E2383" t="inlineStr">
        <is>
          <t>RAPPI</t>
        </is>
      </c>
    </row>
    <row r="2384">
      <c r="A2384" t="n">
        <v>176</v>
      </c>
      <c r="B2384" t="inlineStr">
        <is>
          <t>The Cavern</t>
        </is>
      </c>
      <c r="C2384" s="27" t="n">
        <v>46040</v>
      </c>
      <c r="D2384" t="n">
        <v>0</v>
      </c>
      <c r="E2384" t="inlineStr">
        <is>
          <t>UBER</t>
        </is>
      </c>
    </row>
    <row r="2385">
      <c r="A2385" t="n">
        <v>176</v>
      </c>
      <c r="B2385" t="inlineStr">
        <is>
          <t>The Cavern</t>
        </is>
      </c>
      <c r="C2385" s="27" t="n">
        <v>46040</v>
      </c>
      <c r="D2385" t="n">
        <v>0</v>
      </c>
      <c r="E2385" t="inlineStr">
        <is>
          <t>ANTECIPADO</t>
        </is>
      </c>
    </row>
    <row r="2386">
      <c r="A2386" t="n">
        <v>176</v>
      </c>
      <c r="B2386" t="inlineStr">
        <is>
          <t>The Cavern</t>
        </is>
      </c>
      <c r="C2386" s="27" t="n">
        <v>46040</v>
      </c>
      <c r="D2386" t="n">
        <v>0</v>
      </c>
      <c r="E2386" t="inlineStr">
        <is>
          <t>VOUCHER</t>
        </is>
      </c>
    </row>
    <row r="2387">
      <c r="A2387" t="n">
        <v>176</v>
      </c>
      <c r="B2387" t="inlineStr">
        <is>
          <t>The Cavern</t>
        </is>
      </c>
      <c r="C2387" s="27" t="n">
        <v>46040</v>
      </c>
      <c r="D2387" t="n">
        <v>0</v>
      </c>
      <c r="E2387" t="inlineStr">
        <is>
          <t>BÔNUS</t>
        </is>
      </c>
    </row>
    <row r="2388">
      <c r="A2388" t="n">
        <v>176</v>
      </c>
      <c r="B2388" t="inlineStr">
        <is>
          <t>The Cavern</t>
        </is>
      </c>
      <c r="C2388" s="27" t="n">
        <v>46040</v>
      </c>
      <c r="D2388" t="n">
        <v>0</v>
      </c>
      <c r="E2388" t="inlineStr">
        <is>
          <t>ANTECIPADO</t>
        </is>
      </c>
    </row>
    <row r="2389">
      <c r="A2389" t="n">
        <v>176</v>
      </c>
      <c r="B2389" t="inlineStr">
        <is>
          <t>The Cavern</t>
        </is>
      </c>
      <c r="C2389" s="27" t="n">
        <v>46040</v>
      </c>
      <c r="D2389" t="n">
        <v>0</v>
      </c>
      <c r="E2389" t="inlineStr">
        <is>
          <t>OUTROS</t>
        </is>
      </c>
    </row>
    <row r="2390">
      <c r="A2390" t="n">
        <v>176</v>
      </c>
      <c r="B2390" t="inlineStr">
        <is>
          <t>The Cavern</t>
        </is>
      </c>
      <c r="C2390" s="27" t="n">
        <v>46040</v>
      </c>
      <c r="D2390" t="n">
        <v>0</v>
      </c>
      <c r="E2390" t="inlineStr">
        <is>
          <t>AME</t>
        </is>
      </c>
    </row>
    <row r="2391">
      <c r="A2391" t="n">
        <v>176</v>
      </c>
      <c r="B2391" t="inlineStr">
        <is>
          <t>The Cavern</t>
        </is>
      </c>
      <c r="C2391" s="27" t="n">
        <v>46040</v>
      </c>
      <c r="D2391" t="n">
        <v>0</v>
      </c>
      <c r="E2391" t="inlineStr">
        <is>
          <t>NOTAS MANUAIS + SERVIÇO</t>
        </is>
      </c>
    </row>
    <row r="2392">
      <c r="A2392" t="n">
        <v>176</v>
      </c>
      <c r="B2392" t="inlineStr">
        <is>
          <t>The Cavern</t>
        </is>
      </c>
      <c r="C2392" s="27" t="n">
        <v>46040</v>
      </c>
      <c r="D2392" t="n">
        <v>0</v>
      </c>
      <c r="E2392" t="inlineStr">
        <is>
          <t>RECARGAS DEVOLVIDAS</t>
        </is>
      </c>
    </row>
    <row r="2393">
      <c r="A2393" t="n">
        <v>176</v>
      </c>
      <c r="B2393" t="inlineStr">
        <is>
          <t>The Cavern</t>
        </is>
      </c>
      <c r="C2393" s="27" t="n">
        <v>46040</v>
      </c>
      <c r="D2393" t="n">
        <v>0</v>
      </c>
      <c r="E2393" t="inlineStr">
        <is>
          <t>VOUCHER INTEGRADO</t>
        </is>
      </c>
    </row>
    <row r="2394">
      <c r="A2394" t="n">
        <v>176</v>
      </c>
      <c r="B2394" t="inlineStr">
        <is>
          <t>The Cavern</t>
        </is>
      </c>
      <c r="C2394" s="27" t="n">
        <v>46040</v>
      </c>
      <c r="D2394" t="n">
        <v>0</v>
      </c>
      <c r="E2394" t="inlineStr">
        <is>
          <t>DÉBITO</t>
        </is>
      </c>
    </row>
    <row r="2395">
      <c r="A2395" t="n">
        <v>176</v>
      </c>
      <c r="B2395" t="inlineStr">
        <is>
          <t>The Cavern</t>
        </is>
      </c>
      <c r="C2395" s="27" t="n">
        <v>46040</v>
      </c>
      <c r="D2395" t="n">
        <v>0</v>
      </c>
      <c r="E2395" t="inlineStr">
        <is>
          <t>MBWAY</t>
        </is>
      </c>
    </row>
    <row r="2396">
      <c r="A2396" t="n">
        <v>176</v>
      </c>
      <c r="B2396" t="inlineStr">
        <is>
          <t>The Cavern</t>
        </is>
      </c>
      <c r="C2396" s="27" t="n">
        <v>46040</v>
      </c>
      <c r="D2396" t="n">
        <v>0</v>
      </c>
      <c r="E2396" t="inlineStr">
        <is>
          <t>VOUCHER</t>
        </is>
      </c>
    </row>
    <row r="2397">
      <c r="A2397" t="n">
        <v>176</v>
      </c>
      <c r="B2397" t="inlineStr">
        <is>
          <t>The Cavern</t>
        </is>
      </c>
      <c r="C2397" s="27" t="n">
        <v>46040</v>
      </c>
      <c r="D2397" t="n">
        <v>0</v>
      </c>
      <c r="E2397" t="inlineStr">
        <is>
          <t>MBWAY</t>
        </is>
      </c>
    </row>
    <row r="2398">
      <c r="A2398" t="n">
        <v>176</v>
      </c>
      <c r="B2398" t="inlineStr">
        <is>
          <t>The Cavern</t>
        </is>
      </c>
      <c r="C2398" s="27" t="n">
        <v>46040</v>
      </c>
      <c r="D2398" t="n">
        <v>0</v>
      </c>
      <c r="E2398" t="inlineStr">
        <is>
          <t>VOUCHER INTEGRADO</t>
        </is>
      </c>
    </row>
    <row r="2399">
      <c r="A2399" t="n">
        <v>176</v>
      </c>
      <c r="B2399" t="inlineStr">
        <is>
          <t>The Cavern</t>
        </is>
      </c>
      <c r="C2399" s="27" t="n">
        <v>46040</v>
      </c>
      <c r="D2399" t="n">
        <v>0</v>
      </c>
      <c r="E2399" t="inlineStr">
        <is>
          <t>RECARGAS DEVOLVIDAS</t>
        </is>
      </c>
    </row>
    <row r="2400">
      <c r="A2400" t="n">
        <v>176</v>
      </c>
      <c r="B2400" t="inlineStr">
        <is>
          <t>The Cavern</t>
        </is>
      </c>
      <c r="C2400" s="27" t="n">
        <v>46040</v>
      </c>
      <c r="D2400" t="n">
        <v>0</v>
      </c>
      <c r="E2400" t="inlineStr">
        <is>
          <t>NOTAS MANUAIS + SERVIÇO</t>
        </is>
      </c>
    </row>
    <row r="2401">
      <c r="A2401" t="n">
        <v>176</v>
      </c>
      <c r="B2401" t="inlineStr">
        <is>
          <t>The Cavern</t>
        </is>
      </c>
      <c r="C2401" s="27" t="n">
        <v>46040</v>
      </c>
      <c r="D2401" t="n">
        <v>0</v>
      </c>
      <c r="E2401" t="inlineStr">
        <is>
          <t>AME</t>
        </is>
      </c>
    </row>
    <row r="2402">
      <c r="A2402" t="n">
        <v>176</v>
      </c>
      <c r="B2402" t="inlineStr">
        <is>
          <t>The Cavern</t>
        </is>
      </c>
      <c r="C2402" s="27" t="n">
        <v>46040</v>
      </c>
      <c r="D2402" t="n">
        <v>0</v>
      </c>
      <c r="E2402" t="inlineStr">
        <is>
          <t>OUTROS</t>
        </is>
      </c>
    </row>
    <row r="2403">
      <c r="A2403" t="n">
        <v>176</v>
      </c>
      <c r="B2403" t="inlineStr">
        <is>
          <t>The Cavern</t>
        </is>
      </c>
      <c r="C2403" s="27" t="n">
        <v>46040</v>
      </c>
      <c r="D2403" t="n">
        <v>0</v>
      </c>
      <c r="E2403" t="inlineStr">
        <is>
          <t>ANTECIPADO</t>
        </is>
      </c>
    </row>
    <row r="2404">
      <c r="A2404" t="n">
        <v>176</v>
      </c>
      <c r="B2404" t="inlineStr">
        <is>
          <t>The Cavern</t>
        </is>
      </c>
      <c r="C2404" s="27" t="n">
        <v>46040</v>
      </c>
      <c r="D2404" t="n">
        <v>0</v>
      </c>
      <c r="E2404" t="inlineStr">
        <is>
          <t>BÔNUS</t>
        </is>
      </c>
    </row>
    <row r="2405">
      <c r="A2405" t="n">
        <v>176</v>
      </c>
      <c r="B2405" t="inlineStr">
        <is>
          <t>The Cavern</t>
        </is>
      </c>
      <c r="C2405" s="27" t="n">
        <v>46040</v>
      </c>
      <c r="D2405" t="n">
        <v>142.38</v>
      </c>
      <c r="E2405" t="inlineStr">
        <is>
          <t>DÉBITO</t>
        </is>
      </c>
    </row>
    <row r="2406">
      <c r="A2406" t="n">
        <v>176</v>
      </c>
      <c r="B2406" t="inlineStr">
        <is>
          <t>The Cavern</t>
        </is>
      </c>
      <c r="C2406" s="27" t="n">
        <v>46040</v>
      </c>
      <c r="D2406" t="n">
        <v>2948.59</v>
      </c>
      <c r="E2406" t="inlineStr">
        <is>
          <t>CRÉDITO</t>
        </is>
      </c>
    </row>
    <row r="2407">
      <c r="A2407" t="n">
        <v>176</v>
      </c>
      <c r="B2407" t="inlineStr">
        <is>
          <t>The Cavern</t>
        </is>
      </c>
      <c r="C2407" s="27" t="n">
        <v>46040</v>
      </c>
      <c r="D2407" t="n">
        <v>0</v>
      </c>
      <c r="E2407" t="inlineStr">
        <is>
          <t>ANTECIPADO</t>
        </is>
      </c>
    </row>
    <row r="2408">
      <c r="A2408" t="n">
        <v>176</v>
      </c>
      <c r="B2408" t="inlineStr">
        <is>
          <t>The Cavern</t>
        </is>
      </c>
      <c r="C2408" s="27" t="n">
        <v>46040</v>
      </c>
      <c r="D2408" t="n">
        <v>0</v>
      </c>
      <c r="E2408" t="inlineStr">
        <is>
          <t>UBER</t>
        </is>
      </c>
    </row>
    <row r="2409">
      <c r="A2409" t="n">
        <v>176</v>
      </c>
      <c r="B2409" t="inlineStr">
        <is>
          <t>The Cavern</t>
        </is>
      </c>
      <c r="C2409" s="27" t="n">
        <v>46040</v>
      </c>
      <c r="D2409" t="n">
        <v>0</v>
      </c>
      <c r="E2409" t="inlineStr">
        <is>
          <t>RAPPI</t>
        </is>
      </c>
    </row>
    <row r="2410">
      <c r="A2410" t="n">
        <v>176</v>
      </c>
      <c r="B2410" t="inlineStr">
        <is>
          <t>The Cavern</t>
        </is>
      </c>
      <c r="C2410" s="27" t="n">
        <v>46040</v>
      </c>
      <c r="D2410" t="n">
        <v>0</v>
      </c>
      <c r="E2410" t="inlineStr">
        <is>
          <t>PIX</t>
        </is>
      </c>
    </row>
    <row r="2411">
      <c r="A2411" t="n">
        <v>176</v>
      </c>
      <c r="B2411" t="inlineStr">
        <is>
          <t>The Cavern</t>
        </is>
      </c>
      <c r="C2411" s="27" t="n">
        <v>46040</v>
      </c>
      <c r="D2411" t="n">
        <v>0</v>
      </c>
      <c r="E2411" t="inlineStr">
        <is>
          <t>IFOOD</t>
        </is>
      </c>
    </row>
    <row r="2412">
      <c r="A2412" t="n">
        <v>176</v>
      </c>
      <c r="B2412" t="inlineStr">
        <is>
          <t>The Cavern</t>
        </is>
      </c>
      <c r="C2412" s="27" t="n">
        <v>46040</v>
      </c>
      <c r="D2412" t="n">
        <v>0</v>
      </c>
      <c r="E2412" t="inlineStr">
        <is>
          <t>DELIVERY ONLINE</t>
        </is>
      </c>
    </row>
    <row r="2413">
      <c r="A2413" t="n">
        <v>176</v>
      </c>
      <c r="B2413" t="inlineStr">
        <is>
          <t>The Cavern</t>
        </is>
      </c>
      <c r="C2413" s="27" t="n">
        <v>46040</v>
      </c>
      <c r="D2413" t="n">
        <v>0</v>
      </c>
      <c r="E2413" t="inlineStr">
        <is>
          <t>APP</t>
        </is>
      </c>
    </row>
    <row r="2414">
      <c r="A2414" t="n">
        <v>176</v>
      </c>
      <c r="B2414" t="inlineStr">
        <is>
          <t>The Cavern</t>
        </is>
      </c>
      <c r="C2414" s="27" t="n">
        <v>46040</v>
      </c>
      <c r="D2414" t="n">
        <v>0</v>
      </c>
      <c r="E2414" t="inlineStr">
        <is>
          <t>DINHEIRO</t>
        </is>
      </c>
    </row>
    <row r="2415">
      <c r="A2415" t="n">
        <v>176</v>
      </c>
      <c r="B2415" t="inlineStr">
        <is>
          <t>The Cavern</t>
        </is>
      </c>
      <c r="C2415" s="27" t="n">
        <v>46039</v>
      </c>
      <c r="D2415" t="n">
        <v>0</v>
      </c>
      <c r="E2415" t="inlineStr">
        <is>
          <t>BÔNUS</t>
        </is>
      </c>
    </row>
    <row r="2416">
      <c r="A2416" t="n">
        <v>176</v>
      </c>
      <c r="B2416" t="inlineStr">
        <is>
          <t>The Cavern</t>
        </is>
      </c>
      <c r="C2416" s="27" t="n">
        <v>46039</v>
      </c>
      <c r="D2416" t="n">
        <v>0</v>
      </c>
      <c r="E2416" t="inlineStr">
        <is>
          <t>APP</t>
        </is>
      </c>
    </row>
    <row r="2417">
      <c r="A2417" t="n">
        <v>176</v>
      </c>
      <c r="B2417" t="inlineStr">
        <is>
          <t>The Cavern</t>
        </is>
      </c>
      <c r="C2417" s="27" t="n">
        <v>46039</v>
      </c>
      <c r="D2417" t="n">
        <v>0</v>
      </c>
      <c r="E2417" t="inlineStr">
        <is>
          <t>DELIVERY ONLINE</t>
        </is>
      </c>
    </row>
    <row r="2418">
      <c r="A2418" t="n">
        <v>176</v>
      </c>
      <c r="B2418" t="inlineStr">
        <is>
          <t>The Cavern</t>
        </is>
      </c>
      <c r="C2418" s="27" t="n">
        <v>46039</v>
      </c>
      <c r="D2418" t="n">
        <v>0</v>
      </c>
      <c r="E2418" t="inlineStr">
        <is>
          <t>IFOOD</t>
        </is>
      </c>
    </row>
    <row r="2419">
      <c r="A2419" t="n">
        <v>176</v>
      </c>
      <c r="B2419" t="inlineStr">
        <is>
          <t>The Cavern</t>
        </is>
      </c>
      <c r="C2419" s="27" t="n">
        <v>46039</v>
      </c>
      <c r="D2419" t="n">
        <v>87.01000000000001</v>
      </c>
      <c r="E2419" t="inlineStr">
        <is>
          <t>PIX</t>
        </is>
      </c>
    </row>
    <row r="2420">
      <c r="A2420" t="n">
        <v>176</v>
      </c>
      <c r="B2420" t="inlineStr">
        <is>
          <t>The Cavern</t>
        </is>
      </c>
      <c r="C2420" s="27" t="n">
        <v>46039</v>
      </c>
      <c r="D2420" t="n">
        <v>0</v>
      </c>
      <c r="E2420" t="inlineStr">
        <is>
          <t>RAPPI</t>
        </is>
      </c>
    </row>
    <row r="2421">
      <c r="A2421" t="n">
        <v>176</v>
      </c>
      <c r="B2421" t="inlineStr">
        <is>
          <t>The Cavern</t>
        </is>
      </c>
      <c r="C2421" s="27" t="n">
        <v>46039</v>
      </c>
      <c r="D2421" t="n">
        <v>0</v>
      </c>
      <c r="E2421" t="inlineStr">
        <is>
          <t>UBER</t>
        </is>
      </c>
    </row>
    <row r="2422">
      <c r="A2422" t="n">
        <v>176</v>
      </c>
      <c r="B2422" t="inlineStr">
        <is>
          <t>The Cavern</t>
        </is>
      </c>
      <c r="C2422" s="27" t="n">
        <v>46039</v>
      </c>
      <c r="D2422" t="n">
        <v>0</v>
      </c>
      <c r="E2422" t="inlineStr">
        <is>
          <t>ANTECIPADO</t>
        </is>
      </c>
    </row>
    <row r="2423">
      <c r="A2423" t="n">
        <v>176</v>
      </c>
      <c r="B2423" t="inlineStr">
        <is>
          <t>The Cavern</t>
        </is>
      </c>
      <c r="C2423" s="27" t="n">
        <v>46039</v>
      </c>
      <c r="D2423" t="n">
        <v>0</v>
      </c>
      <c r="E2423" t="inlineStr">
        <is>
          <t>VOUCHER</t>
        </is>
      </c>
    </row>
    <row r="2424">
      <c r="A2424" t="n">
        <v>176</v>
      </c>
      <c r="B2424" t="inlineStr">
        <is>
          <t>The Cavern</t>
        </is>
      </c>
      <c r="C2424" s="27" t="n">
        <v>46039</v>
      </c>
      <c r="D2424" t="n">
        <v>97.18000000000001</v>
      </c>
      <c r="E2424" t="inlineStr">
        <is>
          <t>DÉBITO</t>
        </is>
      </c>
    </row>
    <row r="2425">
      <c r="A2425" t="n">
        <v>176</v>
      </c>
      <c r="B2425" t="inlineStr">
        <is>
          <t>The Cavern</t>
        </is>
      </c>
      <c r="C2425" s="27" t="n">
        <v>46039</v>
      </c>
      <c r="D2425" t="n">
        <v>1454.31</v>
      </c>
      <c r="E2425" t="inlineStr">
        <is>
          <t>CRÉDITO</t>
        </is>
      </c>
    </row>
    <row r="2426">
      <c r="A2426" t="n">
        <v>176</v>
      </c>
      <c r="B2426" t="inlineStr">
        <is>
          <t>The Cavern</t>
        </is>
      </c>
      <c r="C2426" s="27" t="n">
        <v>46039</v>
      </c>
      <c r="D2426" t="n">
        <v>0</v>
      </c>
      <c r="E2426" t="inlineStr">
        <is>
          <t>ANTECIPADO</t>
        </is>
      </c>
    </row>
    <row r="2427">
      <c r="A2427" t="n">
        <v>176</v>
      </c>
      <c r="B2427" t="inlineStr">
        <is>
          <t>The Cavern</t>
        </is>
      </c>
      <c r="C2427" s="27" t="n">
        <v>46039</v>
      </c>
      <c r="D2427" t="n">
        <v>0</v>
      </c>
      <c r="E2427" t="inlineStr">
        <is>
          <t>OUTROS</t>
        </is>
      </c>
    </row>
    <row r="2428">
      <c r="A2428" t="n">
        <v>176</v>
      </c>
      <c r="B2428" t="inlineStr">
        <is>
          <t>The Cavern</t>
        </is>
      </c>
      <c r="C2428" s="27" t="n">
        <v>46039</v>
      </c>
      <c r="D2428" t="n">
        <v>0</v>
      </c>
      <c r="E2428" t="inlineStr">
        <is>
          <t>AME</t>
        </is>
      </c>
    </row>
    <row r="2429">
      <c r="A2429" t="n">
        <v>176</v>
      </c>
      <c r="B2429" t="inlineStr">
        <is>
          <t>The Cavern</t>
        </is>
      </c>
      <c r="C2429" s="27" t="n">
        <v>46039</v>
      </c>
      <c r="D2429" t="n">
        <v>0</v>
      </c>
      <c r="E2429" t="inlineStr">
        <is>
          <t>NOTAS MANUAIS + SERVIÇO</t>
        </is>
      </c>
    </row>
    <row r="2430">
      <c r="A2430" t="n">
        <v>176</v>
      </c>
      <c r="B2430" t="inlineStr">
        <is>
          <t>The Cavern</t>
        </is>
      </c>
      <c r="C2430" s="27" t="n">
        <v>46039</v>
      </c>
      <c r="D2430" t="n">
        <v>0</v>
      </c>
      <c r="E2430" t="inlineStr">
        <is>
          <t>RECARGAS DEVOLVIDAS</t>
        </is>
      </c>
    </row>
    <row r="2431">
      <c r="A2431" t="n">
        <v>176</v>
      </c>
      <c r="B2431" t="inlineStr">
        <is>
          <t>The Cavern</t>
        </is>
      </c>
      <c r="C2431" s="27" t="n">
        <v>46039</v>
      </c>
      <c r="D2431" t="n">
        <v>0</v>
      </c>
      <c r="E2431" t="inlineStr">
        <is>
          <t>VOUCHER INTEGRADO</t>
        </is>
      </c>
    </row>
    <row r="2432">
      <c r="A2432" t="n">
        <v>176</v>
      </c>
      <c r="B2432" t="inlineStr">
        <is>
          <t>The Cavern</t>
        </is>
      </c>
      <c r="C2432" s="27" t="n">
        <v>46039</v>
      </c>
      <c r="D2432" t="n">
        <v>0</v>
      </c>
      <c r="E2432" t="inlineStr">
        <is>
          <t>MBWAY</t>
        </is>
      </c>
    </row>
    <row r="2433">
      <c r="A2433" t="n">
        <v>176</v>
      </c>
      <c r="B2433" t="inlineStr">
        <is>
          <t>The Cavern</t>
        </is>
      </c>
      <c r="C2433" s="27" t="n">
        <v>46039</v>
      </c>
      <c r="D2433" t="n">
        <v>18680.94</v>
      </c>
      <c r="E2433" t="inlineStr">
        <is>
          <t>CRÉDITO</t>
        </is>
      </c>
    </row>
    <row r="2434">
      <c r="A2434" t="n">
        <v>176</v>
      </c>
      <c r="B2434" t="inlineStr">
        <is>
          <t>The Cavern</t>
        </is>
      </c>
      <c r="C2434" s="27" t="n">
        <v>46039</v>
      </c>
      <c r="D2434" t="n">
        <v>0</v>
      </c>
      <c r="E2434" t="inlineStr">
        <is>
          <t>IFOOD</t>
        </is>
      </c>
    </row>
    <row r="2435">
      <c r="A2435" t="n">
        <v>176</v>
      </c>
      <c r="B2435" t="inlineStr">
        <is>
          <t>The Cavern</t>
        </is>
      </c>
      <c r="C2435" s="27" t="n">
        <v>46039</v>
      </c>
      <c r="D2435" t="n">
        <v>157.07</v>
      </c>
      <c r="E2435" t="inlineStr">
        <is>
          <t>DINHEIRO</t>
        </is>
      </c>
    </row>
    <row r="2436">
      <c r="A2436" t="n">
        <v>176</v>
      </c>
      <c r="B2436" t="inlineStr">
        <is>
          <t>The Cavern</t>
        </is>
      </c>
      <c r="C2436" s="27" t="n">
        <v>46039</v>
      </c>
      <c r="D2436" t="n">
        <v>578.5599999999999</v>
      </c>
      <c r="E2436" t="inlineStr">
        <is>
          <t>PIX</t>
        </is>
      </c>
    </row>
    <row r="2437">
      <c r="A2437" t="n">
        <v>176</v>
      </c>
      <c r="B2437" t="inlineStr">
        <is>
          <t>The Cavern</t>
        </is>
      </c>
      <c r="C2437" s="27" t="n">
        <v>46039</v>
      </c>
      <c r="D2437" t="n">
        <v>0</v>
      </c>
      <c r="E2437" t="inlineStr">
        <is>
          <t>RAPPI</t>
        </is>
      </c>
    </row>
    <row r="2438">
      <c r="A2438" t="n">
        <v>176</v>
      </c>
      <c r="B2438" t="inlineStr">
        <is>
          <t>The Cavern</t>
        </is>
      </c>
      <c r="C2438" s="27" t="n">
        <v>46039</v>
      </c>
      <c r="D2438" t="n">
        <v>0</v>
      </c>
      <c r="E2438" t="inlineStr">
        <is>
          <t>UBER</t>
        </is>
      </c>
    </row>
    <row r="2439">
      <c r="A2439" t="n">
        <v>176</v>
      </c>
      <c r="B2439" t="inlineStr">
        <is>
          <t>The Cavern</t>
        </is>
      </c>
      <c r="C2439" s="27" t="n">
        <v>46039</v>
      </c>
      <c r="D2439" t="n">
        <v>0</v>
      </c>
      <c r="E2439" t="inlineStr">
        <is>
          <t>ANTECIPADO</t>
        </is>
      </c>
    </row>
    <row r="2440">
      <c r="A2440" t="n">
        <v>176</v>
      </c>
      <c r="B2440" t="inlineStr">
        <is>
          <t>The Cavern</t>
        </is>
      </c>
      <c r="C2440" s="27" t="n">
        <v>46039</v>
      </c>
      <c r="D2440" t="n">
        <v>0</v>
      </c>
      <c r="E2440" t="inlineStr">
        <is>
          <t>VOUCHER</t>
        </is>
      </c>
    </row>
    <row r="2441">
      <c r="A2441" t="n">
        <v>176</v>
      </c>
      <c r="B2441" t="inlineStr">
        <is>
          <t>The Cavern</t>
        </is>
      </c>
      <c r="C2441" s="27" t="n">
        <v>46039</v>
      </c>
      <c r="D2441" t="n">
        <v>4846.57</v>
      </c>
      <c r="E2441" t="inlineStr">
        <is>
          <t>DÉBITO</t>
        </is>
      </c>
    </row>
    <row r="2442">
      <c r="A2442" t="n">
        <v>176</v>
      </c>
      <c r="B2442" t="inlineStr">
        <is>
          <t>The Cavern</t>
        </is>
      </c>
      <c r="C2442" s="27" t="n">
        <v>46039</v>
      </c>
      <c r="D2442" t="n">
        <v>0</v>
      </c>
      <c r="E2442" t="inlineStr">
        <is>
          <t>BÔNUS</t>
        </is>
      </c>
    </row>
    <row r="2443">
      <c r="A2443" t="n">
        <v>176</v>
      </c>
      <c r="B2443" t="inlineStr">
        <is>
          <t>The Cavern</t>
        </is>
      </c>
      <c r="C2443" s="27" t="n">
        <v>46039</v>
      </c>
      <c r="D2443" t="n">
        <v>0</v>
      </c>
      <c r="E2443" t="inlineStr">
        <is>
          <t>ANTECIPADO</t>
        </is>
      </c>
    </row>
    <row r="2444">
      <c r="A2444" t="n">
        <v>176</v>
      </c>
      <c r="B2444" t="inlineStr">
        <is>
          <t>The Cavern</t>
        </is>
      </c>
      <c r="C2444" s="27" t="n">
        <v>46039</v>
      </c>
      <c r="D2444" t="n">
        <v>0</v>
      </c>
      <c r="E2444" t="inlineStr">
        <is>
          <t>AME</t>
        </is>
      </c>
    </row>
    <row r="2445">
      <c r="A2445" t="n">
        <v>176</v>
      </c>
      <c r="B2445" t="inlineStr">
        <is>
          <t>The Cavern</t>
        </is>
      </c>
      <c r="C2445" s="27" t="n">
        <v>46039</v>
      </c>
      <c r="D2445" t="n">
        <v>0</v>
      </c>
      <c r="E2445" t="inlineStr">
        <is>
          <t>NOTAS MANUAIS + SERVIÇO</t>
        </is>
      </c>
    </row>
    <row r="2446">
      <c r="A2446" t="n">
        <v>176</v>
      </c>
      <c r="B2446" t="inlineStr">
        <is>
          <t>The Cavern</t>
        </is>
      </c>
      <c r="C2446" s="27" t="n">
        <v>46039</v>
      </c>
      <c r="D2446" t="n">
        <v>0</v>
      </c>
      <c r="E2446" t="inlineStr">
        <is>
          <t>RECARGAS DEVOLVIDAS</t>
        </is>
      </c>
    </row>
    <row r="2447">
      <c r="A2447" t="n">
        <v>176</v>
      </c>
      <c r="B2447" t="inlineStr">
        <is>
          <t>The Cavern</t>
        </is>
      </c>
      <c r="C2447" s="27" t="n">
        <v>46039</v>
      </c>
      <c r="D2447" t="n">
        <v>0</v>
      </c>
      <c r="E2447" t="inlineStr">
        <is>
          <t>VOUCHER INTEGRADO</t>
        </is>
      </c>
    </row>
    <row r="2448">
      <c r="A2448" t="n">
        <v>176</v>
      </c>
      <c r="B2448" t="inlineStr">
        <is>
          <t>The Cavern</t>
        </is>
      </c>
      <c r="C2448" s="27" t="n">
        <v>46039</v>
      </c>
      <c r="D2448" t="n">
        <v>0</v>
      </c>
      <c r="E2448" t="inlineStr">
        <is>
          <t>MBWAY</t>
        </is>
      </c>
    </row>
    <row r="2449">
      <c r="A2449" t="n">
        <v>176</v>
      </c>
      <c r="B2449" t="inlineStr">
        <is>
          <t>The Cavern</t>
        </is>
      </c>
      <c r="C2449" s="27" t="n">
        <v>46039</v>
      </c>
      <c r="D2449" t="n">
        <v>0</v>
      </c>
      <c r="E2449" t="inlineStr">
        <is>
          <t>DELIVERY ONLINE</t>
        </is>
      </c>
    </row>
    <row r="2450">
      <c r="A2450" t="n">
        <v>176</v>
      </c>
      <c r="B2450" t="inlineStr">
        <is>
          <t>The Cavern</t>
        </is>
      </c>
      <c r="C2450" s="27" t="n">
        <v>46039</v>
      </c>
      <c r="D2450" t="n">
        <v>7</v>
      </c>
      <c r="E2450" t="inlineStr">
        <is>
          <t>APP</t>
        </is>
      </c>
    </row>
    <row r="2451">
      <c r="A2451" t="n">
        <v>176</v>
      </c>
      <c r="B2451" t="inlineStr">
        <is>
          <t>The Cavern</t>
        </is>
      </c>
      <c r="C2451" s="27" t="n">
        <v>46039</v>
      </c>
      <c r="D2451" t="n">
        <v>0</v>
      </c>
      <c r="E2451" t="inlineStr">
        <is>
          <t>OUTROS</t>
        </is>
      </c>
    </row>
    <row r="2452">
      <c r="A2452" t="n">
        <v>176</v>
      </c>
      <c r="B2452" t="inlineStr">
        <is>
          <t>The Cavern</t>
        </is>
      </c>
      <c r="C2452" s="27" t="n">
        <v>46039</v>
      </c>
      <c r="D2452" t="n">
        <v>0</v>
      </c>
      <c r="E2452" t="inlineStr">
        <is>
          <t>DINHEIRO</t>
        </is>
      </c>
    </row>
    <row r="2453">
      <c r="A2453" t="n">
        <v>176</v>
      </c>
      <c r="B2453" t="inlineStr">
        <is>
          <t>The Cavern</t>
        </is>
      </c>
      <c r="C2453" s="27" t="n">
        <v>46038</v>
      </c>
      <c r="D2453" t="n">
        <v>10</v>
      </c>
      <c r="E2453" t="inlineStr">
        <is>
          <t>APP</t>
        </is>
      </c>
    </row>
    <row r="2454">
      <c r="A2454" t="n">
        <v>176</v>
      </c>
      <c r="B2454" t="inlineStr">
        <is>
          <t>The Cavern</t>
        </is>
      </c>
      <c r="C2454" s="27" t="n">
        <v>46038</v>
      </c>
      <c r="D2454" t="n">
        <v>0</v>
      </c>
      <c r="E2454" t="inlineStr">
        <is>
          <t>DELIVERY ONLINE</t>
        </is>
      </c>
    </row>
    <row r="2455">
      <c r="A2455" t="n">
        <v>176</v>
      </c>
      <c r="B2455" t="inlineStr">
        <is>
          <t>The Cavern</t>
        </is>
      </c>
      <c r="C2455" s="27" t="n">
        <v>46038</v>
      </c>
      <c r="D2455" t="n">
        <v>0</v>
      </c>
      <c r="E2455" t="inlineStr">
        <is>
          <t>BÔNUS</t>
        </is>
      </c>
    </row>
    <row r="2456">
      <c r="A2456" t="n">
        <v>176</v>
      </c>
      <c r="B2456" t="inlineStr">
        <is>
          <t>The Cavern</t>
        </is>
      </c>
      <c r="C2456" s="27" t="n">
        <v>46038</v>
      </c>
      <c r="D2456" t="n">
        <v>4548.02</v>
      </c>
      <c r="E2456" t="inlineStr">
        <is>
          <t>DÉBITO</t>
        </is>
      </c>
    </row>
    <row r="2457">
      <c r="A2457" t="n">
        <v>176</v>
      </c>
      <c r="B2457" t="inlineStr">
        <is>
          <t>The Cavern</t>
        </is>
      </c>
      <c r="C2457" s="27" t="n">
        <v>46038</v>
      </c>
      <c r="D2457" t="n">
        <v>0</v>
      </c>
      <c r="E2457" t="inlineStr">
        <is>
          <t>VOUCHER</t>
        </is>
      </c>
    </row>
    <row r="2458">
      <c r="A2458" t="n">
        <v>176</v>
      </c>
      <c r="B2458" t="inlineStr">
        <is>
          <t>The Cavern</t>
        </is>
      </c>
      <c r="C2458" s="27" t="n">
        <v>46038</v>
      </c>
      <c r="D2458" t="n">
        <v>0</v>
      </c>
      <c r="E2458" t="inlineStr">
        <is>
          <t>ANTECIPADO</t>
        </is>
      </c>
    </row>
    <row r="2459">
      <c r="A2459" t="n">
        <v>176</v>
      </c>
      <c r="B2459" t="inlineStr">
        <is>
          <t>The Cavern</t>
        </is>
      </c>
      <c r="C2459" s="27" t="n">
        <v>46038</v>
      </c>
      <c r="D2459" t="n">
        <v>0</v>
      </c>
      <c r="E2459" t="inlineStr">
        <is>
          <t>UBER</t>
        </is>
      </c>
    </row>
    <row r="2460">
      <c r="A2460" t="n">
        <v>176</v>
      </c>
      <c r="B2460" t="inlineStr">
        <is>
          <t>The Cavern</t>
        </is>
      </c>
      <c r="C2460" s="27" t="n">
        <v>46038</v>
      </c>
      <c r="D2460" t="n">
        <v>0</v>
      </c>
      <c r="E2460" t="inlineStr">
        <is>
          <t>RAPPI</t>
        </is>
      </c>
    </row>
    <row r="2461">
      <c r="A2461" t="n">
        <v>176</v>
      </c>
      <c r="B2461" t="inlineStr">
        <is>
          <t>The Cavern</t>
        </is>
      </c>
      <c r="C2461" s="27" t="n">
        <v>46038</v>
      </c>
      <c r="D2461" t="n">
        <v>547.17</v>
      </c>
      <c r="E2461" t="inlineStr">
        <is>
          <t>PIX</t>
        </is>
      </c>
    </row>
    <row r="2462">
      <c r="A2462" t="n">
        <v>176</v>
      </c>
      <c r="B2462" t="inlineStr">
        <is>
          <t>The Cavern</t>
        </is>
      </c>
      <c r="C2462" s="27" t="n">
        <v>46038</v>
      </c>
      <c r="D2462" t="n">
        <v>0</v>
      </c>
      <c r="E2462" t="inlineStr">
        <is>
          <t>IFOOD</t>
        </is>
      </c>
    </row>
    <row r="2463">
      <c r="A2463" t="n">
        <v>176</v>
      </c>
      <c r="B2463" t="inlineStr">
        <is>
          <t>The Cavern</t>
        </is>
      </c>
      <c r="C2463" s="27" t="n">
        <v>46038</v>
      </c>
      <c r="D2463" t="n">
        <v>0</v>
      </c>
      <c r="E2463" t="inlineStr">
        <is>
          <t>ANTECIPADO</t>
        </is>
      </c>
    </row>
    <row r="2464">
      <c r="A2464" t="n">
        <v>176</v>
      </c>
      <c r="B2464" t="inlineStr">
        <is>
          <t>The Cavern</t>
        </is>
      </c>
      <c r="C2464" s="27" t="n">
        <v>46038</v>
      </c>
      <c r="D2464" t="n">
        <v>0</v>
      </c>
      <c r="E2464" t="inlineStr">
        <is>
          <t>OUTROS</t>
        </is>
      </c>
    </row>
    <row r="2465">
      <c r="A2465" t="n">
        <v>176</v>
      </c>
      <c r="B2465" t="inlineStr">
        <is>
          <t>The Cavern</t>
        </is>
      </c>
      <c r="C2465" s="27" t="n">
        <v>46038</v>
      </c>
      <c r="D2465" t="n">
        <v>0</v>
      </c>
      <c r="E2465" t="inlineStr">
        <is>
          <t>AME</t>
        </is>
      </c>
    </row>
    <row r="2466">
      <c r="A2466" t="n">
        <v>176</v>
      </c>
      <c r="B2466" t="inlineStr">
        <is>
          <t>The Cavern</t>
        </is>
      </c>
      <c r="C2466" s="27" t="n">
        <v>46038</v>
      </c>
      <c r="D2466" t="n">
        <v>0</v>
      </c>
      <c r="E2466" t="inlineStr">
        <is>
          <t>NOTAS MANUAIS + SERVIÇO</t>
        </is>
      </c>
    </row>
    <row r="2467">
      <c r="A2467" t="n">
        <v>176</v>
      </c>
      <c r="B2467" t="inlineStr">
        <is>
          <t>The Cavern</t>
        </is>
      </c>
      <c r="C2467" s="27" t="n">
        <v>46038</v>
      </c>
      <c r="D2467" t="n">
        <v>0</v>
      </c>
      <c r="E2467" t="inlineStr">
        <is>
          <t>RECARGAS DEVOLVIDAS</t>
        </is>
      </c>
    </row>
    <row r="2468">
      <c r="A2468" t="n">
        <v>176</v>
      </c>
      <c r="B2468" t="inlineStr">
        <is>
          <t>The Cavern</t>
        </is>
      </c>
      <c r="C2468" s="27" t="n">
        <v>46038</v>
      </c>
      <c r="D2468" t="n">
        <v>0</v>
      </c>
      <c r="E2468" t="inlineStr">
        <is>
          <t>VOUCHER INTEGRADO</t>
        </is>
      </c>
    </row>
    <row r="2469">
      <c r="A2469" t="n">
        <v>176</v>
      </c>
      <c r="B2469" t="inlineStr">
        <is>
          <t>The Cavern</t>
        </is>
      </c>
      <c r="C2469" s="27" t="n">
        <v>46038</v>
      </c>
      <c r="D2469" t="n">
        <v>0</v>
      </c>
      <c r="E2469" t="inlineStr">
        <is>
          <t>MBWAY</t>
        </is>
      </c>
    </row>
    <row r="2470">
      <c r="A2470" t="n">
        <v>176</v>
      </c>
      <c r="B2470" t="inlineStr">
        <is>
          <t>The Cavern</t>
        </is>
      </c>
      <c r="C2470" s="27" t="n">
        <v>46038</v>
      </c>
      <c r="D2470" t="n">
        <v>16516.08</v>
      </c>
      <c r="E2470" t="inlineStr">
        <is>
          <t>CRÉDITO</t>
        </is>
      </c>
    </row>
    <row r="2471">
      <c r="A2471" t="n">
        <v>176</v>
      </c>
      <c r="B2471" t="inlineStr">
        <is>
          <t>The Cavern</t>
        </is>
      </c>
      <c r="C2471" s="27" t="n">
        <v>46038</v>
      </c>
      <c r="D2471" t="n">
        <v>0</v>
      </c>
      <c r="E2471" t="inlineStr">
        <is>
          <t>DINHEIRO</t>
        </is>
      </c>
    </row>
    <row r="2472">
      <c r="A2472" t="n">
        <v>176</v>
      </c>
      <c r="B2472" t="inlineStr">
        <is>
          <t>The Cavern</t>
        </is>
      </c>
      <c r="C2472" s="27" t="n">
        <v>46037</v>
      </c>
      <c r="D2472" t="n">
        <v>0</v>
      </c>
      <c r="E2472" t="inlineStr">
        <is>
          <t>DINHEIRO</t>
        </is>
      </c>
    </row>
    <row r="2473">
      <c r="A2473" t="n">
        <v>176</v>
      </c>
      <c r="B2473" t="inlineStr">
        <is>
          <t>The Cavern</t>
        </is>
      </c>
      <c r="C2473" s="27" t="n">
        <v>46037</v>
      </c>
      <c r="D2473" t="n">
        <v>1585.39</v>
      </c>
      <c r="E2473" t="inlineStr">
        <is>
          <t>DÉBITO</t>
        </is>
      </c>
    </row>
    <row r="2474">
      <c r="A2474" t="n">
        <v>176</v>
      </c>
      <c r="B2474" t="inlineStr">
        <is>
          <t>The Cavern</t>
        </is>
      </c>
      <c r="C2474" s="27" t="n">
        <v>46037</v>
      </c>
      <c r="D2474" t="n">
        <v>0</v>
      </c>
      <c r="E2474" t="inlineStr">
        <is>
          <t>MBWAY</t>
        </is>
      </c>
    </row>
    <row r="2475">
      <c r="A2475" t="n">
        <v>176</v>
      </c>
      <c r="B2475" t="inlineStr">
        <is>
          <t>The Cavern</t>
        </is>
      </c>
      <c r="C2475" s="27" t="n">
        <v>46037</v>
      </c>
      <c r="D2475" t="n">
        <v>0</v>
      </c>
      <c r="E2475" t="inlineStr">
        <is>
          <t>VOUCHER INTEGRADO</t>
        </is>
      </c>
    </row>
    <row r="2476">
      <c r="A2476" t="n">
        <v>176</v>
      </c>
      <c r="B2476" t="inlineStr">
        <is>
          <t>The Cavern</t>
        </is>
      </c>
      <c r="C2476" s="27" t="n">
        <v>46037</v>
      </c>
      <c r="D2476" t="n">
        <v>0</v>
      </c>
      <c r="E2476" t="inlineStr">
        <is>
          <t>RECARGAS DEVOLVIDAS</t>
        </is>
      </c>
    </row>
    <row r="2477">
      <c r="A2477" t="n">
        <v>176</v>
      </c>
      <c r="B2477" t="inlineStr">
        <is>
          <t>The Cavern</t>
        </is>
      </c>
      <c r="C2477" s="27" t="n">
        <v>46037</v>
      </c>
      <c r="D2477" t="n">
        <v>0</v>
      </c>
      <c r="E2477" t="inlineStr">
        <is>
          <t>NOTAS MANUAIS + SERVIÇO</t>
        </is>
      </c>
    </row>
    <row r="2478">
      <c r="A2478" t="n">
        <v>176</v>
      </c>
      <c r="B2478" t="inlineStr">
        <is>
          <t>The Cavern</t>
        </is>
      </c>
      <c r="C2478" s="27" t="n">
        <v>46037</v>
      </c>
      <c r="D2478" t="n">
        <v>0</v>
      </c>
      <c r="E2478" t="inlineStr">
        <is>
          <t>AME</t>
        </is>
      </c>
    </row>
    <row r="2479">
      <c r="A2479" t="n">
        <v>176</v>
      </c>
      <c r="B2479" t="inlineStr">
        <is>
          <t>The Cavern</t>
        </is>
      </c>
      <c r="C2479" s="27" t="n">
        <v>46037</v>
      </c>
      <c r="D2479" t="n">
        <v>0</v>
      </c>
      <c r="E2479" t="inlineStr">
        <is>
          <t>OUTROS</t>
        </is>
      </c>
    </row>
    <row r="2480">
      <c r="A2480" t="n">
        <v>176</v>
      </c>
      <c r="B2480" t="inlineStr">
        <is>
          <t>The Cavern</t>
        </is>
      </c>
      <c r="C2480" s="27" t="n">
        <v>46037</v>
      </c>
      <c r="D2480" t="n">
        <v>0</v>
      </c>
      <c r="E2480" t="inlineStr">
        <is>
          <t>ANTECIPADO</t>
        </is>
      </c>
    </row>
    <row r="2481">
      <c r="A2481" t="n">
        <v>176</v>
      </c>
      <c r="B2481" t="inlineStr">
        <is>
          <t>The Cavern</t>
        </is>
      </c>
      <c r="C2481" s="27" t="n">
        <v>46037</v>
      </c>
      <c r="D2481" t="n">
        <v>0</v>
      </c>
      <c r="E2481" t="inlineStr">
        <is>
          <t>BÔNUS</t>
        </is>
      </c>
    </row>
    <row r="2482">
      <c r="A2482" t="n">
        <v>176</v>
      </c>
      <c r="B2482" t="inlineStr">
        <is>
          <t>The Cavern</t>
        </is>
      </c>
      <c r="C2482" s="27" t="n">
        <v>46037</v>
      </c>
      <c r="D2482" t="n">
        <v>5613.74</v>
      </c>
      <c r="E2482" t="inlineStr">
        <is>
          <t>CRÉDITO</t>
        </is>
      </c>
    </row>
    <row r="2483">
      <c r="A2483" t="n">
        <v>176</v>
      </c>
      <c r="B2483" t="inlineStr">
        <is>
          <t>The Cavern</t>
        </is>
      </c>
      <c r="C2483" s="27" t="n">
        <v>46037</v>
      </c>
      <c r="D2483" t="n">
        <v>0</v>
      </c>
      <c r="E2483" t="inlineStr">
        <is>
          <t>VOUCHER</t>
        </is>
      </c>
    </row>
    <row r="2484">
      <c r="A2484" t="n">
        <v>176</v>
      </c>
      <c r="B2484" t="inlineStr">
        <is>
          <t>The Cavern</t>
        </is>
      </c>
      <c r="C2484" s="27" t="n">
        <v>46037</v>
      </c>
      <c r="D2484" t="n">
        <v>0</v>
      </c>
      <c r="E2484" t="inlineStr">
        <is>
          <t>ANTECIPADO</t>
        </is>
      </c>
    </row>
    <row r="2485">
      <c r="A2485" t="n">
        <v>176</v>
      </c>
      <c r="B2485" t="inlineStr">
        <is>
          <t>The Cavern</t>
        </is>
      </c>
      <c r="C2485" s="27" t="n">
        <v>46037</v>
      </c>
      <c r="D2485" t="n">
        <v>0</v>
      </c>
      <c r="E2485" t="inlineStr">
        <is>
          <t>UBER</t>
        </is>
      </c>
    </row>
    <row r="2486">
      <c r="A2486" t="n">
        <v>176</v>
      </c>
      <c r="B2486" t="inlineStr">
        <is>
          <t>The Cavern</t>
        </is>
      </c>
      <c r="C2486" s="27" t="n">
        <v>46037</v>
      </c>
      <c r="D2486" t="n">
        <v>0</v>
      </c>
      <c r="E2486" t="inlineStr">
        <is>
          <t>RAPPI</t>
        </is>
      </c>
    </row>
    <row r="2487">
      <c r="A2487" t="n">
        <v>176</v>
      </c>
      <c r="B2487" t="inlineStr">
        <is>
          <t>The Cavern</t>
        </is>
      </c>
      <c r="C2487" s="27" t="n">
        <v>46037</v>
      </c>
      <c r="D2487" t="n">
        <v>289.28</v>
      </c>
      <c r="E2487" t="inlineStr">
        <is>
          <t>PIX</t>
        </is>
      </c>
    </row>
    <row r="2488">
      <c r="A2488" t="n">
        <v>176</v>
      </c>
      <c r="B2488" t="inlineStr">
        <is>
          <t>The Cavern</t>
        </is>
      </c>
      <c r="C2488" s="27" t="n">
        <v>46037</v>
      </c>
      <c r="D2488" t="n">
        <v>0</v>
      </c>
      <c r="E2488" t="inlineStr">
        <is>
          <t>IFOOD</t>
        </is>
      </c>
    </row>
    <row r="2489">
      <c r="A2489" t="n">
        <v>176</v>
      </c>
      <c r="B2489" t="inlineStr">
        <is>
          <t>The Cavern</t>
        </is>
      </c>
      <c r="C2489" s="27" t="n">
        <v>46037</v>
      </c>
      <c r="D2489" t="n">
        <v>0</v>
      </c>
      <c r="E2489" t="inlineStr">
        <is>
          <t>DELIVERY ONLINE</t>
        </is>
      </c>
    </row>
    <row r="2490">
      <c r="A2490" t="n">
        <v>176</v>
      </c>
      <c r="B2490" t="inlineStr">
        <is>
          <t>The Cavern</t>
        </is>
      </c>
      <c r="C2490" s="27" t="n">
        <v>46037</v>
      </c>
      <c r="D2490" t="n">
        <v>0</v>
      </c>
      <c r="E2490" t="inlineStr">
        <is>
          <t>APP</t>
        </is>
      </c>
    </row>
    <row r="2491">
      <c r="A2491" t="n">
        <v>176</v>
      </c>
      <c r="B2491" t="inlineStr">
        <is>
          <t>The Cavern</t>
        </is>
      </c>
      <c r="C2491" s="27" t="n">
        <v>46036</v>
      </c>
      <c r="D2491" t="n">
        <v>0</v>
      </c>
      <c r="E2491" t="inlineStr">
        <is>
          <t>VOUCHER INTEGRADO</t>
        </is>
      </c>
    </row>
    <row r="2492">
      <c r="A2492" t="n">
        <v>176</v>
      </c>
      <c r="B2492" t="inlineStr">
        <is>
          <t>The Cavern</t>
        </is>
      </c>
      <c r="C2492" s="27" t="n">
        <v>46036</v>
      </c>
      <c r="D2492" t="n">
        <v>0</v>
      </c>
      <c r="E2492" t="inlineStr">
        <is>
          <t>MBWAY</t>
        </is>
      </c>
    </row>
    <row r="2493">
      <c r="A2493" t="n">
        <v>176</v>
      </c>
      <c r="B2493" t="inlineStr">
        <is>
          <t>The Cavern</t>
        </is>
      </c>
      <c r="C2493" s="27" t="n">
        <v>46036</v>
      </c>
      <c r="D2493" t="n">
        <v>0</v>
      </c>
      <c r="E2493" t="inlineStr">
        <is>
          <t>RECARGAS DEVOLVIDAS</t>
        </is>
      </c>
    </row>
    <row r="2494">
      <c r="A2494" t="n">
        <v>176</v>
      </c>
      <c r="B2494" t="inlineStr">
        <is>
          <t>The Cavern</t>
        </is>
      </c>
      <c r="C2494" s="27" t="n">
        <v>46036</v>
      </c>
      <c r="D2494" t="n">
        <v>0</v>
      </c>
      <c r="E2494" t="inlineStr">
        <is>
          <t>NOTAS MANUAIS + SERVIÇO</t>
        </is>
      </c>
    </row>
    <row r="2495">
      <c r="A2495" t="n">
        <v>176</v>
      </c>
      <c r="B2495" t="inlineStr">
        <is>
          <t>The Cavern</t>
        </is>
      </c>
      <c r="C2495" s="27" t="n">
        <v>46036</v>
      </c>
      <c r="D2495" t="n">
        <v>0</v>
      </c>
      <c r="E2495" t="inlineStr">
        <is>
          <t>AME</t>
        </is>
      </c>
    </row>
    <row r="2496">
      <c r="A2496" t="n">
        <v>176</v>
      </c>
      <c r="B2496" t="inlineStr">
        <is>
          <t>The Cavern</t>
        </is>
      </c>
      <c r="C2496" s="27" t="n">
        <v>46036</v>
      </c>
      <c r="D2496" t="n">
        <v>0</v>
      </c>
      <c r="E2496" t="inlineStr">
        <is>
          <t>OUTROS</t>
        </is>
      </c>
    </row>
    <row r="2497">
      <c r="A2497" t="n">
        <v>176</v>
      </c>
      <c r="B2497" t="inlineStr">
        <is>
          <t>The Cavern</t>
        </is>
      </c>
      <c r="C2497" s="27" t="n">
        <v>46036</v>
      </c>
      <c r="D2497" t="n">
        <v>0</v>
      </c>
      <c r="E2497" t="inlineStr">
        <is>
          <t>ANTECIPADO</t>
        </is>
      </c>
    </row>
    <row r="2498">
      <c r="A2498" t="n">
        <v>176</v>
      </c>
      <c r="B2498" t="inlineStr">
        <is>
          <t>The Cavern</t>
        </is>
      </c>
      <c r="C2498" s="27" t="n">
        <v>46036</v>
      </c>
      <c r="D2498" t="n">
        <v>0</v>
      </c>
      <c r="E2498" t="inlineStr">
        <is>
          <t>BÔNUS</t>
        </is>
      </c>
    </row>
    <row r="2499">
      <c r="A2499" t="n">
        <v>176</v>
      </c>
      <c r="B2499" t="inlineStr">
        <is>
          <t>The Cavern</t>
        </is>
      </c>
      <c r="C2499" s="27" t="n">
        <v>46036</v>
      </c>
      <c r="D2499" t="n">
        <v>0</v>
      </c>
      <c r="E2499" t="inlineStr">
        <is>
          <t>DÉBITO</t>
        </is>
      </c>
    </row>
    <row r="2500">
      <c r="A2500" t="n">
        <v>176</v>
      </c>
      <c r="B2500" t="inlineStr">
        <is>
          <t>The Cavern</t>
        </is>
      </c>
      <c r="C2500" s="27" t="n">
        <v>46036</v>
      </c>
      <c r="D2500" t="n">
        <v>0</v>
      </c>
      <c r="E2500" t="inlineStr">
        <is>
          <t>VOUCHER</t>
        </is>
      </c>
    </row>
    <row r="2501">
      <c r="A2501" t="n">
        <v>176</v>
      </c>
      <c r="B2501" t="inlineStr">
        <is>
          <t>The Cavern</t>
        </is>
      </c>
      <c r="C2501" s="27" t="n">
        <v>46036</v>
      </c>
      <c r="D2501" t="n">
        <v>0</v>
      </c>
      <c r="E2501" t="inlineStr">
        <is>
          <t>CRÉDITO</t>
        </is>
      </c>
    </row>
    <row r="2502">
      <c r="A2502" t="n">
        <v>176</v>
      </c>
      <c r="B2502" t="inlineStr">
        <is>
          <t>The Cavern</t>
        </is>
      </c>
      <c r="C2502" s="27" t="n">
        <v>46036</v>
      </c>
      <c r="D2502" t="n">
        <v>0</v>
      </c>
      <c r="E2502" t="inlineStr">
        <is>
          <t>RAPPI</t>
        </is>
      </c>
    </row>
    <row r="2503">
      <c r="A2503" t="n">
        <v>176</v>
      </c>
      <c r="B2503" t="inlineStr">
        <is>
          <t>The Cavern</t>
        </is>
      </c>
      <c r="C2503" s="27" t="n">
        <v>46036</v>
      </c>
      <c r="D2503" t="n">
        <v>0</v>
      </c>
      <c r="E2503" t="inlineStr">
        <is>
          <t>PIX</t>
        </is>
      </c>
    </row>
    <row r="2504">
      <c r="A2504" t="n">
        <v>176</v>
      </c>
      <c r="B2504" t="inlineStr">
        <is>
          <t>The Cavern</t>
        </is>
      </c>
      <c r="C2504" s="27" t="n">
        <v>46036</v>
      </c>
      <c r="D2504" t="n">
        <v>0</v>
      </c>
      <c r="E2504" t="inlineStr">
        <is>
          <t>ANTECIPADO</t>
        </is>
      </c>
    </row>
    <row r="2505">
      <c r="A2505" t="n">
        <v>176</v>
      </c>
      <c r="B2505" t="inlineStr">
        <is>
          <t>The Cavern</t>
        </is>
      </c>
      <c r="C2505" s="27" t="n">
        <v>46036</v>
      </c>
      <c r="D2505" t="n">
        <v>0</v>
      </c>
      <c r="E2505" t="inlineStr">
        <is>
          <t>DINHEIRO</t>
        </is>
      </c>
    </row>
    <row r="2506">
      <c r="A2506" t="n">
        <v>176</v>
      </c>
      <c r="B2506" t="inlineStr">
        <is>
          <t>The Cavern</t>
        </is>
      </c>
      <c r="C2506" s="27" t="n">
        <v>46036</v>
      </c>
      <c r="D2506" t="n">
        <v>0</v>
      </c>
      <c r="E2506" t="inlineStr">
        <is>
          <t>APP</t>
        </is>
      </c>
    </row>
    <row r="2507">
      <c r="A2507" t="n">
        <v>176</v>
      </c>
      <c r="B2507" t="inlineStr">
        <is>
          <t>The Cavern</t>
        </is>
      </c>
      <c r="C2507" s="27" t="n">
        <v>46036</v>
      </c>
      <c r="D2507" t="n">
        <v>0</v>
      </c>
      <c r="E2507" t="inlineStr">
        <is>
          <t>DELIVERY ONLINE</t>
        </is>
      </c>
    </row>
    <row r="2508">
      <c r="A2508" t="n">
        <v>176</v>
      </c>
      <c r="B2508" t="inlineStr">
        <is>
          <t>The Cavern</t>
        </is>
      </c>
      <c r="C2508" s="27" t="n">
        <v>46036</v>
      </c>
      <c r="D2508" t="n">
        <v>0</v>
      </c>
      <c r="E2508" t="inlineStr">
        <is>
          <t>IFOOD</t>
        </is>
      </c>
    </row>
    <row r="2509">
      <c r="A2509" t="n">
        <v>176</v>
      </c>
      <c r="B2509" t="inlineStr">
        <is>
          <t>The Cavern</t>
        </is>
      </c>
      <c r="C2509" s="27" t="n">
        <v>46036</v>
      </c>
      <c r="D2509" t="n">
        <v>0</v>
      </c>
      <c r="E2509" t="inlineStr">
        <is>
          <t>UBER</t>
        </is>
      </c>
    </row>
    <row r="2510">
      <c r="A2510" t="n">
        <v>176</v>
      </c>
      <c r="B2510" t="inlineStr">
        <is>
          <t>The Cavern</t>
        </is>
      </c>
      <c r="C2510" s="27" t="n">
        <v>46032</v>
      </c>
      <c r="D2510" t="n">
        <v>0</v>
      </c>
      <c r="E2510" t="inlineStr">
        <is>
          <t>VOUCHER INTEGRADO</t>
        </is>
      </c>
    </row>
    <row r="2511">
      <c r="A2511" t="n">
        <v>176</v>
      </c>
      <c r="B2511" t="inlineStr">
        <is>
          <t>The Cavern</t>
        </is>
      </c>
      <c r="C2511" s="27" t="n">
        <v>46032</v>
      </c>
      <c r="D2511" t="n">
        <v>0</v>
      </c>
      <c r="E2511" t="inlineStr">
        <is>
          <t>BÔNUS</t>
        </is>
      </c>
    </row>
    <row r="2512">
      <c r="A2512" t="n">
        <v>176</v>
      </c>
      <c r="B2512" t="inlineStr">
        <is>
          <t>The Cavern</t>
        </is>
      </c>
      <c r="C2512" s="27" t="n">
        <v>46032</v>
      </c>
      <c r="D2512" t="n">
        <v>0</v>
      </c>
      <c r="E2512" t="inlineStr">
        <is>
          <t>ANTECIPADO</t>
        </is>
      </c>
    </row>
    <row r="2513">
      <c r="A2513" t="n">
        <v>176</v>
      </c>
      <c r="B2513" t="inlineStr">
        <is>
          <t>The Cavern</t>
        </is>
      </c>
      <c r="C2513" s="27" t="n">
        <v>46032</v>
      </c>
      <c r="D2513" t="n">
        <v>0</v>
      </c>
      <c r="E2513" t="inlineStr">
        <is>
          <t>OUTROS</t>
        </is>
      </c>
    </row>
    <row r="2514">
      <c r="A2514" t="n">
        <v>176</v>
      </c>
      <c r="B2514" t="inlineStr">
        <is>
          <t>The Cavern</t>
        </is>
      </c>
      <c r="C2514" s="27" t="n">
        <v>46032</v>
      </c>
      <c r="D2514" t="n">
        <v>0</v>
      </c>
      <c r="E2514" t="inlineStr">
        <is>
          <t>AME</t>
        </is>
      </c>
    </row>
    <row r="2515">
      <c r="A2515" t="n">
        <v>176</v>
      </c>
      <c r="B2515" t="inlineStr">
        <is>
          <t>The Cavern</t>
        </is>
      </c>
      <c r="C2515" s="27" t="n">
        <v>46032</v>
      </c>
      <c r="D2515" t="n">
        <v>0</v>
      </c>
      <c r="E2515" t="inlineStr">
        <is>
          <t>NOTAS MANUAIS + SERVIÇO</t>
        </is>
      </c>
    </row>
    <row r="2516">
      <c r="A2516" t="n">
        <v>176</v>
      </c>
      <c r="B2516" t="inlineStr">
        <is>
          <t>The Cavern</t>
        </is>
      </c>
      <c r="C2516" s="27" t="n">
        <v>46032</v>
      </c>
      <c r="D2516" t="n">
        <v>0</v>
      </c>
      <c r="E2516" t="inlineStr">
        <is>
          <t>RECARGAS DEVOLVIDAS</t>
        </is>
      </c>
    </row>
    <row r="2517">
      <c r="A2517" t="n">
        <v>176</v>
      </c>
      <c r="B2517" t="inlineStr">
        <is>
          <t>The Cavern</t>
        </is>
      </c>
      <c r="C2517" s="27" t="n">
        <v>46032</v>
      </c>
      <c r="D2517" t="n">
        <v>0</v>
      </c>
      <c r="E2517" t="inlineStr">
        <is>
          <t>MBWAY</t>
        </is>
      </c>
    </row>
    <row r="2518">
      <c r="A2518" t="n">
        <v>176</v>
      </c>
      <c r="B2518" t="inlineStr">
        <is>
          <t>The Cavern</t>
        </is>
      </c>
      <c r="C2518" s="27" t="n">
        <v>46032</v>
      </c>
      <c r="D2518" t="n">
        <v>6726.23</v>
      </c>
      <c r="E2518" t="inlineStr">
        <is>
          <t>DÉBITO</t>
        </is>
      </c>
    </row>
    <row r="2519">
      <c r="A2519" t="n">
        <v>176</v>
      </c>
      <c r="B2519" t="inlineStr">
        <is>
          <t>The Cavern</t>
        </is>
      </c>
      <c r="C2519" s="27" t="n">
        <v>46032</v>
      </c>
      <c r="D2519" t="n">
        <v>53</v>
      </c>
      <c r="E2519" t="inlineStr">
        <is>
          <t>APP</t>
        </is>
      </c>
    </row>
    <row r="2520">
      <c r="A2520" t="n">
        <v>176</v>
      </c>
      <c r="B2520" t="inlineStr">
        <is>
          <t>The Cavern</t>
        </is>
      </c>
      <c r="C2520" s="27" t="n">
        <v>46032</v>
      </c>
      <c r="D2520" t="n">
        <v>0</v>
      </c>
      <c r="E2520" t="inlineStr">
        <is>
          <t>DELIVERY ONLINE</t>
        </is>
      </c>
    </row>
    <row r="2521">
      <c r="A2521" t="n">
        <v>176</v>
      </c>
      <c r="B2521" t="inlineStr">
        <is>
          <t>The Cavern</t>
        </is>
      </c>
      <c r="C2521" s="27" t="n">
        <v>46032</v>
      </c>
      <c r="D2521" t="n">
        <v>0</v>
      </c>
      <c r="E2521" t="inlineStr">
        <is>
          <t>IFOOD</t>
        </is>
      </c>
    </row>
    <row r="2522">
      <c r="A2522" t="n">
        <v>176</v>
      </c>
      <c r="B2522" t="inlineStr">
        <is>
          <t>The Cavern</t>
        </is>
      </c>
      <c r="C2522" s="27" t="n">
        <v>46032</v>
      </c>
      <c r="D2522" t="n">
        <v>731.11</v>
      </c>
      <c r="E2522" t="inlineStr">
        <is>
          <t>PIX</t>
        </is>
      </c>
    </row>
    <row r="2523">
      <c r="A2523" t="n">
        <v>176</v>
      </c>
      <c r="B2523" t="inlineStr">
        <is>
          <t>The Cavern</t>
        </is>
      </c>
      <c r="C2523" s="27" t="n">
        <v>46032</v>
      </c>
      <c r="D2523" t="n">
        <v>0</v>
      </c>
      <c r="E2523" t="inlineStr">
        <is>
          <t>RAPPI</t>
        </is>
      </c>
    </row>
    <row r="2524">
      <c r="A2524" t="n">
        <v>176</v>
      </c>
      <c r="B2524" t="inlineStr">
        <is>
          <t>The Cavern</t>
        </is>
      </c>
      <c r="C2524" s="27" t="n">
        <v>46032</v>
      </c>
      <c r="D2524" t="n">
        <v>0</v>
      </c>
      <c r="E2524" t="inlineStr">
        <is>
          <t>UBER</t>
        </is>
      </c>
    </row>
    <row r="2525">
      <c r="A2525" t="n">
        <v>176</v>
      </c>
      <c r="B2525" t="inlineStr">
        <is>
          <t>The Cavern</t>
        </is>
      </c>
      <c r="C2525" s="27" t="n">
        <v>46032</v>
      </c>
      <c r="D2525" t="n">
        <v>0</v>
      </c>
      <c r="E2525" t="inlineStr">
        <is>
          <t>ANTECIPADO</t>
        </is>
      </c>
    </row>
    <row r="2526">
      <c r="A2526" t="n">
        <v>176</v>
      </c>
      <c r="B2526" t="inlineStr">
        <is>
          <t>The Cavern</t>
        </is>
      </c>
      <c r="C2526" s="27" t="n">
        <v>46032</v>
      </c>
      <c r="D2526" t="n">
        <v>0</v>
      </c>
      <c r="E2526" t="inlineStr">
        <is>
          <t>VOUCHER</t>
        </is>
      </c>
    </row>
    <row r="2527">
      <c r="A2527" t="n">
        <v>176</v>
      </c>
      <c r="B2527" t="inlineStr">
        <is>
          <t>The Cavern</t>
        </is>
      </c>
      <c r="C2527" s="27" t="n">
        <v>46032</v>
      </c>
      <c r="D2527" t="n">
        <v>18389.36</v>
      </c>
      <c r="E2527" t="inlineStr">
        <is>
          <t>CRÉDITO</t>
        </is>
      </c>
    </row>
    <row r="2528">
      <c r="A2528" t="n">
        <v>176</v>
      </c>
      <c r="B2528" t="inlineStr">
        <is>
          <t>The Cavern</t>
        </is>
      </c>
      <c r="C2528" s="27" t="n">
        <v>46032</v>
      </c>
      <c r="D2528" t="n">
        <v>0</v>
      </c>
      <c r="E2528" t="inlineStr">
        <is>
          <t>DINHEIRO</t>
        </is>
      </c>
    </row>
    <row r="2529">
      <c r="A2529" t="n">
        <v>176</v>
      </c>
      <c r="B2529" t="inlineStr">
        <is>
          <t>The Cavern</t>
        </is>
      </c>
      <c r="C2529" s="27" t="n">
        <v>46031</v>
      </c>
      <c r="D2529" t="n">
        <v>0</v>
      </c>
      <c r="E2529" t="inlineStr">
        <is>
          <t>BÔNUS</t>
        </is>
      </c>
    </row>
    <row r="2530">
      <c r="A2530" t="n">
        <v>176</v>
      </c>
      <c r="B2530" t="inlineStr">
        <is>
          <t>The Cavern</t>
        </is>
      </c>
      <c r="C2530" s="27" t="n">
        <v>46031</v>
      </c>
      <c r="D2530" t="n">
        <v>0</v>
      </c>
      <c r="E2530" t="inlineStr">
        <is>
          <t>VOUCHER INTEGRADO</t>
        </is>
      </c>
    </row>
    <row r="2531">
      <c r="A2531" t="n">
        <v>176</v>
      </c>
      <c r="B2531" t="inlineStr">
        <is>
          <t>The Cavern</t>
        </is>
      </c>
      <c r="C2531" s="27" t="n">
        <v>46031</v>
      </c>
      <c r="D2531" t="n">
        <v>0</v>
      </c>
      <c r="E2531" t="inlineStr">
        <is>
          <t>ANTECIPADO</t>
        </is>
      </c>
    </row>
    <row r="2532">
      <c r="A2532" t="n">
        <v>176</v>
      </c>
      <c r="B2532" t="inlineStr">
        <is>
          <t>The Cavern</t>
        </is>
      </c>
      <c r="C2532" s="27" t="n">
        <v>46031</v>
      </c>
      <c r="D2532" t="n">
        <v>3596.71</v>
      </c>
      <c r="E2532" t="inlineStr">
        <is>
          <t>DÉBITO</t>
        </is>
      </c>
    </row>
    <row r="2533">
      <c r="A2533" t="n">
        <v>176</v>
      </c>
      <c r="B2533" t="inlineStr">
        <is>
          <t>The Cavern</t>
        </is>
      </c>
      <c r="C2533" s="27" t="n">
        <v>46031</v>
      </c>
      <c r="D2533" t="n">
        <v>0</v>
      </c>
      <c r="E2533" t="inlineStr">
        <is>
          <t>VOUCHER</t>
        </is>
      </c>
    </row>
    <row r="2534">
      <c r="A2534" t="n">
        <v>176</v>
      </c>
      <c r="B2534" t="inlineStr">
        <is>
          <t>The Cavern</t>
        </is>
      </c>
      <c r="C2534" s="27" t="n">
        <v>46031</v>
      </c>
      <c r="D2534" t="n">
        <v>0</v>
      </c>
      <c r="E2534" t="inlineStr">
        <is>
          <t>ANTECIPADO</t>
        </is>
      </c>
    </row>
    <row r="2535">
      <c r="A2535" t="n">
        <v>176</v>
      </c>
      <c r="B2535" t="inlineStr">
        <is>
          <t>The Cavern</t>
        </is>
      </c>
      <c r="C2535" s="27" t="n">
        <v>46031</v>
      </c>
      <c r="D2535" t="n">
        <v>0</v>
      </c>
      <c r="E2535" t="inlineStr">
        <is>
          <t>UBER</t>
        </is>
      </c>
    </row>
    <row r="2536">
      <c r="A2536" t="n">
        <v>176</v>
      </c>
      <c r="B2536" t="inlineStr">
        <is>
          <t>The Cavern</t>
        </is>
      </c>
      <c r="C2536" s="27" t="n">
        <v>46031</v>
      </c>
      <c r="D2536" t="n">
        <v>0</v>
      </c>
      <c r="E2536" t="inlineStr">
        <is>
          <t>RAPPI</t>
        </is>
      </c>
    </row>
    <row r="2537">
      <c r="A2537" t="n">
        <v>176</v>
      </c>
      <c r="B2537" t="inlineStr">
        <is>
          <t>The Cavern</t>
        </is>
      </c>
      <c r="C2537" s="27" t="n">
        <v>46031</v>
      </c>
      <c r="D2537" t="n">
        <v>1157.44</v>
      </c>
      <c r="E2537" t="inlineStr">
        <is>
          <t>PIX</t>
        </is>
      </c>
    </row>
    <row r="2538">
      <c r="A2538" t="n">
        <v>176</v>
      </c>
      <c r="B2538" t="inlineStr">
        <is>
          <t>The Cavern</t>
        </is>
      </c>
      <c r="C2538" s="27" t="n">
        <v>46031</v>
      </c>
      <c r="D2538" t="n">
        <v>0</v>
      </c>
      <c r="E2538" t="inlineStr">
        <is>
          <t>IFOOD</t>
        </is>
      </c>
    </row>
    <row r="2539">
      <c r="A2539" t="n">
        <v>176</v>
      </c>
      <c r="B2539" t="inlineStr">
        <is>
          <t>The Cavern</t>
        </is>
      </c>
      <c r="C2539" s="27" t="n">
        <v>46031</v>
      </c>
      <c r="D2539" t="n">
        <v>0</v>
      </c>
      <c r="E2539" t="inlineStr">
        <is>
          <t>DELIVERY ONLINE</t>
        </is>
      </c>
    </row>
    <row r="2540">
      <c r="A2540" t="n">
        <v>176</v>
      </c>
      <c r="B2540" t="inlineStr">
        <is>
          <t>The Cavern</t>
        </is>
      </c>
      <c r="C2540" s="27" t="n">
        <v>46031</v>
      </c>
      <c r="D2540" t="n">
        <v>0</v>
      </c>
      <c r="E2540" t="inlineStr">
        <is>
          <t>APP</t>
        </is>
      </c>
    </row>
    <row r="2541">
      <c r="A2541" t="n">
        <v>176</v>
      </c>
      <c r="B2541" t="inlineStr">
        <is>
          <t>The Cavern</t>
        </is>
      </c>
      <c r="C2541" s="27" t="n">
        <v>46031</v>
      </c>
      <c r="D2541" t="n">
        <v>0</v>
      </c>
      <c r="E2541" t="inlineStr">
        <is>
          <t>MBWAY</t>
        </is>
      </c>
    </row>
    <row r="2542">
      <c r="A2542" t="n">
        <v>176</v>
      </c>
      <c r="B2542" t="inlineStr">
        <is>
          <t>The Cavern</t>
        </is>
      </c>
      <c r="C2542" s="27" t="n">
        <v>46031</v>
      </c>
      <c r="D2542" t="n">
        <v>0</v>
      </c>
      <c r="E2542" t="inlineStr">
        <is>
          <t>RECARGAS DEVOLVIDAS</t>
        </is>
      </c>
    </row>
    <row r="2543">
      <c r="A2543" t="n">
        <v>176</v>
      </c>
      <c r="B2543" t="inlineStr">
        <is>
          <t>The Cavern</t>
        </is>
      </c>
      <c r="C2543" s="27" t="n">
        <v>46031</v>
      </c>
      <c r="D2543" t="n">
        <v>0</v>
      </c>
      <c r="E2543" t="inlineStr">
        <is>
          <t>NOTAS MANUAIS + SERVIÇO</t>
        </is>
      </c>
    </row>
    <row r="2544">
      <c r="A2544" t="n">
        <v>176</v>
      </c>
      <c r="B2544" t="inlineStr">
        <is>
          <t>The Cavern</t>
        </is>
      </c>
      <c r="C2544" s="27" t="n">
        <v>46031</v>
      </c>
      <c r="D2544" t="n">
        <v>0</v>
      </c>
      <c r="E2544" t="inlineStr">
        <is>
          <t>AME</t>
        </is>
      </c>
    </row>
    <row r="2545">
      <c r="A2545" t="n">
        <v>176</v>
      </c>
      <c r="B2545" t="inlineStr">
        <is>
          <t>The Cavern</t>
        </is>
      </c>
      <c r="C2545" s="27" t="n">
        <v>46031</v>
      </c>
      <c r="D2545" t="n">
        <v>0</v>
      </c>
      <c r="E2545" t="inlineStr">
        <is>
          <t>OUTROS</t>
        </is>
      </c>
    </row>
    <row r="2546">
      <c r="A2546" t="n">
        <v>176</v>
      </c>
      <c r="B2546" t="inlineStr">
        <is>
          <t>The Cavern</t>
        </is>
      </c>
      <c r="C2546" s="27" t="n">
        <v>46031</v>
      </c>
      <c r="D2546" t="n">
        <v>16797.38</v>
      </c>
      <c r="E2546" t="inlineStr">
        <is>
          <t>CRÉDITO</t>
        </is>
      </c>
    </row>
    <row r="2547">
      <c r="A2547" t="n">
        <v>176</v>
      </c>
      <c r="B2547" t="inlineStr">
        <is>
          <t>The Cavern</t>
        </is>
      </c>
      <c r="C2547" s="27" t="n">
        <v>46031</v>
      </c>
      <c r="D2547" t="n">
        <v>150.29</v>
      </c>
      <c r="E2547" t="inlineStr">
        <is>
          <t>DINHEIRO</t>
        </is>
      </c>
    </row>
    <row r="2548">
      <c r="A2548" t="n">
        <v>176</v>
      </c>
      <c r="B2548" t="inlineStr">
        <is>
          <t>The Cavern</t>
        </is>
      </c>
      <c r="C2548" s="27" t="n">
        <v>46030</v>
      </c>
      <c r="D2548" t="n">
        <v>0</v>
      </c>
      <c r="E2548" t="inlineStr">
        <is>
          <t>APP</t>
        </is>
      </c>
    </row>
    <row r="2549">
      <c r="A2549" t="n">
        <v>176</v>
      </c>
      <c r="B2549" t="inlineStr">
        <is>
          <t>The Cavern</t>
        </is>
      </c>
      <c r="C2549" s="27" t="n">
        <v>46030</v>
      </c>
      <c r="D2549" t="n">
        <v>2378.66</v>
      </c>
      <c r="E2549" t="inlineStr">
        <is>
          <t>DÉBITO</t>
        </is>
      </c>
    </row>
    <row r="2550">
      <c r="A2550" t="n">
        <v>176</v>
      </c>
      <c r="B2550" t="inlineStr">
        <is>
          <t>The Cavern</t>
        </is>
      </c>
      <c r="C2550" s="27" t="n">
        <v>46030</v>
      </c>
      <c r="D2550" t="n">
        <v>0</v>
      </c>
      <c r="E2550" t="inlineStr">
        <is>
          <t>DELIVERY ONLINE</t>
        </is>
      </c>
    </row>
    <row r="2551">
      <c r="A2551" t="n">
        <v>176</v>
      </c>
      <c r="B2551" t="inlineStr">
        <is>
          <t>The Cavern</t>
        </is>
      </c>
      <c r="C2551" s="27" t="n">
        <v>46030</v>
      </c>
      <c r="D2551" t="n">
        <v>0</v>
      </c>
      <c r="E2551" t="inlineStr">
        <is>
          <t>IFOOD</t>
        </is>
      </c>
    </row>
    <row r="2552">
      <c r="A2552" t="n">
        <v>176</v>
      </c>
      <c r="B2552" t="inlineStr">
        <is>
          <t>The Cavern</t>
        </is>
      </c>
      <c r="C2552" s="27" t="n">
        <v>46030</v>
      </c>
      <c r="D2552" t="n">
        <v>496.07</v>
      </c>
      <c r="E2552" t="inlineStr">
        <is>
          <t>PIX</t>
        </is>
      </c>
    </row>
    <row r="2553">
      <c r="A2553" t="n">
        <v>176</v>
      </c>
      <c r="B2553" t="inlineStr">
        <is>
          <t>The Cavern</t>
        </is>
      </c>
      <c r="C2553" s="27" t="n">
        <v>46030</v>
      </c>
      <c r="D2553" t="n">
        <v>0</v>
      </c>
      <c r="E2553" t="inlineStr">
        <is>
          <t>RAPPI</t>
        </is>
      </c>
    </row>
    <row r="2554">
      <c r="A2554" t="n">
        <v>176</v>
      </c>
      <c r="B2554" t="inlineStr">
        <is>
          <t>The Cavern</t>
        </is>
      </c>
      <c r="C2554" s="27" t="n">
        <v>46030</v>
      </c>
      <c r="D2554" t="n">
        <v>0</v>
      </c>
      <c r="E2554" t="inlineStr">
        <is>
          <t>UBER</t>
        </is>
      </c>
    </row>
    <row r="2555">
      <c r="A2555" t="n">
        <v>176</v>
      </c>
      <c r="B2555" t="inlineStr">
        <is>
          <t>The Cavern</t>
        </is>
      </c>
      <c r="C2555" s="27" t="n">
        <v>46030</v>
      </c>
      <c r="D2555" t="n">
        <v>0</v>
      </c>
      <c r="E2555" t="inlineStr">
        <is>
          <t>ANTECIPADO</t>
        </is>
      </c>
    </row>
    <row r="2556">
      <c r="A2556" t="n">
        <v>176</v>
      </c>
      <c r="B2556" t="inlineStr">
        <is>
          <t>The Cavern</t>
        </is>
      </c>
      <c r="C2556" s="27" t="n">
        <v>46030</v>
      </c>
      <c r="D2556" t="n">
        <v>0</v>
      </c>
      <c r="E2556" t="inlineStr">
        <is>
          <t>VOUCHER</t>
        </is>
      </c>
    </row>
    <row r="2557">
      <c r="A2557" t="n">
        <v>176</v>
      </c>
      <c r="B2557" t="inlineStr">
        <is>
          <t>The Cavern</t>
        </is>
      </c>
      <c r="C2557" s="27" t="n">
        <v>46030</v>
      </c>
      <c r="D2557" t="n">
        <v>0</v>
      </c>
      <c r="E2557" t="inlineStr">
        <is>
          <t>BÔNUS</t>
        </is>
      </c>
    </row>
    <row r="2558">
      <c r="A2558" t="n">
        <v>176</v>
      </c>
      <c r="B2558" t="inlineStr">
        <is>
          <t>The Cavern</t>
        </is>
      </c>
      <c r="C2558" s="27" t="n">
        <v>46030</v>
      </c>
      <c r="D2558" t="n">
        <v>0</v>
      </c>
      <c r="E2558" t="inlineStr">
        <is>
          <t>ANTECIPADO</t>
        </is>
      </c>
    </row>
    <row r="2559">
      <c r="A2559" t="n">
        <v>176</v>
      </c>
      <c r="B2559" t="inlineStr">
        <is>
          <t>The Cavern</t>
        </is>
      </c>
      <c r="C2559" s="27" t="n">
        <v>46030</v>
      </c>
      <c r="D2559" t="n">
        <v>0</v>
      </c>
      <c r="E2559" t="inlineStr">
        <is>
          <t>OUTROS</t>
        </is>
      </c>
    </row>
    <row r="2560">
      <c r="A2560" t="n">
        <v>176</v>
      </c>
      <c r="B2560" t="inlineStr">
        <is>
          <t>The Cavern</t>
        </is>
      </c>
      <c r="C2560" s="27" t="n">
        <v>46030</v>
      </c>
      <c r="D2560" t="n">
        <v>0</v>
      </c>
      <c r="E2560" t="inlineStr">
        <is>
          <t>AME</t>
        </is>
      </c>
    </row>
    <row r="2561">
      <c r="A2561" t="n">
        <v>176</v>
      </c>
      <c r="B2561" t="inlineStr">
        <is>
          <t>The Cavern</t>
        </is>
      </c>
      <c r="C2561" s="27" t="n">
        <v>46030</v>
      </c>
      <c r="D2561" t="n">
        <v>0</v>
      </c>
      <c r="E2561" t="inlineStr">
        <is>
          <t>NOTAS MANUAIS + SERVIÇO</t>
        </is>
      </c>
    </row>
    <row r="2562">
      <c r="A2562" t="n">
        <v>176</v>
      </c>
      <c r="B2562" t="inlineStr">
        <is>
          <t>The Cavern</t>
        </is>
      </c>
      <c r="C2562" s="27" t="n">
        <v>46030</v>
      </c>
      <c r="D2562" t="n">
        <v>0</v>
      </c>
      <c r="E2562" t="inlineStr">
        <is>
          <t>RECARGAS DEVOLVIDAS</t>
        </is>
      </c>
    </row>
    <row r="2563">
      <c r="A2563" t="n">
        <v>176</v>
      </c>
      <c r="B2563" t="inlineStr">
        <is>
          <t>The Cavern</t>
        </is>
      </c>
      <c r="C2563" s="27" t="n">
        <v>46030</v>
      </c>
      <c r="D2563" t="n">
        <v>0</v>
      </c>
      <c r="E2563" t="inlineStr">
        <is>
          <t>VOUCHER INTEGRADO</t>
        </is>
      </c>
    </row>
    <row r="2564">
      <c r="A2564" t="n">
        <v>176</v>
      </c>
      <c r="B2564" t="inlineStr">
        <is>
          <t>The Cavern</t>
        </is>
      </c>
      <c r="C2564" s="27" t="n">
        <v>46030</v>
      </c>
      <c r="D2564" t="n">
        <v>0</v>
      </c>
      <c r="E2564" t="inlineStr">
        <is>
          <t>MBWAY</t>
        </is>
      </c>
    </row>
    <row r="2565">
      <c r="A2565" t="n">
        <v>176</v>
      </c>
      <c r="B2565" t="inlineStr">
        <is>
          <t>The Cavern</t>
        </is>
      </c>
      <c r="C2565" s="27" t="n">
        <v>46030</v>
      </c>
      <c r="D2565" t="n">
        <v>6450.6</v>
      </c>
      <c r="E2565" t="inlineStr">
        <is>
          <t>CRÉDITO</t>
        </is>
      </c>
    </row>
    <row r="2566">
      <c r="A2566" t="n">
        <v>176</v>
      </c>
      <c r="B2566" t="inlineStr">
        <is>
          <t>The Cavern</t>
        </is>
      </c>
      <c r="C2566" s="27" t="n">
        <v>46030</v>
      </c>
      <c r="D2566" t="n">
        <v>100</v>
      </c>
      <c r="E2566" t="inlineStr">
        <is>
          <t>DINHEIRO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ID_Receita</t>
        </is>
      </c>
      <c r="B1" t="inlineStr">
        <is>
          <t>ID_Casa</t>
        </is>
      </c>
      <c r="C1" t="inlineStr">
        <is>
          <t>Casa</t>
        </is>
      </c>
      <c r="D1" t="inlineStr">
        <is>
          <t>Cliente</t>
        </is>
      </c>
      <c r="E1" t="inlineStr">
        <is>
          <t>Data_Ocorrencia</t>
        </is>
      </c>
      <c r="F1" t="inlineStr">
        <is>
          <t>Vencimento_Parcela</t>
        </is>
      </c>
      <c r="G1" t="inlineStr">
        <is>
          <t>Recebimento_Parcela</t>
        </is>
      </c>
      <c r="H1" t="inlineStr">
        <is>
          <t>Valor_Parcela</t>
        </is>
      </c>
      <c r="I1" t="inlineStr">
        <is>
          <t>Doc_NF</t>
        </is>
      </c>
      <c r="J1" t="inlineStr">
        <is>
          <t>Classif_Receita</t>
        </is>
      </c>
      <c r="K1" t="inlineStr">
        <is>
          <t>Forma_Pagamento</t>
        </is>
      </c>
      <c r="L1" t="inlineStr">
        <is>
          <t>Status_Pgto</t>
        </is>
      </c>
      <c r="M1" t="inlineStr">
        <is>
          <t>Conta_Bancaria</t>
        </is>
      </c>
      <c r="N1" t="inlineStr">
        <is>
          <t>Observacoes</t>
        </is>
      </c>
    </row>
    <row r="2">
      <c r="A2" t="n">
        <v>11309</v>
      </c>
      <c r="B2" t="n">
        <v>176</v>
      </c>
      <c r="C2" t="inlineStr">
        <is>
          <t>The Cavern</t>
        </is>
      </c>
      <c r="D2" t="inlineStr">
        <is>
          <t>LIRIUM RECICLAGEM</t>
        </is>
      </c>
      <c r="E2" s="27" t="n">
        <v>46080</v>
      </c>
      <c r="F2" s="27" t="n">
        <v>46101</v>
      </c>
      <c r="G2" s="27" t="n">
        <v>46091</v>
      </c>
      <c r="H2" t="n">
        <v>351</v>
      </c>
      <c r="J2" t="inlineStr">
        <is>
          <t>Coleta de Óleo</t>
        </is>
      </c>
      <c r="K2" t="inlineStr">
        <is>
          <t>Transferência Bancária ou Pix</t>
        </is>
      </c>
      <c r="L2" t="inlineStr">
        <is>
          <t>Pago</t>
        </is>
      </c>
      <c r="M2" t="inlineStr">
        <is>
          <t>The Cavern - Kamino</t>
        </is>
      </c>
      <c r="N2" t="inlineStr">
        <is>
          <t>COLETA DE OLEO VEGETAL - 130 LITROS - REF. 02/2026</t>
        </is>
      </c>
    </row>
    <row r="3">
      <c r="A3" t="n">
        <v>11225</v>
      </c>
      <c r="B3" t="n">
        <v>176</v>
      </c>
      <c r="C3" t="inlineStr">
        <is>
          <t>The Cavern</t>
        </is>
      </c>
      <c r="D3" t="inlineStr">
        <is>
          <t>A CAVERNA BAR LTDA</t>
        </is>
      </c>
      <c r="E3" s="27" t="n">
        <v>46083</v>
      </c>
      <c r="F3" s="27" t="n">
        <v>46085</v>
      </c>
      <c r="G3" s="27" t="n">
        <v>46085</v>
      </c>
      <c r="H3" t="n">
        <v>5000</v>
      </c>
      <c r="J3" t="inlineStr">
        <is>
          <t>Aporte</t>
        </is>
      </c>
      <c r="K3" t="inlineStr">
        <is>
          <t>Transferência Bancária ou Pix</t>
        </is>
      </c>
      <c r="L3" t="inlineStr">
        <is>
          <t>Pago</t>
        </is>
      </c>
      <c r="M3" t="inlineStr">
        <is>
          <t>The Cavern - Kamino</t>
        </is>
      </c>
      <c r="N3" t="inlineStr">
        <is>
          <t>APORTE - 03/2026</t>
        </is>
      </c>
    </row>
    <row r="4">
      <c r="A4" t="n">
        <v>11225</v>
      </c>
      <c r="B4" t="n">
        <v>176</v>
      </c>
      <c r="C4" t="inlineStr">
        <is>
          <t>The Cavern</t>
        </is>
      </c>
      <c r="D4" t="inlineStr">
        <is>
          <t>A CAVERNA BAR LTDA</t>
        </is>
      </c>
      <c r="E4" s="27" t="n">
        <v>46083</v>
      </c>
      <c r="F4" s="27" t="n">
        <v>46083</v>
      </c>
      <c r="G4" s="27" t="n">
        <v>46083</v>
      </c>
      <c r="H4" t="n">
        <v>65000</v>
      </c>
      <c r="J4" t="inlineStr">
        <is>
          <t>Aporte</t>
        </is>
      </c>
      <c r="K4" t="inlineStr">
        <is>
          <t>Transferência Bancária ou Pix</t>
        </is>
      </c>
      <c r="L4" t="inlineStr">
        <is>
          <t>Pago</t>
        </is>
      </c>
      <c r="M4" t="inlineStr">
        <is>
          <t>The Cavern - Kamino</t>
        </is>
      </c>
      <c r="N4" t="inlineStr">
        <is>
          <t>APORTE - 03/2026</t>
        </is>
      </c>
    </row>
    <row r="5">
      <c r="A5" t="n">
        <v>11223</v>
      </c>
      <c r="B5" t="n">
        <v>176</v>
      </c>
      <c r="C5" t="inlineStr">
        <is>
          <t>The Cavern</t>
        </is>
      </c>
      <c r="D5" t="inlineStr">
        <is>
          <t>A CAVERNA BAR LTDA</t>
        </is>
      </c>
      <c r="E5" s="27" t="n">
        <v>46080</v>
      </c>
      <c r="F5" s="27" t="n">
        <v>46080</v>
      </c>
      <c r="G5" s="27" t="n">
        <v>46080</v>
      </c>
      <c r="H5" t="n">
        <v>25000</v>
      </c>
      <c r="J5" t="inlineStr">
        <is>
          <t>Aporte</t>
        </is>
      </c>
      <c r="K5" t="inlineStr">
        <is>
          <t>Transferência Bancária ou Pix</t>
        </is>
      </c>
      <c r="L5" t="inlineStr">
        <is>
          <t>Pago</t>
        </is>
      </c>
      <c r="M5" t="inlineStr">
        <is>
          <t>The Cavern - Kamino</t>
        </is>
      </c>
      <c r="N5" t="inlineStr">
        <is>
          <t>APORTE - 02/2026</t>
        </is>
      </c>
    </row>
    <row r="6">
      <c r="A6" t="n">
        <v>11163</v>
      </c>
      <c r="B6" t="n">
        <v>176</v>
      </c>
      <c r="C6" t="inlineStr">
        <is>
          <t>The Cavern</t>
        </is>
      </c>
      <c r="D6" t="inlineStr">
        <is>
          <t>A CAVERNA BAR LTDA</t>
        </is>
      </c>
      <c r="E6" s="27" t="n">
        <v>46078</v>
      </c>
      <c r="F6" s="27" t="n">
        <v>46078</v>
      </c>
      <c r="G6" s="27" t="n">
        <v>46078</v>
      </c>
      <c r="H6" t="n">
        <v>3300</v>
      </c>
      <c r="J6" t="inlineStr">
        <is>
          <t>Aporte</t>
        </is>
      </c>
      <c r="K6" t="inlineStr">
        <is>
          <t>Transferência Bancária ou Pix</t>
        </is>
      </c>
      <c r="L6" t="inlineStr">
        <is>
          <t>Pago</t>
        </is>
      </c>
      <c r="M6" t="inlineStr">
        <is>
          <t>The Cavern - Kamino</t>
        </is>
      </c>
      <c r="N6" t="inlineStr">
        <is>
          <t>APORTE DOS SOCIOS - 02/2026</t>
        </is>
      </c>
    </row>
    <row r="7">
      <c r="A7" t="n">
        <v>11145</v>
      </c>
      <c r="B7" t="n">
        <v>176</v>
      </c>
      <c r="C7" t="inlineStr">
        <is>
          <t>The Cavern</t>
        </is>
      </c>
      <c r="D7" t="inlineStr">
        <is>
          <t>A CAVERNA BAR LTDA</t>
        </is>
      </c>
      <c r="E7" s="27" t="n">
        <v>46077</v>
      </c>
      <c r="F7" s="27" t="n">
        <v>46077</v>
      </c>
      <c r="G7" s="27" t="n">
        <v>46077</v>
      </c>
      <c r="H7" t="n">
        <v>600</v>
      </c>
      <c r="J7" t="inlineStr">
        <is>
          <t>Aporte</t>
        </is>
      </c>
      <c r="K7" t="inlineStr">
        <is>
          <t>Transferência Bancária ou Pix</t>
        </is>
      </c>
      <c r="L7" t="inlineStr">
        <is>
          <t>Pago</t>
        </is>
      </c>
      <c r="M7" t="inlineStr">
        <is>
          <t>The Cavern - Kamino</t>
        </is>
      </c>
    </row>
    <row r="8">
      <c r="A8" t="n">
        <v>11054</v>
      </c>
      <c r="B8" t="n">
        <v>176</v>
      </c>
      <c r="C8" t="inlineStr">
        <is>
          <t>The Cavern</t>
        </is>
      </c>
      <c r="D8" t="inlineStr">
        <is>
          <t>A CAVERNA BAR LTDA</t>
        </is>
      </c>
      <c r="E8" s="27" t="n">
        <v>46073</v>
      </c>
      <c r="F8" s="27" t="n">
        <v>46076</v>
      </c>
      <c r="G8" s="27" t="n">
        <v>46076</v>
      </c>
      <c r="H8" t="n">
        <v>7906.15</v>
      </c>
      <c r="J8" t="inlineStr">
        <is>
          <t>Aporte</t>
        </is>
      </c>
      <c r="K8" t="inlineStr">
        <is>
          <t>Transferência Bancária ou Pix</t>
        </is>
      </c>
      <c r="L8" t="inlineStr">
        <is>
          <t>Pago</t>
        </is>
      </c>
      <c r="M8" t="inlineStr">
        <is>
          <t>The Cavern - Kamino</t>
        </is>
      </c>
      <c r="N8" t="inlineStr">
        <is>
          <t>APORTE DOS SOCIOS - 02/2026</t>
        </is>
      </c>
    </row>
    <row r="9">
      <c r="A9" t="n">
        <v>11054</v>
      </c>
      <c r="B9" t="n">
        <v>176</v>
      </c>
      <c r="C9" t="inlineStr">
        <is>
          <t>The Cavern</t>
        </is>
      </c>
      <c r="D9" t="inlineStr">
        <is>
          <t>A CAVERNA BAR LTDA</t>
        </is>
      </c>
      <c r="E9" s="27" t="n">
        <v>46073</v>
      </c>
      <c r="F9" s="27" t="n">
        <v>46073</v>
      </c>
      <c r="G9" s="27" t="n">
        <v>46073</v>
      </c>
      <c r="H9" t="n">
        <v>13303.5</v>
      </c>
      <c r="J9" t="inlineStr">
        <is>
          <t>Aporte</t>
        </is>
      </c>
      <c r="K9" t="inlineStr">
        <is>
          <t>Transferência Bancária ou Pix</t>
        </is>
      </c>
      <c r="L9" t="inlineStr">
        <is>
          <t>Pago</t>
        </is>
      </c>
      <c r="M9" t="inlineStr">
        <is>
          <t>The Cavern - Kamino</t>
        </is>
      </c>
      <c r="N9" t="inlineStr">
        <is>
          <t>APORTE DOS SOCIOS - 02/2026</t>
        </is>
      </c>
    </row>
    <row r="10">
      <c r="A10" t="n">
        <v>10899</v>
      </c>
      <c r="B10" t="n">
        <v>176</v>
      </c>
      <c r="C10" t="inlineStr">
        <is>
          <t>The Cavern</t>
        </is>
      </c>
      <c r="D10" t="inlineStr">
        <is>
          <t>A CAVERNA BAR LTDA</t>
        </is>
      </c>
      <c r="E10" s="27" t="n">
        <v>46062</v>
      </c>
      <c r="F10" s="27" t="n">
        <v>46072</v>
      </c>
      <c r="G10" s="27" t="n">
        <v>46072</v>
      </c>
      <c r="H10" t="n">
        <v>8000</v>
      </c>
      <c r="J10" t="inlineStr">
        <is>
          <t>Aporte</t>
        </is>
      </c>
      <c r="K10" t="inlineStr">
        <is>
          <t>Transferência Bancária ou Pix</t>
        </is>
      </c>
      <c r="L10" t="inlineStr">
        <is>
          <t>Pago</t>
        </is>
      </c>
      <c r="M10" t="inlineStr">
        <is>
          <t>The Cavern - Kamino</t>
        </is>
      </c>
      <c r="N10" t="inlineStr">
        <is>
          <t>APORTE DOS SOCIOS - 02/2026</t>
        </is>
      </c>
    </row>
    <row r="11">
      <c r="A11" t="n">
        <v>10899</v>
      </c>
      <c r="B11" t="n">
        <v>176</v>
      </c>
      <c r="C11" t="inlineStr">
        <is>
          <t>The Cavern</t>
        </is>
      </c>
      <c r="D11" t="inlineStr">
        <is>
          <t>A CAVERNA BAR LTDA</t>
        </is>
      </c>
      <c r="E11" s="27" t="n">
        <v>46062</v>
      </c>
      <c r="F11" s="27" t="n">
        <v>46071</v>
      </c>
      <c r="G11" s="27" t="n">
        <v>46071</v>
      </c>
      <c r="H11" t="n">
        <v>35687.25</v>
      </c>
      <c r="J11" t="inlineStr">
        <is>
          <t>Aporte</t>
        </is>
      </c>
      <c r="K11" t="inlineStr">
        <is>
          <t>Transferência Bancária ou Pix</t>
        </is>
      </c>
      <c r="L11" t="inlineStr">
        <is>
          <t>Pago</t>
        </is>
      </c>
      <c r="M11" t="inlineStr">
        <is>
          <t>The Cavern - Kamino</t>
        </is>
      </c>
      <c r="N11" t="inlineStr">
        <is>
          <t>APORTE DOS SOCIOS - 02/2026</t>
        </is>
      </c>
    </row>
    <row r="12">
      <c r="A12" t="n">
        <v>11362</v>
      </c>
      <c r="B12" t="n">
        <v>176</v>
      </c>
      <c r="C12" t="inlineStr">
        <is>
          <t>The Cavern</t>
        </is>
      </c>
      <c r="D12" t="inlineStr">
        <is>
          <t>A CAVERNA BAR LTDA</t>
        </is>
      </c>
      <c r="E12" s="27" t="n">
        <v>46066</v>
      </c>
      <c r="F12" s="27" t="n">
        <v>46066</v>
      </c>
      <c r="G12" s="27" t="n">
        <v>46066</v>
      </c>
      <c r="H12" t="n">
        <v>8500</v>
      </c>
      <c r="J12" t="inlineStr">
        <is>
          <t>Aporte</t>
        </is>
      </c>
      <c r="K12" t="inlineStr">
        <is>
          <t>Transferência Bancária ou Pix</t>
        </is>
      </c>
      <c r="L12" t="inlineStr">
        <is>
          <t>Pago</t>
        </is>
      </c>
      <c r="M12" t="inlineStr">
        <is>
          <t>The Cavern - Kamino</t>
        </is>
      </c>
      <c r="N12" t="inlineStr">
        <is>
          <t>Aporte - 02/2026</t>
        </is>
      </c>
    </row>
    <row r="13">
      <c r="A13" t="n">
        <v>10899</v>
      </c>
      <c r="B13" t="n">
        <v>176</v>
      </c>
      <c r="C13" t="inlineStr">
        <is>
          <t>The Cavern</t>
        </is>
      </c>
      <c r="D13" t="inlineStr">
        <is>
          <t>A CAVERNA BAR LTDA</t>
        </is>
      </c>
      <c r="E13" s="27" t="n">
        <v>46062</v>
      </c>
      <c r="F13" s="27" t="n">
        <v>46064</v>
      </c>
      <c r="G13" s="27" t="n">
        <v>46064</v>
      </c>
      <c r="H13" t="n">
        <v>14000</v>
      </c>
      <c r="J13" t="inlineStr">
        <is>
          <t>Aporte</t>
        </is>
      </c>
      <c r="K13" t="inlineStr">
        <is>
          <t>Transferência Bancária ou Pix</t>
        </is>
      </c>
      <c r="L13" t="inlineStr">
        <is>
          <t>Pago</t>
        </is>
      </c>
      <c r="M13" t="inlineStr">
        <is>
          <t>The Cavern - Kamino</t>
        </is>
      </c>
      <c r="N13" t="inlineStr">
        <is>
          <t>APORTE DOS SOCIOS - 02/2026</t>
        </is>
      </c>
    </row>
    <row r="14">
      <c r="A14" t="n">
        <v>10899</v>
      </c>
      <c r="B14" t="n">
        <v>176</v>
      </c>
      <c r="C14" t="inlineStr">
        <is>
          <t>The Cavern</t>
        </is>
      </c>
      <c r="D14" t="inlineStr">
        <is>
          <t>A CAVERNA BAR LTDA</t>
        </is>
      </c>
      <c r="E14" s="27" t="n">
        <v>46062</v>
      </c>
      <c r="F14" s="27" t="n">
        <v>46063</v>
      </c>
      <c r="G14" s="27" t="n">
        <v>46063</v>
      </c>
      <c r="H14" t="n">
        <v>3550</v>
      </c>
      <c r="J14" t="inlineStr">
        <is>
          <t>Aporte</t>
        </is>
      </c>
      <c r="K14" t="inlineStr">
        <is>
          <t>Transferência Bancária ou Pix</t>
        </is>
      </c>
      <c r="L14" t="inlineStr">
        <is>
          <t>Pago</t>
        </is>
      </c>
      <c r="M14" t="inlineStr">
        <is>
          <t>The Cavern - Kamino</t>
        </is>
      </c>
      <c r="N14" t="inlineStr">
        <is>
          <t>APORTE DOS SOCIOS - 02/2026</t>
        </is>
      </c>
    </row>
    <row r="15">
      <c r="A15" t="n">
        <v>10899</v>
      </c>
      <c r="B15" t="n">
        <v>176</v>
      </c>
      <c r="C15" t="inlineStr">
        <is>
          <t>The Cavern</t>
        </is>
      </c>
      <c r="D15" t="inlineStr">
        <is>
          <t>A CAVERNA BAR LTDA</t>
        </is>
      </c>
      <c r="E15" s="27" t="n">
        <v>46062</v>
      </c>
      <c r="F15" s="27" t="n">
        <v>46062</v>
      </c>
      <c r="G15" s="27" t="n">
        <v>46062</v>
      </c>
      <c r="H15" t="n">
        <v>12435.21</v>
      </c>
      <c r="J15" t="inlineStr">
        <is>
          <t>Aporte</t>
        </is>
      </c>
      <c r="K15" t="inlineStr">
        <is>
          <t>Transferência Bancária ou Pix</t>
        </is>
      </c>
      <c r="L15" t="inlineStr">
        <is>
          <t>Pago</t>
        </is>
      </c>
      <c r="M15" t="inlineStr">
        <is>
          <t>The Cavern - Kamino</t>
        </is>
      </c>
      <c r="N15" t="inlineStr">
        <is>
          <t>APORTE DOS SOCIOS - 02/2026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ID_Evento</t>
        </is>
      </c>
      <c r="B1" t="inlineStr">
        <is>
          <t>Nome_Evento</t>
        </is>
      </c>
      <c r="C1" t="inlineStr">
        <is>
          <t>ID_Casa</t>
        </is>
      </c>
      <c r="D1" t="inlineStr">
        <is>
          <t>Casa</t>
        </is>
      </c>
      <c r="E1" t="inlineStr">
        <is>
          <t>ID_Parcela</t>
        </is>
      </c>
      <c r="F1" t="inlineStr">
        <is>
          <t>Valor_Parcela</t>
        </is>
      </c>
      <c r="G1" t="inlineStr">
        <is>
          <t>Vencimento_Parcela</t>
        </is>
      </c>
      <c r="H1" t="inlineStr">
        <is>
          <t>Recebimento_Parcela</t>
        </is>
      </c>
      <c r="I1" t="inlineStr">
        <is>
          <t>Status_Pgto</t>
        </is>
      </c>
      <c r="J1" t="inlineStr">
        <is>
          <t>Forma_Pgto</t>
        </is>
      </c>
      <c r="K1" t="inlineStr">
        <is>
          <t>ID_Conta_Bancaria</t>
        </is>
      </c>
      <c r="L1" t="inlineStr">
        <is>
          <t>Conta_Bancaria</t>
        </is>
      </c>
      <c r="M1" t="inlineStr">
        <is>
          <t>Observacoes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ID_Despesa</t>
        </is>
      </c>
      <c r="B1" t="inlineStr">
        <is>
          <t>ID_Casa</t>
        </is>
      </c>
      <c r="C1" t="inlineStr">
        <is>
          <t>Casa</t>
        </is>
      </c>
      <c r="D1" t="inlineStr">
        <is>
          <t>Fornecedor</t>
        </is>
      </c>
      <c r="E1" t="inlineStr">
        <is>
          <t>Valor</t>
        </is>
      </c>
      <c r="F1" t="inlineStr">
        <is>
          <t>Data_Vencimento</t>
        </is>
      </c>
      <c r="G1" t="inlineStr">
        <is>
          <t>Previsao_Pgto</t>
        </is>
      </c>
      <c r="H1" t="inlineStr">
        <is>
          <t>Realizacao_Pgto</t>
        </is>
      </c>
      <c r="I1" t="inlineStr">
        <is>
          <t>Data_Competencia</t>
        </is>
      </c>
      <c r="J1" t="inlineStr">
        <is>
          <t>Data_Lancamento</t>
        </is>
      </c>
      <c r="K1" t="inlineStr">
        <is>
          <t>Forma_Pagamento</t>
        </is>
      </c>
      <c r="L1" t="inlineStr">
        <is>
          <t>Class_Cont_1</t>
        </is>
      </c>
      <c r="M1" t="inlineStr">
        <is>
          <t>Class_Cont_2</t>
        </is>
      </c>
      <c r="N1" t="inlineStr">
        <is>
          <t>Doc_NF</t>
        </is>
      </c>
      <c r="O1" t="inlineStr">
        <is>
          <t>Status_Conf_Document</t>
        </is>
      </c>
      <c r="P1" t="inlineStr">
        <is>
          <t>Status_Aprov_Diret</t>
        </is>
      </c>
      <c r="Q1" t="inlineStr">
        <is>
          <t>Status_Aprov_Caixa</t>
        </is>
      </c>
      <c r="R1" t="inlineStr">
        <is>
          <t>Status_Pgto</t>
        </is>
      </c>
      <c r="S1" t="inlineStr">
        <is>
          <t>ID_Conta_Bancaria</t>
        </is>
      </c>
      <c r="T1" t="inlineStr">
        <is>
          <t>Conta_Bancaria</t>
        </is>
      </c>
      <c r="U1" t="inlineStr">
        <is>
          <t>CNPJ_Loja</t>
        </is>
      </c>
    </row>
    <row r="2">
      <c r="A2" t="n">
        <v>209346</v>
      </c>
      <c r="B2" t="n">
        <v>176</v>
      </c>
      <c r="C2" t="inlineStr">
        <is>
          <t>The Cavern</t>
        </is>
      </c>
      <c r="D2" t="inlineStr">
        <is>
          <t>MARIO PEDRO FELICIANO - HORTIFRUTI</t>
        </is>
      </c>
      <c r="E2" t="n">
        <v>193.47</v>
      </c>
      <c r="F2" s="27" t="n">
        <v>46099</v>
      </c>
      <c r="G2" s="27" t="n">
        <v>46099</v>
      </c>
      <c r="H2" s="27" t="n">
        <v>46099</v>
      </c>
      <c r="I2" s="27" t="n">
        <v>46071</v>
      </c>
      <c r="J2" s="27" t="n">
        <v>46072</v>
      </c>
      <c r="K2" t="inlineStr">
        <is>
          <t>Boleto Bancário</t>
        </is>
      </c>
      <c r="L2" t="inlineStr">
        <is>
          <t>Custo Mercadoria Vendida</t>
        </is>
      </c>
      <c r="M2" t="inlineStr">
        <is>
          <t>Insumos - Alimentos</t>
        </is>
      </c>
      <c r="N2" t="inlineStr">
        <is>
          <t>468095</t>
        </is>
      </c>
      <c r="O2" t="inlineStr">
        <is>
          <t>Documentação Aprovada</t>
        </is>
      </c>
      <c r="P2" t="inlineStr">
        <is>
          <t>Aprovado Diretoria</t>
        </is>
      </c>
      <c r="Q2" t="inlineStr">
        <is>
          <t>Aprovado Caixa</t>
        </is>
      </c>
      <c r="R2" t="inlineStr">
        <is>
          <t>Pago</t>
        </is>
      </c>
      <c r="S2" t="n">
        <v>226</v>
      </c>
      <c r="T2" t="inlineStr">
        <is>
          <t>The Cavern - Kamino</t>
        </is>
      </c>
    </row>
    <row r="3">
      <c r="A3" t="n">
        <v>209323</v>
      </c>
      <c r="B3" t="n">
        <v>176</v>
      </c>
      <c r="C3" t="inlineStr">
        <is>
          <t>The Cavern</t>
        </is>
      </c>
      <c r="D3" t="inlineStr">
        <is>
          <t xml:space="preserve">HORTIFRUTI DO CHEF LTDA </t>
        </is>
      </c>
      <c r="E3" t="n">
        <v>118.78</v>
      </c>
      <c r="F3" s="27" t="n">
        <v>46099</v>
      </c>
      <c r="G3" s="27" t="n">
        <v>46099</v>
      </c>
      <c r="H3" s="27" t="n">
        <v>46099</v>
      </c>
      <c r="I3" s="27" t="n">
        <v>46071</v>
      </c>
      <c r="J3" s="27" t="n">
        <v>46072</v>
      </c>
      <c r="K3" t="inlineStr">
        <is>
          <t>Boleto Bancário</t>
        </is>
      </c>
      <c r="L3" t="inlineStr">
        <is>
          <t>Custo Mercadoria Vendida</t>
        </is>
      </c>
      <c r="M3" t="inlineStr">
        <is>
          <t>Insumos - Alimentos</t>
        </is>
      </c>
      <c r="N3" t="inlineStr">
        <is>
          <t>29184</t>
        </is>
      </c>
      <c r="O3" t="inlineStr">
        <is>
          <t>Documentação Aprovada</t>
        </is>
      </c>
      <c r="P3" t="inlineStr">
        <is>
          <t>Aprovado Diretoria</t>
        </is>
      </c>
      <c r="Q3" t="inlineStr">
        <is>
          <t>Aprovado Caixa</t>
        </is>
      </c>
      <c r="R3" t="inlineStr">
        <is>
          <t>Pago</t>
        </is>
      </c>
      <c r="S3" t="n">
        <v>226</v>
      </c>
      <c r="T3" t="inlineStr">
        <is>
          <t>The Cavern - Kamino</t>
        </is>
      </c>
    </row>
    <row r="4">
      <c r="A4" t="n">
        <v>209331</v>
      </c>
      <c r="B4" t="n">
        <v>176</v>
      </c>
      <c r="C4" t="inlineStr">
        <is>
          <t>The Cavern</t>
        </is>
      </c>
      <c r="D4" t="inlineStr">
        <is>
          <t>CECILIA TSUYACO ARAKI SILVA LTDA</t>
        </is>
      </c>
      <c r="E4" t="n">
        <v>48.65</v>
      </c>
      <c r="F4" s="27" t="n">
        <v>46099</v>
      </c>
      <c r="G4" s="27" t="n">
        <v>46099</v>
      </c>
      <c r="H4" s="27" t="n">
        <v>46099</v>
      </c>
      <c r="I4" s="27" t="n">
        <v>46071</v>
      </c>
      <c r="J4" s="27" t="n">
        <v>46072</v>
      </c>
      <c r="K4" t="inlineStr">
        <is>
          <t>Boleto Bancário</t>
        </is>
      </c>
      <c r="L4" t="inlineStr">
        <is>
          <t>Custo Mercadoria Vendida</t>
        </is>
      </c>
      <c r="M4" t="inlineStr">
        <is>
          <t>Insumos - Alimentos</t>
        </is>
      </c>
      <c r="N4" t="inlineStr">
        <is>
          <t>387093</t>
        </is>
      </c>
      <c r="O4" t="inlineStr">
        <is>
          <t>Documentação Aprovada</t>
        </is>
      </c>
      <c r="P4" t="inlineStr">
        <is>
          <t>Aprovado Diretoria</t>
        </is>
      </c>
      <c r="Q4" t="inlineStr">
        <is>
          <t>Aprovado Caixa</t>
        </is>
      </c>
      <c r="R4" t="inlineStr">
        <is>
          <t>Pago</t>
        </is>
      </c>
      <c r="S4" t="n">
        <v>226</v>
      </c>
      <c r="T4" t="inlineStr">
        <is>
          <t>The Cavern - Kamino</t>
        </is>
      </c>
    </row>
    <row r="5">
      <c r="A5" t="n">
        <v>212823</v>
      </c>
      <c r="B5" t="n">
        <v>176</v>
      </c>
      <c r="C5" t="inlineStr">
        <is>
          <t>The Cavern</t>
        </is>
      </c>
      <c r="D5" t="inlineStr">
        <is>
          <t>PROAUTO INDUSTRIA QUIMICA EIRELI</t>
        </is>
      </c>
      <c r="E5" t="n">
        <v>1377.54</v>
      </c>
      <c r="F5" s="27" t="n">
        <v>46099</v>
      </c>
      <c r="G5" s="27" t="n">
        <v>46099</v>
      </c>
      <c r="H5" s="27" t="n">
        <v>46099</v>
      </c>
      <c r="I5" s="27" t="n">
        <v>46078</v>
      </c>
      <c r="J5" s="27" t="n">
        <v>46083</v>
      </c>
      <c r="K5" t="inlineStr">
        <is>
          <t>Boleto Bancário</t>
        </is>
      </c>
      <c r="L5" t="inlineStr">
        <is>
          <t>Utilidades</t>
        </is>
      </c>
      <c r="M5" t="inlineStr">
        <is>
          <t>Higiene e Limpeza</t>
        </is>
      </c>
      <c r="N5" t="inlineStr">
        <is>
          <t>152297</t>
        </is>
      </c>
      <c r="O5" t="inlineStr">
        <is>
          <t>Documentação Aprovada</t>
        </is>
      </c>
      <c r="P5" t="inlineStr">
        <is>
          <t>Aprovado Diretoria</t>
        </is>
      </c>
      <c r="Q5" t="inlineStr">
        <is>
          <t>Aprovado Caixa</t>
        </is>
      </c>
      <c r="R5" t="inlineStr">
        <is>
          <t>Pago</t>
        </is>
      </c>
      <c r="S5" t="n">
        <v>226</v>
      </c>
      <c r="T5" t="inlineStr">
        <is>
          <t>The Cavern - Kamino</t>
        </is>
      </c>
    </row>
    <row r="6">
      <c r="A6" t="n">
        <v>215853</v>
      </c>
      <c r="B6" t="n">
        <v>176</v>
      </c>
      <c r="C6" t="inlineStr">
        <is>
          <t>The Cavern</t>
        </is>
      </c>
      <c r="D6" t="inlineStr">
        <is>
          <t>SPON DISTRIBUIDORA DE BEBIDAS LTDA</t>
        </is>
      </c>
      <c r="E6" t="n">
        <v>167.76</v>
      </c>
      <c r="F6" s="27" t="n">
        <v>46099</v>
      </c>
      <c r="G6" s="27" t="n">
        <v>46099</v>
      </c>
      <c r="H6" s="27" t="n">
        <v>46099</v>
      </c>
      <c r="I6" s="27" t="n">
        <v>46091</v>
      </c>
      <c r="J6" s="27" t="n">
        <v>46092</v>
      </c>
      <c r="K6" t="inlineStr">
        <is>
          <t>Boleto Bancário</t>
        </is>
      </c>
      <c r="L6" t="inlineStr">
        <is>
          <t>Custo Mercadoria Vendida</t>
        </is>
      </c>
      <c r="M6" t="inlineStr">
        <is>
          <t>Insumos - Bebidas</t>
        </is>
      </c>
      <c r="N6" t="inlineStr">
        <is>
          <t>157622</t>
        </is>
      </c>
      <c r="O6" t="inlineStr">
        <is>
          <t>Documentação Aprovada</t>
        </is>
      </c>
      <c r="P6" t="inlineStr">
        <is>
          <t>Aprovado Diretoria</t>
        </is>
      </c>
      <c r="Q6" t="inlineStr">
        <is>
          <t>Aprovado Caixa</t>
        </is>
      </c>
      <c r="R6" t="inlineStr">
        <is>
          <t>Pago</t>
        </is>
      </c>
      <c r="S6" t="n">
        <v>226</v>
      </c>
      <c r="T6" t="inlineStr">
        <is>
          <t>The Cavern - Kamino</t>
        </is>
      </c>
    </row>
    <row r="7">
      <c r="A7" t="n">
        <v>215956</v>
      </c>
      <c r="B7" t="n">
        <v>176</v>
      </c>
      <c r="C7" t="inlineStr">
        <is>
          <t>The Cavern</t>
        </is>
      </c>
      <c r="D7" t="inlineStr">
        <is>
          <t>RCS COMERCIAL DE ALIMENTOS LTDA</t>
        </is>
      </c>
      <c r="E7" t="n">
        <v>153.5</v>
      </c>
      <c r="F7" s="27" t="n">
        <v>46099</v>
      </c>
      <c r="G7" s="27" t="n">
        <v>46099</v>
      </c>
      <c r="H7" s="27" t="n">
        <v>46099</v>
      </c>
      <c r="I7" s="27" t="n">
        <v>46085</v>
      </c>
      <c r="J7" s="27" t="n">
        <v>46092</v>
      </c>
      <c r="K7" t="inlineStr">
        <is>
          <t>Boleto Bancário</t>
        </is>
      </c>
      <c r="L7" t="inlineStr">
        <is>
          <t>Custo Mercadoria Vendida</t>
        </is>
      </c>
      <c r="M7" t="inlineStr">
        <is>
          <t>Insumos - Alimentos</t>
        </is>
      </c>
      <c r="N7" t="inlineStr">
        <is>
          <t>11155</t>
        </is>
      </c>
      <c r="O7" t="inlineStr">
        <is>
          <t>Documentação Aprovada</t>
        </is>
      </c>
      <c r="P7" t="inlineStr">
        <is>
          <t>Aprovado Diretoria</t>
        </is>
      </c>
      <c r="Q7" t="inlineStr">
        <is>
          <t>Aprovado Caixa</t>
        </is>
      </c>
      <c r="R7" t="inlineStr">
        <is>
          <t>Pago</t>
        </is>
      </c>
      <c r="S7" t="n">
        <v>226</v>
      </c>
      <c r="T7" t="inlineStr">
        <is>
          <t>The Cavern - Kamino</t>
        </is>
      </c>
    </row>
    <row r="8">
      <c r="A8" t="n">
        <v>215829</v>
      </c>
      <c r="B8" t="n">
        <v>176</v>
      </c>
      <c r="C8" t="inlineStr">
        <is>
          <t>The Cavern</t>
        </is>
      </c>
      <c r="D8" t="inlineStr">
        <is>
          <t>INDUSTRIA DE BEBIDAS IGARASSU LTDA</t>
        </is>
      </c>
      <c r="E8" t="n">
        <v>4727.23</v>
      </c>
      <c r="F8" s="27" t="n">
        <v>46099</v>
      </c>
      <c r="G8" s="27" t="n">
        <v>46099</v>
      </c>
      <c r="H8" s="27" t="n">
        <v>46099</v>
      </c>
      <c r="I8" s="27" t="n">
        <v>46084</v>
      </c>
      <c r="J8" s="27" t="n">
        <v>46092</v>
      </c>
      <c r="K8" t="inlineStr">
        <is>
          <t>Boleto Bancário</t>
        </is>
      </c>
      <c r="L8" t="inlineStr">
        <is>
          <t>Custo Mercadoria Vendida</t>
        </is>
      </c>
      <c r="M8" t="inlineStr">
        <is>
          <t>Insumos - Bebidas</t>
        </is>
      </c>
      <c r="N8" t="inlineStr">
        <is>
          <t>70114</t>
        </is>
      </c>
      <c r="O8" t="inlineStr">
        <is>
          <t>Documentação Aprovada</t>
        </is>
      </c>
      <c r="P8" t="inlineStr">
        <is>
          <t>Aprovado Diretoria</t>
        </is>
      </c>
      <c r="Q8" t="inlineStr">
        <is>
          <t>Aprovado Caixa</t>
        </is>
      </c>
      <c r="R8" t="inlineStr">
        <is>
          <t>Pago</t>
        </is>
      </c>
      <c r="S8" t="n">
        <v>226</v>
      </c>
      <c r="T8" t="inlineStr">
        <is>
          <t>The Cavern - Kamino</t>
        </is>
      </c>
    </row>
    <row r="9">
      <c r="A9" t="n">
        <v>215618</v>
      </c>
      <c r="B9" t="n">
        <v>176</v>
      </c>
      <c r="C9" t="inlineStr">
        <is>
          <t>The Cavern</t>
        </is>
      </c>
      <c r="D9" t="inlineStr">
        <is>
          <t>HENRIQUE DE LIMA RAMOS</t>
        </is>
      </c>
      <c r="E9" t="n">
        <v>575.55</v>
      </c>
      <c r="F9" s="27" t="n">
        <v>46098</v>
      </c>
      <c r="G9" s="27" t="n">
        <v>46098</v>
      </c>
      <c r="H9" s="27" t="n">
        <v>46098</v>
      </c>
      <c r="I9" s="27" t="n">
        <v>46091</v>
      </c>
      <c r="J9" s="27" t="n">
        <v>46091</v>
      </c>
      <c r="K9" t="inlineStr">
        <is>
          <t>Transferência Bancária ou Pix</t>
        </is>
      </c>
      <c r="L9" t="inlineStr">
        <is>
          <t>Mão de Obra - Extra</t>
        </is>
      </c>
      <c r="M9" t="inlineStr">
        <is>
          <t>Mão de Obra Extra</t>
        </is>
      </c>
      <c r="N9" t="inlineStr">
        <is>
          <t>6517032026</t>
        </is>
      </c>
      <c r="O9" t="inlineStr">
        <is>
          <t>Documentação Aprovada</t>
        </is>
      </c>
      <c r="P9" t="inlineStr">
        <is>
          <t>Aprovado Diretoria</t>
        </is>
      </c>
      <c r="Q9" t="inlineStr">
        <is>
          <t>Aprovado Caixa</t>
        </is>
      </c>
      <c r="R9" t="inlineStr">
        <is>
          <t>Pago</t>
        </is>
      </c>
      <c r="S9" t="n">
        <v>226</v>
      </c>
      <c r="T9" t="inlineStr">
        <is>
          <t>The Cavern - Kamino</t>
        </is>
      </c>
    </row>
    <row r="10">
      <c r="A10" t="n">
        <v>215470</v>
      </c>
      <c r="B10" t="n">
        <v>176</v>
      </c>
      <c r="C10" t="inlineStr">
        <is>
          <t>The Cavern</t>
        </is>
      </c>
      <c r="D10" t="inlineStr">
        <is>
          <t xml:space="preserve">HNK BR INDUSTRIA DE BEBIDAS </t>
        </is>
      </c>
      <c r="E10" t="n">
        <v>1635.5</v>
      </c>
      <c r="F10" s="27" t="n">
        <v>46098</v>
      </c>
      <c r="G10" s="27" t="n">
        <v>46098</v>
      </c>
      <c r="H10" s="27" t="n">
        <v>46098</v>
      </c>
      <c r="I10" s="27" t="n">
        <v>46083</v>
      </c>
      <c r="J10" s="27" t="n">
        <v>46091</v>
      </c>
      <c r="K10" t="inlineStr">
        <is>
          <t>Boleto Bancário</t>
        </is>
      </c>
      <c r="L10" t="inlineStr">
        <is>
          <t>Custo Mercadoria Vendida</t>
        </is>
      </c>
      <c r="M10" t="inlineStr">
        <is>
          <t>Insumos - Bebidas</t>
        </is>
      </c>
      <c r="N10" t="inlineStr">
        <is>
          <t>169110</t>
        </is>
      </c>
      <c r="O10" t="inlineStr">
        <is>
          <t>Documentação Aprovada</t>
        </is>
      </c>
      <c r="P10" t="inlineStr">
        <is>
          <t>Aprovado Diretoria</t>
        </is>
      </c>
      <c r="Q10" t="inlineStr">
        <is>
          <t>Aprovado Caixa</t>
        </is>
      </c>
      <c r="R10" t="inlineStr">
        <is>
          <t>Pago</t>
        </is>
      </c>
      <c r="S10" t="n">
        <v>226</v>
      </c>
      <c r="T10" t="inlineStr">
        <is>
          <t>The Cavern - Kamino</t>
        </is>
      </c>
    </row>
    <row r="11">
      <c r="A11" t="n">
        <v>215149</v>
      </c>
      <c r="B11" t="n">
        <v>176</v>
      </c>
      <c r="C11" t="inlineStr">
        <is>
          <t>The Cavern</t>
        </is>
      </c>
      <c r="D11" t="inlineStr">
        <is>
          <t>PAULO SERGIO LOPES MARTINS DE FREITAS</t>
        </is>
      </c>
      <c r="E11" t="n">
        <v>6600</v>
      </c>
      <c r="F11" s="27" t="n">
        <v>46091</v>
      </c>
      <c r="G11" s="27" t="n">
        <v>46097</v>
      </c>
      <c r="H11" s="27" t="n">
        <v>46097</v>
      </c>
      <c r="I11" s="27" t="n">
        <v>46054</v>
      </c>
      <c r="J11" s="27" t="n">
        <v>46088</v>
      </c>
      <c r="K11" t="inlineStr">
        <is>
          <t>Transferência Bancária ou Pix</t>
        </is>
      </c>
      <c r="L11" t="inlineStr">
        <is>
          <t>Mão de Obra - PJ</t>
        </is>
      </c>
      <c r="M11" t="inlineStr">
        <is>
          <t>MDO PJ Fixo</t>
        </is>
      </c>
      <c r="N11" t="inlineStr">
        <is>
          <t>190</t>
        </is>
      </c>
      <c r="O11" t="inlineStr">
        <is>
          <t>Documentação Aprovada</t>
        </is>
      </c>
      <c r="P11" t="inlineStr">
        <is>
          <t>Aprovado Diretoria</t>
        </is>
      </c>
      <c r="Q11" t="inlineStr">
        <is>
          <t>Aprovado Caixa</t>
        </is>
      </c>
      <c r="R11" t="inlineStr">
        <is>
          <t>Pago</t>
        </is>
      </c>
      <c r="S11" t="n">
        <v>226</v>
      </c>
      <c r="T11" t="inlineStr">
        <is>
          <t>The Cavern - Kamino</t>
        </is>
      </c>
    </row>
    <row r="12">
      <c r="A12" t="n">
        <v>215795</v>
      </c>
      <c r="B12" t="n">
        <v>176</v>
      </c>
      <c r="C12" t="inlineStr">
        <is>
          <t>The Cavern</t>
        </is>
      </c>
      <c r="D12" t="inlineStr">
        <is>
          <t>MAR DIRETO POC COMERCIO DE PEIXES LTDA</t>
        </is>
      </c>
      <c r="E12" t="n">
        <v>1365</v>
      </c>
      <c r="F12" s="27" t="n">
        <v>46097</v>
      </c>
      <c r="G12" s="27" t="n">
        <v>46097</v>
      </c>
      <c r="H12" s="27" t="n">
        <v>46097</v>
      </c>
      <c r="I12" s="27" t="n">
        <v>46086</v>
      </c>
      <c r="J12" s="27" t="n">
        <v>46092</v>
      </c>
      <c r="K12" t="inlineStr">
        <is>
          <t>Boleto Bancário</t>
        </is>
      </c>
      <c r="L12" t="inlineStr">
        <is>
          <t>Custo Mercadoria Vendida</t>
        </is>
      </c>
      <c r="M12" t="inlineStr">
        <is>
          <t>Insumos - Alimentos</t>
        </is>
      </c>
      <c r="N12" t="inlineStr">
        <is>
          <t>118398</t>
        </is>
      </c>
      <c r="O12" t="inlineStr">
        <is>
          <t>Documentação Aprovada</t>
        </is>
      </c>
      <c r="P12" t="inlineStr">
        <is>
          <t>Aprovado Diretoria</t>
        </is>
      </c>
      <c r="Q12" t="inlineStr">
        <is>
          <t>Aprovado Caixa</t>
        </is>
      </c>
      <c r="R12" t="inlineStr">
        <is>
          <t>Pago</t>
        </is>
      </c>
      <c r="S12" t="n">
        <v>226</v>
      </c>
      <c r="T12" t="inlineStr">
        <is>
          <t>The Cavern - Kamino</t>
        </is>
      </c>
    </row>
    <row r="13">
      <c r="A13" t="n">
        <v>209403</v>
      </c>
      <c r="B13" t="n">
        <v>176</v>
      </c>
      <c r="C13" t="inlineStr">
        <is>
          <t>The Cavern</t>
        </is>
      </c>
      <c r="D13" t="inlineStr">
        <is>
          <t>F &amp; C ASSESSORIA CONTABIL LTDA</t>
        </is>
      </c>
      <c r="E13" t="n">
        <v>1000</v>
      </c>
      <c r="F13" s="27" t="n">
        <v>46097</v>
      </c>
      <c r="G13" s="27" t="n">
        <v>46097</v>
      </c>
      <c r="H13" s="27" t="n">
        <v>46097</v>
      </c>
      <c r="I13" s="27" t="n">
        <v>46081</v>
      </c>
      <c r="J13" s="27" t="n">
        <v>46072</v>
      </c>
      <c r="K13" t="inlineStr">
        <is>
          <t>Boleto Bancário</t>
        </is>
      </c>
      <c r="L13" t="inlineStr">
        <is>
          <t>Serviços de Terceiros</t>
        </is>
      </c>
      <c r="M13" t="inlineStr">
        <is>
          <t>Assessoria Contabil</t>
        </is>
      </c>
      <c r="N13" t="inlineStr">
        <is>
          <t>2379116032026</t>
        </is>
      </c>
      <c r="O13" t="inlineStr">
        <is>
          <t>Documentação Aprovada</t>
        </is>
      </c>
      <c r="P13" t="inlineStr">
        <is>
          <t>Aprovado Diretoria</t>
        </is>
      </c>
      <c r="Q13" t="inlineStr">
        <is>
          <t>Aprovado Caixa</t>
        </is>
      </c>
      <c r="R13" t="inlineStr">
        <is>
          <t>Pago</t>
        </is>
      </c>
      <c r="S13" t="n">
        <v>226</v>
      </c>
      <c r="T13" t="inlineStr">
        <is>
          <t>The Cavern - Kamino</t>
        </is>
      </c>
    </row>
    <row r="14">
      <c r="A14" t="n">
        <v>208815</v>
      </c>
      <c r="B14" t="n">
        <v>176</v>
      </c>
      <c r="C14" t="inlineStr">
        <is>
          <t>The Cavern</t>
        </is>
      </c>
      <c r="D14" t="inlineStr">
        <is>
          <t>MARIO PEDRO FELICIANO - HORTIFRUTI</t>
        </is>
      </c>
      <c r="E14" t="n">
        <v>144.27</v>
      </c>
      <c r="F14" s="27" t="n">
        <v>46097</v>
      </c>
      <c r="G14" s="27" t="n">
        <v>46097</v>
      </c>
      <c r="H14" s="27" t="n">
        <v>46097</v>
      </c>
      <c r="I14" s="27" t="n">
        <v>46067</v>
      </c>
      <c r="J14" s="27" t="n">
        <v>46071</v>
      </c>
      <c r="K14" t="inlineStr">
        <is>
          <t>Boleto Bancário</t>
        </is>
      </c>
      <c r="L14" t="inlineStr">
        <is>
          <t>Custo Mercadoria Vendida</t>
        </is>
      </c>
      <c r="M14" t="inlineStr">
        <is>
          <t>Insumos - Alimentos</t>
        </is>
      </c>
      <c r="N14" t="inlineStr">
        <is>
          <t>467762</t>
        </is>
      </c>
      <c r="O14" t="inlineStr">
        <is>
          <t>Documentação Aprovada</t>
        </is>
      </c>
      <c r="P14" t="inlineStr">
        <is>
          <t>Aprovado Diretoria</t>
        </is>
      </c>
      <c r="Q14" t="inlineStr">
        <is>
          <t>Aprovado Caixa</t>
        </is>
      </c>
      <c r="R14" t="inlineStr">
        <is>
          <t>Pago</t>
        </is>
      </c>
      <c r="S14" t="n">
        <v>226</v>
      </c>
      <c r="T14" t="inlineStr">
        <is>
          <t>The Cavern - Kamino</t>
        </is>
      </c>
    </row>
    <row r="15">
      <c r="A15" t="n">
        <v>208837</v>
      </c>
      <c r="B15" t="n">
        <v>176</v>
      </c>
      <c r="C15" t="inlineStr">
        <is>
          <t>The Cavern</t>
        </is>
      </c>
      <c r="D15" t="inlineStr">
        <is>
          <t>WPP COMERCIO DE CARNES LTDA</t>
        </is>
      </c>
      <c r="E15" t="n">
        <v>1237.98</v>
      </c>
      <c r="F15" s="27" t="n">
        <v>46097</v>
      </c>
      <c r="G15" s="27" t="n">
        <v>46097</v>
      </c>
      <c r="H15" s="27" t="n">
        <v>46097</v>
      </c>
      <c r="I15" s="27" t="n">
        <v>46069</v>
      </c>
      <c r="J15" s="27" t="n">
        <v>46071</v>
      </c>
      <c r="K15" t="inlineStr">
        <is>
          <t>Boleto Bancário</t>
        </is>
      </c>
      <c r="L15" t="inlineStr">
        <is>
          <t>Custo Mercadoria Vendida</t>
        </is>
      </c>
      <c r="M15" t="inlineStr">
        <is>
          <t>Insumos - Alimentos</t>
        </is>
      </c>
      <c r="N15" t="inlineStr">
        <is>
          <t>77384</t>
        </is>
      </c>
      <c r="O15" t="inlineStr">
        <is>
          <t>Documentação Aprovada</t>
        </is>
      </c>
      <c r="P15" t="inlineStr">
        <is>
          <t>Aprovado Diretoria</t>
        </is>
      </c>
      <c r="Q15" t="inlineStr">
        <is>
          <t>Aprovado Caixa</t>
        </is>
      </c>
      <c r="R15" t="inlineStr">
        <is>
          <t>Pago</t>
        </is>
      </c>
      <c r="S15" t="n">
        <v>226</v>
      </c>
      <c r="T15" t="inlineStr">
        <is>
          <t>The Cavern - Kamino</t>
        </is>
      </c>
    </row>
    <row r="16">
      <c r="A16" t="n">
        <v>208640</v>
      </c>
      <c r="B16" t="n">
        <v>176</v>
      </c>
      <c r="C16" t="inlineStr">
        <is>
          <t>The Cavern</t>
        </is>
      </c>
      <c r="D16" t="inlineStr">
        <is>
          <t>CECILIA TSUYACO ARAKI SILVA LTDA</t>
        </is>
      </c>
      <c r="E16" t="n">
        <v>200.5</v>
      </c>
      <c r="F16" s="27" t="n">
        <v>46095</v>
      </c>
      <c r="G16" s="27" t="n">
        <v>46097</v>
      </c>
      <c r="H16" s="27" t="n">
        <v>46097</v>
      </c>
      <c r="I16" s="27" t="n">
        <v>46067</v>
      </c>
      <c r="J16" s="27" t="n">
        <v>46071</v>
      </c>
      <c r="K16" t="inlineStr">
        <is>
          <t>Boleto Bancário</t>
        </is>
      </c>
      <c r="L16" t="inlineStr">
        <is>
          <t>Custo Mercadoria Vendida</t>
        </is>
      </c>
      <c r="M16" t="inlineStr">
        <is>
          <t>Insumos - Alimentos</t>
        </is>
      </c>
      <c r="N16" t="inlineStr">
        <is>
          <t>386939</t>
        </is>
      </c>
      <c r="O16" t="inlineStr">
        <is>
          <t>Documentação Aprovada</t>
        </is>
      </c>
      <c r="P16" t="inlineStr">
        <is>
          <t>Aprovado Diretoria</t>
        </is>
      </c>
      <c r="Q16" t="inlineStr">
        <is>
          <t>Aprovado Caixa</t>
        </is>
      </c>
      <c r="R16" t="inlineStr">
        <is>
          <t>Pago</t>
        </is>
      </c>
      <c r="S16" t="n">
        <v>226</v>
      </c>
      <c r="T16" t="inlineStr">
        <is>
          <t>The Cavern - Kamino</t>
        </is>
      </c>
    </row>
    <row r="17">
      <c r="A17" t="n">
        <v>212508</v>
      </c>
      <c r="B17" t="n">
        <v>176</v>
      </c>
      <c r="C17" t="inlineStr">
        <is>
          <t>The Cavern</t>
        </is>
      </c>
      <c r="D17" t="inlineStr">
        <is>
          <t>30.365.122 HIDEKI HENRIQUE KAWAMOTO</t>
        </is>
      </c>
      <c r="E17" t="n">
        <v>240</v>
      </c>
      <c r="F17" s="27" t="n">
        <v>46097</v>
      </c>
      <c r="G17" s="27" t="n">
        <v>46097</v>
      </c>
      <c r="H17" s="27" t="n">
        <v>46097</v>
      </c>
      <c r="I17" s="27" t="n">
        <v>46076</v>
      </c>
      <c r="J17" s="27" t="n">
        <v>46080</v>
      </c>
      <c r="K17" t="inlineStr">
        <is>
          <t>Boleto Bancário</t>
        </is>
      </c>
      <c r="L17" t="inlineStr">
        <is>
          <t>Custo Mercadoria Vendida</t>
        </is>
      </c>
      <c r="M17" t="inlineStr">
        <is>
          <t>Insumos - Alimentos</t>
        </is>
      </c>
      <c r="N17" t="inlineStr">
        <is>
          <t>1764</t>
        </is>
      </c>
      <c r="O17" t="inlineStr">
        <is>
          <t>Documentação Aprovada</t>
        </is>
      </c>
      <c r="P17" t="inlineStr">
        <is>
          <t>Aprovado Diretoria</t>
        </is>
      </c>
      <c r="Q17" t="inlineStr">
        <is>
          <t>Aprovado Caixa</t>
        </is>
      </c>
      <c r="R17" t="inlineStr">
        <is>
          <t>Pago</t>
        </is>
      </c>
      <c r="S17" t="n">
        <v>226</v>
      </c>
      <c r="T17" t="inlineStr">
        <is>
          <t>The Cavern - Kamino</t>
        </is>
      </c>
    </row>
    <row r="18">
      <c r="A18" t="n">
        <v>210759</v>
      </c>
      <c r="B18" t="n">
        <v>176</v>
      </c>
      <c r="C18" t="inlineStr">
        <is>
          <t>The Cavern</t>
        </is>
      </c>
      <c r="D18" t="inlineStr">
        <is>
          <t xml:space="preserve">HORTIFRUTI DO CHEF LTDA </t>
        </is>
      </c>
      <c r="E18" t="n">
        <v>88.25</v>
      </c>
      <c r="F18" s="27" t="n">
        <v>46097</v>
      </c>
      <c r="G18" s="27" t="n">
        <v>46097</v>
      </c>
      <c r="H18" s="27" t="n">
        <v>46097</v>
      </c>
      <c r="I18" s="27" t="n">
        <v>46069</v>
      </c>
      <c r="J18" s="27" t="n">
        <v>46077</v>
      </c>
      <c r="K18" t="inlineStr">
        <is>
          <t>Boleto Bancário</t>
        </is>
      </c>
      <c r="L18" t="inlineStr">
        <is>
          <t>Custo Mercadoria Vendida</t>
        </is>
      </c>
      <c r="M18" t="inlineStr">
        <is>
          <t>Insumos - Alimentos</t>
        </is>
      </c>
      <c r="N18" t="inlineStr">
        <is>
          <t>29168</t>
        </is>
      </c>
      <c r="O18" t="inlineStr">
        <is>
          <t>Documentação Aprovada</t>
        </is>
      </c>
      <c r="P18" t="inlineStr">
        <is>
          <t>Aprovado Diretoria</t>
        </is>
      </c>
      <c r="Q18" t="inlineStr">
        <is>
          <t>Aprovado Caixa</t>
        </is>
      </c>
      <c r="R18" t="inlineStr">
        <is>
          <t>Pago</t>
        </is>
      </c>
      <c r="S18" t="n">
        <v>226</v>
      </c>
      <c r="T18" t="inlineStr">
        <is>
          <t>The Cavern - Kamino</t>
        </is>
      </c>
    </row>
    <row r="19">
      <c r="A19" t="n">
        <v>208624</v>
      </c>
      <c r="B19" t="n">
        <v>176</v>
      </c>
      <c r="C19" t="inlineStr">
        <is>
          <t>The Cavern</t>
        </is>
      </c>
      <c r="D19" t="inlineStr">
        <is>
          <t xml:space="preserve">HORTIFRUTI DO CHEF LTDA </t>
        </is>
      </c>
      <c r="E19" t="n">
        <v>119.78</v>
      </c>
      <c r="F19" s="27" t="n">
        <v>46094</v>
      </c>
      <c r="G19" s="27" t="n">
        <v>46094</v>
      </c>
      <c r="H19" s="27" t="n">
        <v>46094</v>
      </c>
      <c r="I19" s="27" t="n">
        <v>46066</v>
      </c>
      <c r="J19" s="27" t="n">
        <v>46071</v>
      </c>
      <c r="K19" t="inlineStr">
        <is>
          <t>Boleto Bancário</t>
        </is>
      </c>
      <c r="L19" t="inlineStr">
        <is>
          <t>Custo Mercadoria Vendida</t>
        </is>
      </c>
      <c r="M19" t="inlineStr">
        <is>
          <t>Insumos - Alimentos</t>
        </is>
      </c>
      <c r="N19" t="inlineStr">
        <is>
          <t>29122</t>
        </is>
      </c>
      <c r="O19" t="inlineStr">
        <is>
          <t>Documentação Aprovada</t>
        </is>
      </c>
      <c r="P19" t="inlineStr">
        <is>
          <t>Aprovado Diretoria</t>
        </is>
      </c>
      <c r="Q19" t="inlineStr">
        <is>
          <t>Aprovado Caixa</t>
        </is>
      </c>
      <c r="R19" t="inlineStr">
        <is>
          <t>Pago</t>
        </is>
      </c>
      <c r="S19" t="n">
        <v>226</v>
      </c>
      <c r="T19" t="inlineStr">
        <is>
          <t>The Cavern - Kamino</t>
        </is>
      </c>
    </row>
    <row r="20">
      <c r="A20" t="n">
        <v>208634</v>
      </c>
      <c r="B20" t="n">
        <v>176</v>
      </c>
      <c r="C20" t="inlineStr">
        <is>
          <t>The Cavern</t>
        </is>
      </c>
      <c r="D20" t="inlineStr">
        <is>
          <t>CECILIA TSUYACO ARAKI SILVA LTDA</t>
        </is>
      </c>
      <c r="E20" t="n">
        <v>164</v>
      </c>
      <c r="F20" s="27" t="n">
        <v>46094</v>
      </c>
      <c r="G20" s="27" t="n">
        <v>46094</v>
      </c>
      <c r="H20" s="27" t="n">
        <v>46094</v>
      </c>
      <c r="I20" s="27" t="n">
        <v>46066</v>
      </c>
      <c r="J20" s="27" t="n">
        <v>46071</v>
      </c>
      <c r="K20" t="inlineStr">
        <is>
          <t>Boleto Bancário</t>
        </is>
      </c>
      <c r="L20" t="inlineStr">
        <is>
          <t>Custo Mercadoria Vendida</t>
        </is>
      </c>
      <c r="M20" t="inlineStr">
        <is>
          <t>Insumos - Alimentos</t>
        </is>
      </c>
      <c r="N20" t="inlineStr">
        <is>
          <t>386882</t>
        </is>
      </c>
      <c r="O20" t="inlineStr">
        <is>
          <t>Documentação Aprovada</t>
        </is>
      </c>
      <c r="P20" t="inlineStr">
        <is>
          <t>Aprovado Diretoria</t>
        </is>
      </c>
      <c r="Q20" t="inlineStr">
        <is>
          <t>Aprovado Caixa</t>
        </is>
      </c>
      <c r="R20" t="inlineStr">
        <is>
          <t>Pago</t>
        </is>
      </c>
      <c r="S20" t="n">
        <v>226</v>
      </c>
      <c r="T20" t="inlineStr">
        <is>
          <t>The Cavern - Kamino</t>
        </is>
      </c>
    </row>
    <row r="21">
      <c r="A21" t="n">
        <v>211074</v>
      </c>
      <c r="B21" t="n">
        <v>176</v>
      </c>
      <c r="C21" t="inlineStr">
        <is>
          <t>The Cavern</t>
        </is>
      </c>
      <c r="D21" t="inlineStr">
        <is>
          <t>DTK COMERCIO DE ALIMENTOS LTDA</t>
        </is>
      </c>
      <c r="E21" t="n">
        <v>185.63</v>
      </c>
      <c r="F21" s="27" t="n">
        <v>46094</v>
      </c>
      <c r="G21" s="27" t="n">
        <v>46094</v>
      </c>
      <c r="H21" s="27" t="n">
        <v>46094</v>
      </c>
      <c r="I21" s="27" t="n">
        <v>46073</v>
      </c>
      <c r="J21" s="27" t="n">
        <v>46078</v>
      </c>
      <c r="K21" t="inlineStr">
        <is>
          <t>Boleto Bancário</t>
        </is>
      </c>
      <c r="L21" t="inlineStr">
        <is>
          <t>Custo Mercadoria Vendida</t>
        </is>
      </c>
      <c r="M21" t="inlineStr">
        <is>
          <t>Insumos - Alimentos</t>
        </is>
      </c>
      <c r="N21" t="inlineStr">
        <is>
          <t>66048</t>
        </is>
      </c>
      <c r="O21" t="inlineStr">
        <is>
          <t>Documentação Aprovada</t>
        </is>
      </c>
      <c r="P21" t="inlineStr">
        <is>
          <t>Aprovado Diretoria</t>
        </is>
      </c>
      <c r="Q21" t="inlineStr">
        <is>
          <t>Aprovado Caixa</t>
        </is>
      </c>
      <c r="R21" t="inlineStr">
        <is>
          <t>Pago</t>
        </is>
      </c>
      <c r="S21" t="n">
        <v>226</v>
      </c>
      <c r="T21" t="inlineStr">
        <is>
          <t>The Cavern - Kamino</t>
        </is>
      </c>
    </row>
    <row r="22">
      <c r="A22" t="n">
        <v>211097</v>
      </c>
      <c r="B22" t="n">
        <v>176</v>
      </c>
      <c r="C22" t="inlineStr">
        <is>
          <t>The Cavern</t>
        </is>
      </c>
      <c r="D22" t="inlineStr">
        <is>
          <t>EMPORIO M&amp;L COMERCIO DE ALIM E BEBIDAS LTDA</t>
        </is>
      </c>
      <c r="E22" t="n">
        <v>630.9</v>
      </c>
      <c r="F22" s="27" t="n">
        <v>46094</v>
      </c>
      <c r="G22" s="27" t="n">
        <v>46094</v>
      </c>
      <c r="H22" s="27" t="n">
        <v>46094</v>
      </c>
      <c r="I22" s="27" t="n">
        <v>46064</v>
      </c>
      <c r="J22" s="27" t="n">
        <v>46078</v>
      </c>
      <c r="K22" t="inlineStr">
        <is>
          <t>Boleto Bancário</t>
        </is>
      </c>
      <c r="L22" t="inlineStr">
        <is>
          <t>Custo Mercadoria Vendida</t>
        </is>
      </c>
      <c r="M22" t="inlineStr">
        <is>
          <t>Insumos - Alimentos</t>
        </is>
      </c>
      <c r="N22" t="inlineStr">
        <is>
          <t>496168</t>
        </is>
      </c>
      <c r="O22" t="inlineStr">
        <is>
          <t>Documentação Aprovada</t>
        </is>
      </c>
      <c r="P22" t="inlineStr">
        <is>
          <t>Aprovado Diretoria</t>
        </is>
      </c>
      <c r="Q22" t="inlineStr">
        <is>
          <t>Aprovado Caixa</t>
        </is>
      </c>
      <c r="R22" t="inlineStr">
        <is>
          <t>Pago</t>
        </is>
      </c>
      <c r="S22" t="n">
        <v>226</v>
      </c>
      <c r="T22" t="inlineStr">
        <is>
          <t>The Cavern - Kamino</t>
        </is>
      </c>
    </row>
    <row r="23">
      <c r="A23" t="n">
        <v>213197</v>
      </c>
      <c r="B23" t="n">
        <v>176</v>
      </c>
      <c r="C23" t="inlineStr">
        <is>
          <t>The Cavern</t>
        </is>
      </c>
      <c r="D23" t="inlineStr">
        <is>
          <t>SPAL INDUSTRIA BRASILEIRA DE BEBIDAS S A</t>
        </is>
      </c>
      <c r="E23" t="n">
        <v>3508.9</v>
      </c>
      <c r="F23" s="27" t="n">
        <v>46094</v>
      </c>
      <c r="G23" s="27" t="n">
        <v>46094</v>
      </c>
      <c r="H23" s="27" t="n">
        <v>46094</v>
      </c>
      <c r="I23" s="27" t="n">
        <v>46083</v>
      </c>
      <c r="J23" s="27" t="n">
        <v>46084</v>
      </c>
      <c r="K23" t="inlineStr">
        <is>
          <t>Boleto Bancário</t>
        </is>
      </c>
      <c r="L23" t="inlineStr">
        <is>
          <t>Custo Mercadoria Vendida</t>
        </is>
      </c>
      <c r="M23" t="inlineStr">
        <is>
          <t>Insumos - Bebidas</t>
        </is>
      </c>
      <c r="N23" t="inlineStr">
        <is>
          <t>16468661</t>
        </is>
      </c>
      <c r="O23" t="inlineStr">
        <is>
          <t>Documentação Aprovada</t>
        </is>
      </c>
      <c r="P23" t="inlineStr">
        <is>
          <t>Aprovado Diretoria</t>
        </is>
      </c>
      <c r="Q23" t="inlineStr">
        <is>
          <t>Aprovado Caixa</t>
        </is>
      </c>
      <c r="R23" t="inlineStr">
        <is>
          <t>Pago</t>
        </is>
      </c>
      <c r="S23" t="n">
        <v>226</v>
      </c>
      <c r="T23" t="inlineStr">
        <is>
          <t>The Cavern - Kamino</t>
        </is>
      </c>
    </row>
    <row r="24">
      <c r="A24" t="n">
        <v>212809</v>
      </c>
      <c r="B24" t="n">
        <v>176</v>
      </c>
      <c r="C24" t="inlineStr">
        <is>
          <t>The Cavern</t>
        </is>
      </c>
      <c r="D24" t="inlineStr">
        <is>
          <t>CASA DE CARNES P.J.J.LTDA</t>
        </is>
      </c>
      <c r="E24" t="n">
        <v>129.1</v>
      </c>
      <c r="F24" s="27" t="n">
        <v>46094</v>
      </c>
      <c r="G24" s="27" t="n">
        <v>46094</v>
      </c>
      <c r="H24" s="27" t="n">
        <v>46094</v>
      </c>
      <c r="I24" s="27" t="n">
        <v>46079</v>
      </c>
      <c r="J24" s="27" t="n">
        <v>46083</v>
      </c>
      <c r="K24" t="inlineStr">
        <is>
          <t>Boleto Bancário</t>
        </is>
      </c>
      <c r="L24" t="inlineStr">
        <is>
          <t>Custo Mercadoria Vendida</t>
        </is>
      </c>
      <c r="M24" t="inlineStr">
        <is>
          <t>Insumos - Alimentos</t>
        </is>
      </c>
      <c r="N24" t="inlineStr">
        <is>
          <t>45640</t>
        </is>
      </c>
      <c r="O24" t="inlineStr">
        <is>
          <t>Documentação Aprovada</t>
        </is>
      </c>
      <c r="P24" t="inlineStr">
        <is>
          <t>Aprovado Diretoria</t>
        </is>
      </c>
      <c r="Q24" t="inlineStr">
        <is>
          <t>Aprovado Caixa</t>
        </is>
      </c>
      <c r="R24" t="inlineStr">
        <is>
          <t>Pago</t>
        </is>
      </c>
      <c r="S24" t="n">
        <v>226</v>
      </c>
      <c r="T24" t="inlineStr">
        <is>
          <t>The Cavern - Kamino</t>
        </is>
      </c>
    </row>
    <row r="25">
      <c r="A25" t="n">
        <v>205513</v>
      </c>
      <c r="B25" t="n">
        <v>176</v>
      </c>
      <c r="C25" t="inlineStr">
        <is>
          <t>The Cavern</t>
        </is>
      </c>
      <c r="D25" t="inlineStr">
        <is>
          <t>BRH SAUDE OCUPACIONAL LTDA</t>
        </is>
      </c>
      <c r="E25" t="n">
        <v>659.55</v>
      </c>
      <c r="F25" s="27" t="n">
        <v>46094</v>
      </c>
      <c r="G25" s="27" t="n">
        <v>46094</v>
      </c>
      <c r="H25" s="27" t="n">
        <v>46094</v>
      </c>
      <c r="I25" s="27" t="n">
        <v>46081</v>
      </c>
      <c r="J25" s="27" t="n">
        <v>46059</v>
      </c>
      <c r="K25" t="inlineStr">
        <is>
          <t>Boleto Bancário</t>
        </is>
      </c>
      <c r="L25" t="inlineStr">
        <is>
          <t>Mão de Obra - Benefícios</t>
        </is>
      </c>
      <c r="M25" t="inlineStr">
        <is>
          <t xml:space="preserve">  -  Exames Periódicos</t>
        </is>
      </c>
      <c r="N25" t="inlineStr">
        <is>
          <t>2095</t>
        </is>
      </c>
      <c r="O25" t="inlineStr">
        <is>
          <t>Documentação Aprovada</t>
        </is>
      </c>
      <c r="P25" t="inlineStr">
        <is>
          <t>Aprovado Diretoria</t>
        </is>
      </c>
      <c r="Q25" t="inlineStr">
        <is>
          <t>Aprovado Caixa</t>
        </is>
      </c>
      <c r="R25" t="inlineStr">
        <is>
          <t>Pago</t>
        </is>
      </c>
      <c r="S25" t="n">
        <v>226</v>
      </c>
      <c r="T25" t="inlineStr">
        <is>
          <t>The Cavern - Kamino</t>
        </is>
      </c>
    </row>
    <row r="26">
      <c r="A26" t="n">
        <v>212794</v>
      </c>
      <c r="B26" t="n">
        <v>176</v>
      </c>
      <c r="C26" t="inlineStr">
        <is>
          <t>The Cavern</t>
        </is>
      </c>
      <c r="D26" t="inlineStr">
        <is>
          <t>ARTE GELATI SORVETES LTDA</t>
        </is>
      </c>
      <c r="E26" t="n">
        <v>199.71</v>
      </c>
      <c r="F26" s="27" t="n">
        <v>46093</v>
      </c>
      <c r="G26" s="27" t="n">
        <v>46093</v>
      </c>
      <c r="H26" s="27" t="n">
        <v>46093</v>
      </c>
      <c r="I26" s="27" t="n">
        <v>46079</v>
      </c>
      <c r="J26" s="27" t="n">
        <v>46083</v>
      </c>
      <c r="K26" t="inlineStr">
        <is>
          <t>Boleto Bancário</t>
        </is>
      </c>
      <c r="L26" t="inlineStr">
        <is>
          <t>Custo Mercadoria Vendida</t>
        </is>
      </c>
      <c r="M26" t="inlineStr">
        <is>
          <t>Insumos - Alimentos</t>
        </is>
      </c>
      <c r="N26" t="inlineStr">
        <is>
          <t>40411</t>
        </is>
      </c>
      <c r="O26" t="inlineStr">
        <is>
          <t>Documentação Aprovada</t>
        </is>
      </c>
      <c r="P26" t="inlineStr">
        <is>
          <t>Aprovado Diretoria</t>
        </is>
      </c>
      <c r="Q26" t="inlineStr">
        <is>
          <t>Aprovado Caixa</t>
        </is>
      </c>
      <c r="R26" t="inlineStr">
        <is>
          <t>Pago</t>
        </is>
      </c>
      <c r="S26" t="n">
        <v>226</v>
      </c>
      <c r="T26" t="inlineStr">
        <is>
          <t>The Cavern - Kamino</t>
        </is>
      </c>
    </row>
    <row r="27">
      <c r="A27" t="n">
        <v>213446</v>
      </c>
      <c r="B27" t="n">
        <v>176</v>
      </c>
      <c r="C27" t="inlineStr">
        <is>
          <t>The Cavern</t>
        </is>
      </c>
      <c r="D27" t="inlineStr">
        <is>
          <t>ESTAFF SOLUCOES TECNOLOGICAS DE AGENCIAMENTO LTDA</t>
        </is>
      </c>
      <c r="E27" t="n">
        <v>3830.2</v>
      </c>
      <c r="F27" s="27" t="n">
        <v>46093</v>
      </c>
      <c r="G27" s="27" t="n">
        <v>46093</v>
      </c>
      <c r="H27" s="27" t="n">
        <v>46093</v>
      </c>
      <c r="I27" s="27" t="n">
        <v>46055</v>
      </c>
      <c r="J27" s="27" t="n">
        <v>46085</v>
      </c>
      <c r="K27" t="inlineStr">
        <is>
          <t>Boleto Bancário</t>
        </is>
      </c>
      <c r="L27" t="inlineStr">
        <is>
          <t>Mão de Obra - Extra</t>
        </is>
      </c>
      <c r="M27" t="inlineStr">
        <is>
          <t>Mão de Obra Extra</t>
        </is>
      </c>
      <c r="N27" t="inlineStr">
        <is>
          <t>4619112032026</t>
        </is>
      </c>
      <c r="O27" t="inlineStr">
        <is>
          <t>Documentação Aprovada</t>
        </is>
      </c>
      <c r="P27" t="inlineStr">
        <is>
          <t>Aprovado Diretoria</t>
        </is>
      </c>
      <c r="Q27" t="inlineStr">
        <is>
          <t>Aprovado Caixa</t>
        </is>
      </c>
      <c r="R27" t="inlineStr">
        <is>
          <t>Pago</t>
        </is>
      </c>
      <c r="S27" t="n">
        <v>226</v>
      </c>
      <c r="T27" t="inlineStr">
        <is>
          <t>The Cavern - Kamino</t>
        </is>
      </c>
    </row>
    <row r="28">
      <c r="A28" t="n">
        <v>212789</v>
      </c>
      <c r="B28" t="n">
        <v>176</v>
      </c>
      <c r="C28" t="inlineStr">
        <is>
          <t>The Cavern</t>
        </is>
      </c>
      <c r="D28" t="inlineStr">
        <is>
          <t>CASA DE CARNES P.J.J.LTDA</t>
        </is>
      </c>
      <c r="E28" t="n">
        <v>114.58</v>
      </c>
      <c r="F28" s="27" t="n">
        <v>46093</v>
      </c>
      <c r="G28" s="27" t="n">
        <v>46093</v>
      </c>
      <c r="H28" s="27" t="n">
        <v>46093</v>
      </c>
      <c r="I28" s="27" t="n">
        <v>46078</v>
      </c>
      <c r="J28" s="27" t="n">
        <v>46083</v>
      </c>
      <c r="K28" t="inlineStr">
        <is>
          <t>Boleto Bancário</t>
        </is>
      </c>
      <c r="L28" t="inlineStr">
        <is>
          <t>Custo Mercadoria Vendida</t>
        </is>
      </c>
      <c r="M28" t="inlineStr">
        <is>
          <t>Insumos - Alimentos</t>
        </is>
      </c>
      <c r="N28" t="inlineStr">
        <is>
          <t>45618</t>
        </is>
      </c>
      <c r="O28" t="inlineStr">
        <is>
          <t>Documentação Aprovada</t>
        </is>
      </c>
      <c r="P28" t="inlineStr">
        <is>
          <t>Aprovado Diretoria</t>
        </is>
      </c>
      <c r="Q28" t="inlineStr">
        <is>
          <t>Aprovado Caixa</t>
        </is>
      </c>
      <c r="R28" t="inlineStr">
        <is>
          <t>Pago</t>
        </is>
      </c>
      <c r="S28" t="n">
        <v>226</v>
      </c>
      <c r="T28" t="inlineStr">
        <is>
          <t>The Cavern - Kamino</t>
        </is>
      </c>
    </row>
    <row r="29">
      <c r="A29" t="n">
        <v>212909</v>
      </c>
      <c r="B29" t="n">
        <v>176</v>
      </c>
      <c r="C29" t="inlineStr">
        <is>
          <t>The Cavern</t>
        </is>
      </c>
      <c r="D29" t="inlineStr">
        <is>
          <t>PSSS LTDA</t>
        </is>
      </c>
      <c r="E29" t="n">
        <v>1327.84</v>
      </c>
      <c r="F29" s="27" t="n">
        <v>46093</v>
      </c>
      <c r="G29" s="27" t="n">
        <v>46093</v>
      </c>
      <c r="H29" s="27" t="n">
        <v>46093</v>
      </c>
      <c r="I29" s="27" t="n">
        <v>46080</v>
      </c>
      <c r="J29" s="27" t="n">
        <v>46083</v>
      </c>
      <c r="K29" t="inlineStr">
        <is>
          <t>Boleto Bancário</t>
        </is>
      </c>
      <c r="L29" t="inlineStr">
        <is>
          <t>Utilidades</t>
        </is>
      </c>
      <c r="M29" t="inlineStr">
        <is>
          <t>Higiene e Limpeza</t>
        </is>
      </c>
      <c r="N29" t="inlineStr">
        <is>
          <t>3237</t>
        </is>
      </c>
      <c r="O29" t="inlineStr">
        <is>
          <t>Documentação Aprovada</t>
        </is>
      </c>
      <c r="P29" t="inlineStr">
        <is>
          <t>Aprovado Diretoria</t>
        </is>
      </c>
      <c r="Q29" t="inlineStr">
        <is>
          <t>Aprovado Caixa</t>
        </is>
      </c>
      <c r="R29" t="inlineStr">
        <is>
          <t>Pago</t>
        </is>
      </c>
      <c r="S29" t="n">
        <v>226</v>
      </c>
      <c r="T29" t="inlineStr">
        <is>
          <t>The Cavern - Kamino</t>
        </is>
      </c>
    </row>
    <row r="30">
      <c r="A30" t="n">
        <v>208615</v>
      </c>
      <c r="B30" t="n">
        <v>176</v>
      </c>
      <c r="C30" t="inlineStr">
        <is>
          <t>The Cavern</t>
        </is>
      </c>
      <c r="D30" t="inlineStr">
        <is>
          <t>WPP COMERCIO DE CARNES LTDA</t>
        </is>
      </c>
      <c r="E30" t="n">
        <v>420</v>
      </c>
      <c r="F30" s="27" t="n">
        <v>46093</v>
      </c>
      <c r="G30" s="27" t="n">
        <v>46093</v>
      </c>
      <c r="H30" s="27" t="n">
        <v>46093</v>
      </c>
      <c r="I30" s="27" t="n">
        <v>46065</v>
      </c>
      <c r="J30" s="27" t="n">
        <v>46071</v>
      </c>
      <c r="K30" t="inlineStr">
        <is>
          <t>Boleto Bancário</t>
        </is>
      </c>
      <c r="L30" t="inlineStr">
        <is>
          <t>Custo Mercadoria Vendida</t>
        </is>
      </c>
      <c r="M30" t="inlineStr">
        <is>
          <t>Insumos - Alimentos</t>
        </is>
      </c>
      <c r="N30" t="inlineStr">
        <is>
          <t>77313</t>
        </is>
      </c>
      <c r="O30" t="inlineStr">
        <is>
          <t>Documentação Aprovada</t>
        </is>
      </c>
      <c r="P30" t="inlineStr">
        <is>
          <t>Aprovado Diretoria</t>
        </is>
      </c>
      <c r="Q30" t="inlineStr">
        <is>
          <t>Aprovado Caixa</t>
        </is>
      </c>
      <c r="R30" t="inlineStr">
        <is>
          <t>Pago</t>
        </is>
      </c>
      <c r="S30" t="n">
        <v>226</v>
      </c>
      <c r="T30" t="inlineStr">
        <is>
          <t>The Cavern - Kamino</t>
        </is>
      </c>
    </row>
    <row r="31">
      <c r="A31" t="n">
        <v>207174</v>
      </c>
      <c r="B31" t="n">
        <v>176</v>
      </c>
      <c r="C31" t="inlineStr">
        <is>
          <t>The Cavern</t>
        </is>
      </c>
      <c r="D31" t="inlineStr">
        <is>
          <t>DTK COMERCIO DE ALIMENTOS LTDA</t>
        </is>
      </c>
      <c r="E31" t="n">
        <v>1080.61</v>
      </c>
      <c r="F31" s="27" t="n">
        <v>46093</v>
      </c>
      <c r="G31" s="27" t="n">
        <v>46093</v>
      </c>
      <c r="H31" s="27" t="n">
        <v>46093</v>
      </c>
      <c r="I31" s="27" t="n">
        <v>46065</v>
      </c>
      <c r="J31" s="27" t="n">
        <v>46066</v>
      </c>
      <c r="K31" t="inlineStr">
        <is>
          <t>Boleto Bancário</t>
        </is>
      </c>
      <c r="L31" t="inlineStr">
        <is>
          <t>Custo Mercadoria Vendida</t>
        </is>
      </c>
      <c r="M31" t="inlineStr">
        <is>
          <t>Insumos - Alimentos</t>
        </is>
      </c>
      <c r="N31" t="inlineStr">
        <is>
          <t>65028</t>
        </is>
      </c>
      <c r="O31" t="inlineStr">
        <is>
          <t>Documentação Aprovada</t>
        </is>
      </c>
      <c r="P31" t="inlineStr">
        <is>
          <t>Aprovado Diretoria</t>
        </is>
      </c>
      <c r="Q31" t="inlineStr">
        <is>
          <t>Aprovado Caixa</t>
        </is>
      </c>
      <c r="R31" t="inlineStr">
        <is>
          <t>Pago</t>
        </is>
      </c>
      <c r="S31" t="n">
        <v>226</v>
      </c>
      <c r="T31" t="inlineStr">
        <is>
          <t>The Cavern - Kamino</t>
        </is>
      </c>
    </row>
    <row r="32">
      <c r="A32" t="n">
        <v>207181</v>
      </c>
      <c r="B32" t="n">
        <v>176</v>
      </c>
      <c r="C32" t="inlineStr">
        <is>
          <t>The Cavern</t>
        </is>
      </c>
      <c r="D32" t="inlineStr">
        <is>
          <t>B.B DISTRIBUIDORA DE CARNES LTDA</t>
        </is>
      </c>
      <c r="E32" t="n">
        <v>1668.31</v>
      </c>
      <c r="F32" s="27" t="n">
        <v>46093</v>
      </c>
      <c r="G32" s="27" t="n">
        <v>46093</v>
      </c>
      <c r="H32" s="27" t="n">
        <v>46093</v>
      </c>
      <c r="I32" s="27" t="n">
        <v>46065</v>
      </c>
      <c r="J32" s="27" t="n">
        <v>46066</v>
      </c>
      <c r="K32" t="inlineStr">
        <is>
          <t>Boleto Bancário</t>
        </is>
      </c>
      <c r="L32" t="inlineStr">
        <is>
          <t>Custo Mercadoria Vendida</t>
        </is>
      </c>
      <c r="M32" t="inlineStr">
        <is>
          <t>Insumos - Alimentos</t>
        </is>
      </c>
      <c r="N32" t="inlineStr">
        <is>
          <t>414256</t>
        </is>
      </c>
      <c r="O32" t="inlineStr">
        <is>
          <t>Documentação Aprovada</t>
        </is>
      </c>
      <c r="P32" t="inlineStr">
        <is>
          <t>Aprovado Diretoria</t>
        </is>
      </c>
      <c r="Q32" t="inlineStr">
        <is>
          <t>Aprovado Caixa</t>
        </is>
      </c>
      <c r="R32" t="inlineStr">
        <is>
          <t>Pago</t>
        </is>
      </c>
      <c r="S32" t="n">
        <v>226</v>
      </c>
      <c r="T32" t="inlineStr">
        <is>
          <t>The Cavern - Kamino</t>
        </is>
      </c>
    </row>
    <row r="33">
      <c r="A33" t="n">
        <v>207168</v>
      </c>
      <c r="B33" t="n">
        <v>176</v>
      </c>
      <c r="C33" t="inlineStr">
        <is>
          <t>The Cavern</t>
        </is>
      </c>
      <c r="D33" t="inlineStr">
        <is>
          <t>CECILIA TSUYACO ARAKI SILVA LTDA</t>
        </is>
      </c>
      <c r="E33" t="n">
        <v>128</v>
      </c>
      <c r="F33" s="27" t="n">
        <v>46092</v>
      </c>
      <c r="G33" s="27" t="n">
        <v>46092</v>
      </c>
      <c r="H33" s="27" t="n">
        <v>46092</v>
      </c>
      <c r="I33" s="27" t="n">
        <v>46064</v>
      </c>
      <c r="J33" s="27" t="n">
        <v>46066</v>
      </c>
      <c r="K33" t="inlineStr">
        <is>
          <t>Boleto Bancário</t>
        </is>
      </c>
      <c r="L33" t="inlineStr">
        <is>
          <t>Custo Mercadoria Vendida</t>
        </is>
      </c>
      <c r="M33" t="inlineStr">
        <is>
          <t>Insumos - Alimentos</t>
        </is>
      </c>
      <c r="N33" t="inlineStr">
        <is>
          <t>386725</t>
        </is>
      </c>
      <c r="O33" t="inlineStr">
        <is>
          <t>Documentação Aprovada</t>
        </is>
      </c>
      <c r="P33" t="inlineStr">
        <is>
          <t>Aprovado Diretoria</t>
        </is>
      </c>
      <c r="Q33" t="inlineStr">
        <is>
          <t>Aprovado Caixa</t>
        </is>
      </c>
      <c r="R33" t="inlineStr">
        <is>
          <t>Pago</t>
        </is>
      </c>
      <c r="S33" t="n">
        <v>226</v>
      </c>
      <c r="T33" t="inlineStr">
        <is>
          <t>The Cavern - Kamino</t>
        </is>
      </c>
    </row>
    <row r="34">
      <c r="A34" t="n">
        <v>209345</v>
      </c>
      <c r="B34" t="n">
        <v>176</v>
      </c>
      <c r="C34" t="inlineStr">
        <is>
          <t>The Cavern</t>
        </is>
      </c>
      <c r="D34" t="inlineStr">
        <is>
          <t>PROAUTO INDUSTRIA QUIMICA EIRELI</t>
        </is>
      </c>
      <c r="E34" t="n">
        <v>608.64</v>
      </c>
      <c r="F34" s="27" t="n">
        <v>46092</v>
      </c>
      <c r="G34" s="27" t="n">
        <v>46092</v>
      </c>
      <c r="H34" s="27" t="n">
        <v>46092</v>
      </c>
      <c r="I34" s="27" t="n">
        <v>46071</v>
      </c>
      <c r="J34" s="27" t="n">
        <v>46072</v>
      </c>
      <c r="K34" t="inlineStr">
        <is>
          <t>Boleto Bancário</t>
        </is>
      </c>
      <c r="L34" t="inlineStr">
        <is>
          <t>Utilidades</t>
        </is>
      </c>
      <c r="M34" t="inlineStr">
        <is>
          <t>Higiene e Limpeza</t>
        </is>
      </c>
      <c r="N34" t="inlineStr">
        <is>
          <t>151866</t>
        </is>
      </c>
      <c r="O34" t="inlineStr">
        <is>
          <t>Documentação Aprovada</t>
        </is>
      </c>
      <c r="P34" t="inlineStr">
        <is>
          <t>Aprovado Diretoria</t>
        </is>
      </c>
      <c r="Q34" t="inlineStr">
        <is>
          <t>Aprovado Caixa</t>
        </is>
      </c>
      <c r="R34" t="inlineStr">
        <is>
          <t>Pago</t>
        </is>
      </c>
      <c r="S34" t="n">
        <v>226</v>
      </c>
      <c r="T34" t="inlineStr">
        <is>
          <t>The Cavern - Kamino</t>
        </is>
      </c>
    </row>
    <row r="35">
      <c r="A35" t="n">
        <v>212684</v>
      </c>
      <c r="B35" t="n">
        <v>176</v>
      </c>
      <c r="C35" t="inlineStr">
        <is>
          <t>The Cavern</t>
        </is>
      </c>
      <c r="D35" t="inlineStr">
        <is>
          <t>VALE TRANSPORTE</t>
        </is>
      </c>
      <c r="E35" t="n">
        <v>553.72</v>
      </c>
      <c r="F35" s="27" t="n">
        <v>46091</v>
      </c>
      <c r="G35" s="27" t="n">
        <v>46092</v>
      </c>
      <c r="H35" s="27" t="n">
        <v>46092</v>
      </c>
      <c r="I35" s="27" t="n">
        <v>46082</v>
      </c>
      <c r="J35" s="27" t="n">
        <v>46080</v>
      </c>
      <c r="K35" t="inlineStr">
        <is>
          <t>Transferência Bancária ou Pix</t>
        </is>
      </c>
      <c r="L35" t="inlineStr">
        <is>
          <t>Mão de Obra - Benefícios</t>
        </is>
      </c>
      <c r="M35" t="inlineStr">
        <is>
          <t xml:space="preserve">  -  Vale-transporte</t>
        </is>
      </c>
      <c r="N35" t="inlineStr">
        <is>
          <t>55372 032026</t>
        </is>
      </c>
      <c r="O35" t="inlineStr">
        <is>
          <t>Documentação Aprovada</t>
        </is>
      </c>
      <c r="P35" t="inlineStr">
        <is>
          <t>Aprovado Diretoria</t>
        </is>
      </c>
      <c r="Q35" t="inlineStr">
        <is>
          <t>Aprovado Caixa</t>
        </is>
      </c>
      <c r="R35" t="inlineStr">
        <is>
          <t>Pago</t>
        </is>
      </c>
      <c r="S35" t="n">
        <v>226</v>
      </c>
      <c r="T35" t="inlineStr">
        <is>
          <t>The Cavern - Kamino</t>
        </is>
      </c>
    </row>
    <row r="36">
      <c r="A36" t="n">
        <v>212514</v>
      </c>
      <c r="B36" t="n">
        <v>176</v>
      </c>
      <c r="C36" t="inlineStr">
        <is>
          <t>The Cavern</t>
        </is>
      </c>
      <c r="D36" t="inlineStr">
        <is>
          <t>LA CHICA LTDA</t>
        </is>
      </c>
      <c r="E36" t="n">
        <v>659.52</v>
      </c>
      <c r="F36" s="27" t="n">
        <v>46092</v>
      </c>
      <c r="G36" s="27" t="n">
        <v>46092</v>
      </c>
      <c r="H36" s="27" t="n">
        <v>46092</v>
      </c>
      <c r="I36" s="27" t="n">
        <v>46078</v>
      </c>
      <c r="J36" s="27" t="n">
        <v>46080</v>
      </c>
      <c r="K36" t="inlineStr">
        <is>
          <t>Boleto Bancário</t>
        </is>
      </c>
      <c r="L36" t="inlineStr">
        <is>
          <t>Custo Mercadoria Vendida</t>
        </is>
      </c>
      <c r="M36" t="inlineStr">
        <is>
          <t>Insumos - Alimentos</t>
        </is>
      </c>
      <c r="N36" t="inlineStr">
        <is>
          <t>1602</t>
        </is>
      </c>
      <c r="O36" t="inlineStr">
        <is>
          <t>Documentação Aprovada</t>
        </is>
      </c>
      <c r="P36" t="inlineStr">
        <is>
          <t>Aprovado Diretoria</t>
        </is>
      </c>
      <c r="Q36" t="inlineStr">
        <is>
          <t>Aprovado Caixa</t>
        </is>
      </c>
      <c r="R36" t="inlineStr">
        <is>
          <t>Pago</t>
        </is>
      </c>
      <c r="S36" t="n">
        <v>226</v>
      </c>
      <c r="T36" t="inlineStr">
        <is>
          <t>The Cavern - Kamino</t>
        </is>
      </c>
    </row>
    <row r="37">
      <c r="A37" t="n">
        <v>211791</v>
      </c>
      <c r="B37" t="n">
        <v>176</v>
      </c>
      <c r="C37" t="inlineStr">
        <is>
          <t>The Cavern</t>
        </is>
      </c>
      <c r="D37" t="inlineStr">
        <is>
          <t>VALE TRANSPORTE</t>
        </is>
      </c>
      <c r="E37" t="n">
        <v>553.72</v>
      </c>
      <c r="F37" s="27" t="n">
        <v>46092</v>
      </c>
      <c r="G37" s="27" t="n">
        <v>46092</v>
      </c>
      <c r="H37" s="27" t="n">
        <v>46092</v>
      </c>
      <c r="I37" s="27" t="n">
        <v>46082</v>
      </c>
      <c r="J37" s="27" t="n">
        <v>46079</v>
      </c>
      <c r="K37" t="inlineStr">
        <is>
          <t>Transferência Bancária ou Pix</t>
        </is>
      </c>
      <c r="L37" t="inlineStr">
        <is>
          <t>Mão de Obra - Benefícios</t>
        </is>
      </c>
      <c r="M37" t="inlineStr">
        <is>
          <t xml:space="preserve">  -  Vale-transporte</t>
        </is>
      </c>
      <c r="N37" t="inlineStr">
        <is>
          <t>55372 032026</t>
        </is>
      </c>
      <c r="O37" t="inlineStr">
        <is>
          <t>Documentação Aprovada</t>
        </is>
      </c>
      <c r="P37" t="inlineStr">
        <is>
          <t>Aprovado Diretoria</t>
        </is>
      </c>
      <c r="Q37" t="inlineStr">
        <is>
          <t>Aprovado Caixa</t>
        </is>
      </c>
      <c r="R37" t="inlineStr">
        <is>
          <t>Pago</t>
        </is>
      </c>
      <c r="S37" t="n">
        <v>226</v>
      </c>
      <c r="T37" t="inlineStr">
        <is>
          <t>The Cavern - Kamino</t>
        </is>
      </c>
    </row>
    <row r="38">
      <c r="A38" t="n">
        <v>211715</v>
      </c>
      <c r="B38" t="n">
        <v>176</v>
      </c>
      <c r="C38" t="inlineStr">
        <is>
          <t>The Cavern</t>
        </is>
      </c>
      <c r="D38" t="inlineStr">
        <is>
          <t>ALINE CRISTINA DA SILVA</t>
        </is>
      </c>
      <c r="E38" t="n">
        <v>169.6</v>
      </c>
      <c r="F38" s="27" t="n">
        <v>46092</v>
      </c>
      <c r="G38" s="27" t="n">
        <v>46092</v>
      </c>
      <c r="H38" s="27" t="n">
        <v>46092</v>
      </c>
      <c r="I38" s="27" t="n">
        <v>46054</v>
      </c>
      <c r="J38" s="27" t="n">
        <v>46079</v>
      </c>
      <c r="K38" t="inlineStr">
        <is>
          <t>Transferência Bancária ou Pix</t>
        </is>
      </c>
      <c r="L38" t="inlineStr">
        <is>
          <t>Mão de Obra - Benefícios</t>
        </is>
      </c>
      <c r="M38" t="inlineStr">
        <is>
          <t xml:space="preserve">  -  Vale-transporte</t>
        </is>
      </c>
      <c r="N38" t="inlineStr">
        <is>
          <t>REC 16960 032026</t>
        </is>
      </c>
      <c r="O38" t="inlineStr">
        <is>
          <t>Documentação Aprovada</t>
        </is>
      </c>
      <c r="P38" t="inlineStr">
        <is>
          <t>Aprovado Diretoria</t>
        </is>
      </c>
      <c r="Q38" t="inlineStr">
        <is>
          <t>Aprovado Caixa</t>
        </is>
      </c>
      <c r="R38" t="inlineStr">
        <is>
          <t>Pago</t>
        </is>
      </c>
      <c r="S38" t="n">
        <v>226</v>
      </c>
      <c r="T38" t="inlineStr">
        <is>
          <t>The Cavern - Kamino</t>
        </is>
      </c>
    </row>
    <row r="39">
      <c r="A39" t="n">
        <v>217173</v>
      </c>
      <c r="B39" t="n">
        <v>176</v>
      </c>
      <c r="C39" t="inlineStr">
        <is>
          <t>The Cavern</t>
        </is>
      </c>
      <c r="D39" t="inlineStr">
        <is>
          <t xml:space="preserve">WEW IMPORTACAO E EXPORTACAO LTDA </t>
        </is>
      </c>
      <c r="E39" t="n">
        <v>990</v>
      </c>
      <c r="F39" s="27" t="n">
        <v>46097</v>
      </c>
      <c r="G39" s="27" t="n">
        <v>46097</v>
      </c>
      <c r="H39" s="27" t="n">
        <v>46092</v>
      </c>
      <c r="I39" s="27" t="n">
        <v>46093</v>
      </c>
      <c r="J39" s="27" t="n">
        <v>46097</v>
      </c>
      <c r="K39" t="inlineStr">
        <is>
          <t>Transferência Bancária ou Pix</t>
        </is>
      </c>
      <c r="L39" t="inlineStr">
        <is>
          <t>Custo Mercadoria Vendida</t>
        </is>
      </c>
      <c r="M39" t="inlineStr">
        <is>
          <t>Insumos - Alimentos</t>
        </is>
      </c>
      <c r="N39" t="inlineStr">
        <is>
          <t>499425</t>
        </is>
      </c>
      <c r="O39" t="inlineStr">
        <is>
          <t>Análise Pendente</t>
        </is>
      </c>
      <c r="P39" t="inlineStr">
        <is>
          <t>Análise Pendente</t>
        </is>
      </c>
      <c r="Q39" t="inlineStr">
        <is>
          <t>Análise Pendente</t>
        </is>
      </c>
      <c r="R39" t="inlineStr">
        <is>
          <t>Pago</t>
        </is>
      </c>
      <c r="S39" t="n">
        <v>226</v>
      </c>
      <c r="T39" t="inlineStr">
        <is>
          <t>The Cavern - Kamino</t>
        </is>
      </c>
    </row>
    <row r="40">
      <c r="A40" t="n">
        <v>213968</v>
      </c>
      <c r="B40" t="n">
        <v>176</v>
      </c>
      <c r="C40" t="inlineStr">
        <is>
          <t>The Cavern</t>
        </is>
      </c>
      <c r="D40" t="inlineStr">
        <is>
          <t>MAR DIRETO POC COMERCIO DE PEIXES LTDA</t>
        </is>
      </c>
      <c r="E40" t="n">
        <v>390</v>
      </c>
      <c r="F40" s="27" t="n">
        <v>46092</v>
      </c>
      <c r="G40" s="27" t="n">
        <v>46092</v>
      </c>
      <c r="H40" s="27" t="n">
        <v>46092</v>
      </c>
      <c r="I40" s="27" t="n">
        <v>46085</v>
      </c>
      <c r="J40" s="27" t="n">
        <v>46085</v>
      </c>
      <c r="K40" t="inlineStr">
        <is>
          <t>Boleto Bancário</t>
        </is>
      </c>
      <c r="L40" t="inlineStr">
        <is>
          <t>Custo Mercadoria Vendida</t>
        </is>
      </c>
      <c r="M40" t="inlineStr">
        <is>
          <t>Insumos - Alimentos</t>
        </is>
      </c>
      <c r="N40" t="inlineStr">
        <is>
          <t>118340</t>
        </is>
      </c>
      <c r="O40" t="inlineStr">
        <is>
          <t>Documentação Aprovada</t>
        </is>
      </c>
      <c r="P40" t="inlineStr">
        <is>
          <t>Aprovado Diretoria</t>
        </is>
      </c>
      <c r="Q40" t="inlineStr">
        <is>
          <t>Aprovado Caixa</t>
        </is>
      </c>
      <c r="R40" t="inlineStr">
        <is>
          <t>Pago</t>
        </is>
      </c>
      <c r="S40" t="n">
        <v>226</v>
      </c>
      <c r="T40" t="inlineStr">
        <is>
          <t>The Cavern - Kamino</t>
        </is>
      </c>
    </row>
    <row r="41">
      <c r="A41" t="n">
        <v>214079</v>
      </c>
      <c r="B41" t="n">
        <v>176</v>
      </c>
      <c r="C41" t="inlineStr">
        <is>
          <t>The Cavern</t>
        </is>
      </c>
      <c r="D41" t="inlineStr">
        <is>
          <t>AUGUSTO DANTAS FELIX DA SILVA</t>
        </is>
      </c>
      <c r="E41" t="n">
        <v>248.4</v>
      </c>
      <c r="F41" s="27" t="n">
        <v>46092</v>
      </c>
      <c r="G41" s="27" t="n">
        <v>46092</v>
      </c>
      <c r="H41" s="27" t="n">
        <v>46092</v>
      </c>
      <c r="I41" s="27" t="n">
        <v>46082</v>
      </c>
      <c r="J41" s="27" t="n">
        <v>46086</v>
      </c>
      <c r="K41" t="inlineStr">
        <is>
          <t>Transferência Bancária ou Pix</t>
        </is>
      </c>
      <c r="L41" t="inlineStr">
        <is>
          <t>Mão de Obra - Benefícios</t>
        </is>
      </c>
      <c r="M41" t="inlineStr">
        <is>
          <t xml:space="preserve">  -  Vale-transporte</t>
        </is>
      </c>
      <c r="N41" t="inlineStr">
        <is>
          <t>REC 24840 032026</t>
        </is>
      </c>
      <c r="O41" t="inlineStr">
        <is>
          <t>Documentação Aprovada</t>
        </is>
      </c>
      <c r="P41" t="inlineStr">
        <is>
          <t>Aprovado Diretoria</t>
        </is>
      </c>
      <c r="Q41" t="inlineStr">
        <is>
          <t>Aprovado Caixa</t>
        </is>
      </c>
      <c r="R41" t="inlineStr">
        <is>
          <t>Pago</t>
        </is>
      </c>
      <c r="S41" t="n">
        <v>226</v>
      </c>
      <c r="T41" t="inlineStr">
        <is>
          <t>The Cavern - Kamino</t>
        </is>
      </c>
    </row>
    <row r="42">
      <c r="A42" t="n">
        <v>215148</v>
      </c>
      <c r="B42" t="n">
        <v>176</v>
      </c>
      <c r="C42" t="inlineStr">
        <is>
          <t>The Cavern</t>
        </is>
      </c>
      <c r="D42" t="inlineStr">
        <is>
          <t>53664219000151</t>
        </is>
      </c>
      <c r="E42" t="n">
        <v>1733.33</v>
      </c>
      <c r="F42" s="27" t="n">
        <v>46092</v>
      </c>
      <c r="G42" s="27" t="n">
        <v>46092</v>
      </c>
      <c r="H42" s="27" t="n">
        <v>46092</v>
      </c>
      <c r="I42" s="27" t="n">
        <v>46054</v>
      </c>
      <c r="J42" s="27" t="n">
        <v>46088</v>
      </c>
      <c r="K42" t="inlineStr">
        <is>
          <t>Transferência Bancária ou Pix</t>
        </is>
      </c>
      <c r="L42" t="inlineStr">
        <is>
          <t>Mão de Obra - PJ</t>
        </is>
      </c>
      <c r="M42" t="inlineStr">
        <is>
          <t>MDO PJ Fixo</t>
        </is>
      </c>
      <c r="N42" t="inlineStr">
        <is>
          <t>6</t>
        </is>
      </c>
      <c r="O42" t="inlineStr">
        <is>
          <t>Documentação Aprovada</t>
        </is>
      </c>
      <c r="P42" t="inlineStr">
        <is>
          <t>Aprovado Diretoria</t>
        </is>
      </c>
      <c r="Q42" t="inlineStr">
        <is>
          <t>Aprovado Caixa</t>
        </is>
      </c>
      <c r="R42" t="inlineStr">
        <is>
          <t>Pago</t>
        </is>
      </c>
      <c r="S42" t="n">
        <v>226</v>
      </c>
      <c r="T42" t="inlineStr">
        <is>
          <t>The Cavern - Kamino</t>
        </is>
      </c>
    </row>
    <row r="43">
      <c r="A43" t="n">
        <v>215124</v>
      </c>
      <c r="B43" t="n">
        <v>176</v>
      </c>
      <c r="C43" t="inlineStr">
        <is>
          <t>The Cavern</t>
        </is>
      </c>
      <c r="D43" t="inlineStr">
        <is>
          <t>64222231000122</t>
        </is>
      </c>
      <c r="E43" t="n">
        <v>3600</v>
      </c>
      <c r="F43" s="27" t="n">
        <v>46091</v>
      </c>
      <c r="G43" s="27" t="n">
        <v>46091</v>
      </c>
      <c r="H43" s="27" t="n">
        <v>46091</v>
      </c>
      <c r="I43" s="27" t="n">
        <v>46054</v>
      </c>
      <c r="J43" s="27" t="n">
        <v>46088</v>
      </c>
      <c r="K43" t="inlineStr">
        <is>
          <t>Transferência Bancária ou Pix</t>
        </is>
      </c>
      <c r="L43" t="inlineStr">
        <is>
          <t>Mão de Obra - PJ</t>
        </is>
      </c>
      <c r="M43" t="inlineStr">
        <is>
          <t>MDO PJ Fixo</t>
        </is>
      </c>
      <c r="N43" t="inlineStr">
        <is>
          <t>6</t>
        </is>
      </c>
      <c r="O43" t="inlineStr">
        <is>
          <t>Documentação Aprovada</t>
        </is>
      </c>
      <c r="P43" t="inlineStr">
        <is>
          <t>Aprovado Diretoria</t>
        </is>
      </c>
      <c r="Q43" t="inlineStr">
        <is>
          <t>Aprovado Caixa</t>
        </is>
      </c>
      <c r="R43" t="inlineStr">
        <is>
          <t>Pago</t>
        </is>
      </c>
      <c r="S43" t="n">
        <v>226</v>
      </c>
      <c r="T43" t="inlineStr">
        <is>
          <t>The Cavern - Kamino</t>
        </is>
      </c>
    </row>
    <row r="44">
      <c r="A44" t="n">
        <v>215088</v>
      </c>
      <c r="B44" t="n">
        <v>176</v>
      </c>
      <c r="C44" t="inlineStr">
        <is>
          <t>The Cavern</t>
        </is>
      </c>
      <c r="D44" t="inlineStr">
        <is>
          <t>LEONARDO TADEU MASSONI BILESCHY</t>
        </is>
      </c>
      <c r="E44" t="n">
        <v>5500</v>
      </c>
      <c r="F44" s="27" t="n">
        <v>46091</v>
      </c>
      <c r="G44" s="27" t="n">
        <v>46091</v>
      </c>
      <c r="H44" s="27" t="n">
        <v>46091</v>
      </c>
      <c r="I44" s="27" t="n">
        <v>46054</v>
      </c>
      <c r="J44" s="27" t="n">
        <v>46087</v>
      </c>
      <c r="K44" t="inlineStr">
        <is>
          <t>Transferência Bancária ou Pix</t>
        </is>
      </c>
      <c r="L44" t="inlineStr">
        <is>
          <t>Mão de Obra - PJ</t>
        </is>
      </c>
      <c r="M44" t="inlineStr">
        <is>
          <t>MDO PJ Fixo</t>
        </is>
      </c>
      <c r="N44" t="inlineStr">
        <is>
          <t>54</t>
        </is>
      </c>
      <c r="O44" t="inlineStr">
        <is>
          <t>Documentação Aprovada</t>
        </is>
      </c>
      <c r="P44" t="inlineStr">
        <is>
          <t>Aprovado Diretoria</t>
        </is>
      </c>
      <c r="Q44" t="inlineStr">
        <is>
          <t>Aprovado Caixa</t>
        </is>
      </c>
      <c r="R44" t="inlineStr">
        <is>
          <t>Pago</t>
        </is>
      </c>
      <c r="S44" t="n">
        <v>226</v>
      </c>
      <c r="T44" t="inlineStr">
        <is>
          <t>The Cavern - Kamino</t>
        </is>
      </c>
    </row>
    <row r="45">
      <c r="A45" t="n">
        <v>215289</v>
      </c>
      <c r="B45" t="n">
        <v>176</v>
      </c>
      <c r="C45" t="inlineStr">
        <is>
          <t>The Cavern</t>
        </is>
      </c>
      <c r="D45" t="inlineStr">
        <is>
          <t>Potencial Servicos Tecnicos</t>
        </is>
      </c>
      <c r="E45" t="n">
        <v>9500</v>
      </c>
      <c r="F45" s="27" t="n">
        <v>46091</v>
      </c>
      <c r="G45" s="27" t="n">
        <v>46091</v>
      </c>
      <c r="H45" s="27" t="n">
        <v>46091</v>
      </c>
      <c r="I45" s="27" t="n">
        <v>46081</v>
      </c>
      <c r="J45" s="27" t="n">
        <v>46090</v>
      </c>
      <c r="K45" t="inlineStr">
        <is>
          <t>Transferência Bancária ou Pix</t>
        </is>
      </c>
      <c r="L45" t="inlineStr">
        <is>
          <t>Manutenção</t>
        </is>
      </c>
      <c r="M45" t="inlineStr">
        <is>
          <t>Manutenção de Equipamentos</t>
        </is>
      </c>
      <c r="N45" t="inlineStr">
        <is>
          <t>6610032026</t>
        </is>
      </c>
      <c r="O45" t="inlineStr">
        <is>
          <t>Documentação Aprovada</t>
        </is>
      </c>
      <c r="P45" t="inlineStr">
        <is>
          <t>Aprovado Diretoria</t>
        </is>
      </c>
      <c r="Q45" t="inlineStr">
        <is>
          <t>Aprovado Caixa</t>
        </is>
      </c>
      <c r="R45" t="inlineStr">
        <is>
          <t>Pago</t>
        </is>
      </c>
      <c r="S45" t="n">
        <v>226</v>
      </c>
      <c r="T45" t="inlineStr">
        <is>
          <t>The Cavern - Kamino</t>
        </is>
      </c>
    </row>
    <row r="46">
      <c r="A46" t="n">
        <v>215112</v>
      </c>
      <c r="B46" t="n">
        <v>176</v>
      </c>
      <c r="C46" t="inlineStr">
        <is>
          <t>The Cavern</t>
        </is>
      </c>
      <c r="D46" t="inlineStr">
        <is>
          <t>41986900000137</t>
        </is>
      </c>
      <c r="E46" t="n">
        <v>4200</v>
      </c>
      <c r="F46" s="27" t="n">
        <v>46091</v>
      </c>
      <c r="G46" s="27" t="n">
        <v>46091</v>
      </c>
      <c r="H46" s="27" t="n">
        <v>46091</v>
      </c>
      <c r="I46" s="27" t="n">
        <v>46054</v>
      </c>
      <c r="J46" s="27" t="n">
        <v>46088</v>
      </c>
      <c r="K46" t="inlineStr">
        <is>
          <t>Transferência Bancária ou Pix</t>
        </is>
      </c>
      <c r="L46" t="inlineStr">
        <is>
          <t>Mão de Obra - PJ</t>
        </is>
      </c>
      <c r="M46" t="inlineStr">
        <is>
          <t>MDO PJ Fixo</t>
        </is>
      </c>
      <c r="N46" t="inlineStr">
        <is>
          <t>5</t>
        </is>
      </c>
      <c r="O46" t="inlineStr">
        <is>
          <t>Documentação Aprovada</t>
        </is>
      </c>
      <c r="P46" t="inlineStr">
        <is>
          <t>Aprovado Diretoria</t>
        </is>
      </c>
      <c r="Q46" t="inlineStr">
        <is>
          <t>Aprovado Caixa</t>
        </is>
      </c>
      <c r="R46" t="inlineStr">
        <is>
          <t>Pago</t>
        </is>
      </c>
      <c r="S46" t="n">
        <v>226</v>
      </c>
      <c r="T46" t="inlineStr">
        <is>
          <t>The Cavern - Kamino</t>
        </is>
      </c>
    </row>
    <row r="47">
      <c r="A47" t="n">
        <v>215136</v>
      </c>
      <c r="B47" t="n">
        <v>176</v>
      </c>
      <c r="C47" t="inlineStr">
        <is>
          <t>The Cavern</t>
        </is>
      </c>
      <c r="D47" t="inlineStr">
        <is>
          <t>44182044000155</t>
        </is>
      </c>
      <c r="E47" t="n">
        <v>4200</v>
      </c>
      <c r="F47" s="27" t="n">
        <v>46091</v>
      </c>
      <c r="G47" s="27" t="n">
        <v>46091</v>
      </c>
      <c r="H47" s="27" t="n">
        <v>46091</v>
      </c>
      <c r="I47" s="27" t="n">
        <v>46054</v>
      </c>
      <c r="J47" s="27" t="n">
        <v>46088</v>
      </c>
      <c r="K47" t="inlineStr">
        <is>
          <t>Transferência Bancária ou Pix</t>
        </is>
      </c>
      <c r="L47" t="inlineStr">
        <is>
          <t>Mão de Obra - PJ</t>
        </is>
      </c>
      <c r="M47" t="inlineStr">
        <is>
          <t>MDO PJ Fixo</t>
        </is>
      </c>
      <c r="N47" t="inlineStr">
        <is>
          <t>188</t>
        </is>
      </c>
      <c r="O47" t="inlineStr">
        <is>
          <t>Documentação Aprovada</t>
        </is>
      </c>
      <c r="P47" t="inlineStr">
        <is>
          <t>Aprovado Diretoria</t>
        </is>
      </c>
      <c r="Q47" t="inlineStr">
        <is>
          <t>Aprovado Caixa</t>
        </is>
      </c>
      <c r="R47" t="inlineStr">
        <is>
          <t>Pago</t>
        </is>
      </c>
      <c r="S47" t="n">
        <v>226</v>
      </c>
      <c r="T47" t="inlineStr">
        <is>
          <t>The Cavern - Kamino</t>
        </is>
      </c>
    </row>
    <row r="48">
      <c r="A48" t="n">
        <v>215100</v>
      </c>
      <c r="B48" t="n">
        <v>176</v>
      </c>
      <c r="C48" t="inlineStr">
        <is>
          <t>The Cavern</t>
        </is>
      </c>
      <c r="D48" t="inlineStr">
        <is>
          <t xml:space="preserve"> LORRAN GALDINO DA  SILVA</t>
        </is>
      </c>
      <c r="E48" t="n">
        <v>4800</v>
      </c>
      <c r="F48" s="27" t="n">
        <v>46091</v>
      </c>
      <c r="G48" s="27" t="n">
        <v>46091</v>
      </c>
      <c r="H48" s="27" t="n">
        <v>46091</v>
      </c>
      <c r="I48" s="27" t="n">
        <v>46054</v>
      </c>
      <c r="J48" s="27" t="n">
        <v>46087</v>
      </c>
      <c r="K48" t="inlineStr">
        <is>
          <t>Transferência Bancária ou Pix</t>
        </is>
      </c>
      <c r="L48" t="inlineStr">
        <is>
          <t>Mão de Obra - PJ</t>
        </is>
      </c>
      <c r="M48" t="inlineStr">
        <is>
          <t>MDO PJ Fixo</t>
        </is>
      </c>
      <c r="N48" t="inlineStr">
        <is>
          <t>5</t>
        </is>
      </c>
      <c r="O48" t="inlineStr">
        <is>
          <t>Documentação Aprovada</t>
        </is>
      </c>
      <c r="P48" t="inlineStr">
        <is>
          <t>Aprovado Diretoria</t>
        </is>
      </c>
      <c r="Q48" t="inlineStr">
        <is>
          <t>Aprovado Caixa</t>
        </is>
      </c>
      <c r="R48" t="inlineStr">
        <is>
          <t>Pago</t>
        </is>
      </c>
      <c r="S48" t="n">
        <v>226</v>
      </c>
      <c r="T48" t="inlineStr">
        <is>
          <t>The Cavern - Kamino</t>
        </is>
      </c>
    </row>
    <row r="49">
      <c r="A49" t="n">
        <v>213194</v>
      </c>
      <c r="B49" t="n">
        <v>176</v>
      </c>
      <c r="C49" t="inlineStr">
        <is>
          <t>The Cavern</t>
        </is>
      </c>
      <c r="D49" t="inlineStr">
        <is>
          <t>MAR DIRETO POC COMERCIO DE PEIXES LTDA</t>
        </is>
      </c>
      <c r="E49" t="n">
        <v>1950</v>
      </c>
      <c r="F49" s="27" t="n">
        <v>46091</v>
      </c>
      <c r="G49" s="27" t="n">
        <v>46091</v>
      </c>
      <c r="H49" s="27" t="n">
        <v>46091</v>
      </c>
      <c r="I49" s="27" t="n">
        <v>46084</v>
      </c>
      <c r="J49" s="27" t="n">
        <v>46084</v>
      </c>
      <c r="K49" t="inlineStr">
        <is>
          <t>Boleto Bancário</t>
        </is>
      </c>
      <c r="L49" t="inlineStr">
        <is>
          <t>Custo Mercadoria Vendida</t>
        </is>
      </c>
      <c r="M49" t="inlineStr">
        <is>
          <t>Insumos - Alimentos</t>
        </is>
      </c>
      <c r="N49" t="inlineStr">
        <is>
          <t>118236</t>
        </is>
      </c>
      <c r="O49" t="inlineStr">
        <is>
          <t>Documentação Aprovada</t>
        </is>
      </c>
      <c r="P49" t="inlineStr">
        <is>
          <t>Aprovado Diretoria</t>
        </is>
      </c>
      <c r="Q49" t="inlineStr">
        <is>
          <t>Aprovado Caixa</t>
        </is>
      </c>
      <c r="R49" t="inlineStr">
        <is>
          <t>Pago</t>
        </is>
      </c>
      <c r="S49" t="n">
        <v>226</v>
      </c>
      <c r="T49" t="inlineStr">
        <is>
          <t>The Cavern - Kamino</t>
        </is>
      </c>
    </row>
    <row r="50">
      <c r="A50" t="n">
        <v>213515</v>
      </c>
      <c r="B50" t="n">
        <v>176</v>
      </c>
      <c r="C50" t="inlineStr">
        <is>
          <t>The Cavern</t>
        </is>
      </c>
      <c r="D50" t="inlineStr">
        <is>
          <t>LUIS PEDRO SILVA DE JESUS</t>
        </is>
      </c>
      <c r="E50" t="n">
        <v>412.68</v>
      </c>
      <c r="F50" s="27" t="n">
        <v>46091</v>
      </c>
      <c r="G50" s="27" t="n">
        <v>46091</v>
      </c>
      <c r="H50" s="27" t="n">
        <v>46091</v>
      </c>
      <c r="I50" s="27" t="n">
        <v>46082</v>
      </c>
      <c r="J50" s="27" t="n">
        <v>46085</v>
      </c>
      <c r="K50" t="inlineStr">
        <is>
          <t>Transferência Bancária ou Pix</t>
        </is>
      </c>
      <c r="L50" t="inlineStr">
        <is>
          <t>Mão de Obra - Benefícios</t>
        </is>
      </c>
      <c r="M50" t="inlineStr">
        <is>
          <t xml:space="preserve">  -  Vale-transporte</t>
        </is>
      </c>
      <c r="N50" t="inlineStr">
        <is>
          <t>41268 032026</t>
        </is>
      </c>
      <c r="O50" t="inlineStr">
        <is>
          <t>Documentação Aprovada</t>
        </is>
      </c>
      <c r="P50" t="inlineStr">
        <is>
          <t>Aprovado Diretoria</t>
        </is>
      </c>
      <c r="Q50" t="inlineStr">
        <is>
          <t>Aprovado Caixa</t>
        </is>
      </c>
      <c r="R50" t="inlineStr">
        <is>
          <t>Pago</t>
        </is>
      </c>
      <c r="S50" t="n">
        <v>226</v>
      </c>
      <c r="T50" t="inlineStr">
        <is>
          <t>The Cavern - Kamino</t>
        </is>
      </c>
    </row>
    <row r="51">
      <c r="A51" t="n">
        <v>213500</v>
      </c>
      <c r="B51" t="n">
        <v>176</v>
      </c>
      <c r="C51" t="inlineStr">
        <is>
          <t>The Cavern</t>
        </is>
      </c>
      <c r="D51" t="inlineStr">
        <is>
          <t xml:space="preserve">EXPERIENCIA B2S	</t>
        </is>
      </c>
      <c r="E51" t="n">
        <v>150</v>
      </c>
      <c r="F51" s="27" t="n">
        <v>46091</v>
      </c>
      <c r="G51" s="27" t="n">
        <v>46091</v>
      </c>
      <c r="H51" s="27" t="n">
        <v>46091</v>
      </c>
      <c r="I51" s="27" t="n">
        <v>46085</v>
      </c>
      <c r="J51" s="27" t="n">
        <v>46085</v>
      </c>
      <c r="K51" t="inlineStr">
        <is>
          <t>Boleto Bancário</t>
        </is>
      </c>
      <c r="L51" t="inlineStr">
        <is>
          <t>Marketing</t>
        </is>
      </c>
      <c r="M51" t="inlineStr">
        <is>
          <t>Ferramentas de Marketing</t>
        </is>
      </c>
      <c r="N51" t="inlineStr">
        <is>
          <t>4619110032026</t>
        </is>
      </c>
      <c r="O51" t="inlineStr">
        <is>
          <t>Documentação Aprovada</t>
        </is>
      </c>
      <c r="P51" t="inlineStr">
        <is>
          <t>Aprovado Diretoria</t>
        </is>
      </c>
      <c r="Q51" t="inlineStr">
        <is>
          <t>Aprovado Caixa</t>
        </is>
      </c>
      <c r="R51" t="inlineStr">
        <is>
          <t>Pago</t>
        </is>
      </c>
      <c r="S51" t="n">
        <v>226</v>
      </c>
      <c r="T51" t="inlineStr">
        <is>
          <t>The Cavern - Kamino</t>
        </is>
      </c>
    </row>
    <row r="52">
      <c r="A52" t="n">
        <v>213093</v>
      </c>
      <c r="B52" t="n">
        <v>176</v>
      </c>
      <c r="C52" t="inlineStr">
        <is>
          <t>The Cavern</t>
        </is>
      </c>
      <c r="D52" t="inlineStr">
        <is>
          <t>PJ 65120914000131</t>
        </is>
      </c>
      <c r="E52" t="n">
        <v>1624.93</v>
      </c>
      <c r="F52" s="27" t="n">
        <v>46091</v>
      </c>
      <c r="G52" s="27" t="n">
        <v>46091</v>
      </c>
      <c r="H52" s="27" t="n">
        <v>46091</v>
      </c>
      <c r="I52" s="27" t="n">
        <v>46054</v>
      </c>
      <c r="J52" s="27" t="n">
        <v>46083</v>
      </c>
      <c r="K52" t="inlineStr">
        <is>
          <t>Transferência Bancária ou Pix</t>
        </is>
      </c>
      <c r="L52" t="inlineStr">
        <is>
          <t>Mão de Obra - PJ</t>
        </is>
      </c>
      <c r="M52" t="inlineStr">
        <is>
          <t>MDO PJ Fixo</t>
        </is>
      </c>
      <c r="N52" t="inlineStr">
        <is>
          <t>2</t>
        </is>
      </c>
      <c r="O52" t="inlineStr">
        <is>
          <t>Documentação Aprovada</t>
        </is>
      </c>
      <c r="P52" t="inlineStr">
        <is>
          <t>Aprovado Diretoria</t>
        </is>
      </c>
      <c r="Q52" t="inlineStr">
        <is>
          <t>Aprovado Caixa</t>
        </is>
      </c>
      <c r="R52" t="inlineStr">
        <is>
          <t>Pago</t>
        </is>
      </c>
      <c r="S52" t="n">
        <v>226</v>
      </c>
      <c r="T52" t="inlineStr">
        <is>
          <t>The Cavern - Kamino</t>
        </is>
      </c>
    </row>
    <row r="53">
      <c r="A53" t="n">
        <v>213336</v>
      </c>
      <c r="B53" t="n">
        <v>176</v>
      </c>
      <c r="C53" t="inlineStr">
        <is>
          <t>The Cavern</t>
        </is>
      </c>
      <c r="D53" t="inlineStr">
        <is>
          <t>FABIANA DOS SANTOS ALVES</t>
        </is>
      </c>
      <c r="E53" t="n">
        <v>407.84</v>
      </c>
      <c r="F53" s="27" t="n">
        <v>46091</v>
      </c>
      <c r="G53" s="27" t="n">
        <v>46091</v>
      </c>
      <c r="H53" s="27" t="n">
        <v>46091</v>
      </c>
      <c r="I53" s="27" t="n">
        <v>46082</v>
      </c>
      <c r="J53" s="27" t="n">
        <v>46084</v>
      </c>
      <c r="K53" t="inlineStr">
        <is>
          <t>Transferência Bancária ou Pix</t>
        </is>
      </c>
      <c r="L53" t="inlineStr">
        <is>
          <t>Mão de Obra - Benefícios</t>
        </is>
      </c>
      <c r="M53" t="inlineStr">
        <is>
          <t xml:space="preserve">  -  Vale-transporte</t>
        </is>
      </c>
      <c r="N53" t="inlineStr">
        <is>
          <t>40784 032026</t>
        </is>
      </c>
      <c r="O53" t="inlineStr">
        <is>
          <t>Documentação Aprovada</t>
        </is>
      </c>
      <c r="P53" t="inlineStr">
        <is>
          <t>Aprovado Diretoria</t>
        </is>
      </c>
      <c r="Q53" t="inlineStr">
        <is>
          <t>Aprovado Caixa</t>
        </is>
      </c>
      <c r="R53" t="inlineStr">
        <is>
          <t>Pago</t>
        </is>
      </c>
      <c r="S53" t="n">
        <v>226</v>
      </c>
      <c r="T53" t="inlineStr">
        <is>
          <t>The Cavern - Kamino</t>
        </is>
      </c>
    </row>
    <row r="54">
      <c r="A54" t="n">
        <v>213081</v>
      </c>
      <c r="B54" t="n">
        <v>176</v>
      </c>
      <c r="C54" t="inlineStr">
        <is>
          <t>The Cavern</t>
        </is>
      </c>
      <c r="D54" t="inlineStr">
        <is>
          <t>PJ 64839082000145</t>
        </is>
      </c>
      <c r="E54" t="n">
        <v>4200</v>
      </c>
      <c r="F54" s="27" t="n">
        <v>46091</v>
      </c>
      <c r="G54" s="27" t="n">
        <v>46091</v>
      </c>
      <c r="H54" s="27" t="n">
        <v>46091</v>
      </c>
      <c r="I54" s="27" t="n">
        <v>46054</v>
      </c>
      <c r="J54" s="27" t="n">
        <v>46083</v>
      </c>
      <c r="K54" t="inlineStr">
        <is>
          <t>Transferência Bancária ou Pix</t>
        </is>
      </c>
      <c r="L54" t="inlineStr">
        <is>
          <t>Mão de Obra - PJ</t>
        </is>
      </c>
      <c r="M54" t="inlineStr">
        <is>
          <t>MDO PJ Fixo</t>
        </is>
      </c>
      <c r="N54" t="inlineStr">
        <is>
          <t>1</t>
        </is>
      </c>
      <c r="O54" t="inlineStr">
        <is>
          <t>Documentação Aprovada</t>
        </is>
      </c>
      <c r="P54" t="inlineStr">
        <is>
          <t>Aprovado Diretoria</t>
        </is>
      </c>
      <c r="Q54" t="inlineStr">
        <is>
          <t>Aprovado Caixa</t>
        </is>
      </c>
      <c r="R54" t="inlineStr">
        <is>
          <t>Pago</t>
        </is>
      </c>
      <c r="S54" t="n">
        <v>226</v>
      </c>
      <c r="T54" t="inlineStr">
        <is>
          <t>The Cavern - Kamino</t>
        </is>
      </c>
    </row>
    <row r="55">
      <c r="A55" t="n">
        <v>213334</v>
      </c>
      <c r="B55" t="n">
        <v>176</v>
      </c>
      <c r="C55" t="inlineStr">
        <is>
          <t>The Cavern</t>
        </is>
      </c>
      <c r="D55" t="inlineStr">
        <is>
          <t>JUSTINO SILVIO DO NASCIMENTO</t>
        </is>
      </c>
      <c r="E55" t="n">
        <v>275.6</v>
      </c>
      <c r="F55" s="27" t="n">
        <v>46091</v>
      </c>
      <c r="G55" s="27" t="n">
        <v>46091</v>
      </c>
      <c r="H55" s="27" t="n">
        <v>46091</v>
      </c>
      <c r="I55" s="27" t="n">
        <v>46082</v>
      </c>
      <c r="J55" s="27" t="n">
        <v>46084</v>
      </c>
      <c r="K55" t="inlineStr">
        <is>
          <t>Transferência Bancária ou Pix</t>
        </is>
      </c>
      <c r="L55" t="inlineStr">
        <is>
          <t>Mão de Obra - Benefícios</t>
        </is>
      </c>
      <c r="M55" t="inlineStr">
        <is>
          <t xml:space="preserve">  -  Vale-transporte</t>
        </is>
      </c>
      <c r="N55" t="inlineStr">
        <is>
          <t>REC 27560 032026</t>
        </is>
      </c>
      <c r="O55" t="inlineStr">
        <is>
          <t>Documentação Aprovada</t>
        </is>
      </c>
      <c r="P55" t="inlineStr">
        <is>
          <t>Aprovado Diretoria</t>
        </is>
      </c>
      <c r="Q55" t="inlineStr">
        <is>
          <t>Aprovado Caixa</t>
        </is>
      </c>
      <c r="R55" t="inlineStr">
        <is>
          <t>Pago</t>
        </is>
      </c>
      <c r="S55" t="n">
        <v>226</v>
      </c>
      <c r="T55" t="inlineStr">
        <is>
          <t>The Cavern - Kamino</t>
        </is>
      </c>
    </row>
    <row r="56">
      <c r="A56" t="n">
        <v>214023</v>
      </c>
      <c r="B56" t="n">
        <v>176</v>
      </c>
      <c r="C56" t="inlineStr">
        <is>
          <t>The Cavern</t>
        </is>
      </c>
      <c r="D56" t="inlineStr">
        <is>
          <t>ISS</t>
        </is>
      </c>
      <c r="E56" t="n">
        <v>399.37</v>
      </c>
      <c r="F56" s="27" t="n">
        <v>46091</v>
      </c>
      <c r="G56" s="27" t="n">
        <v>46091</v>
      </c>
      <c r="H56" s="27" t="n">
        <v>46091</v>
      </c>
      <c r="I56" s="27" t="n">
        <v>46081</v>
      </c>
      <c r="J56" s="27" t="n">
        <v>46085</v>
      </c>
      <c r="K56" t="inlineStr">
        <is>
          <t>Boleto Bancário</t>
        </is>
      </c>
      <c r="L56" t="inlineStr">
        <is>
          <t>Mão de Obra - Extra</t>
        </is>
      </c>
      <c r="M56" t="inlineStr">
        <is>
          <t>Mão de Obra Extra</t>
        </is>
      </c>
      <c r="N56" t="inlineStr">
        <is>
          <t>10032026</t>
        </is>
      </c>
      <c r="O56" t="inlineStr">
        <is>
          <t>Documentação Aprovada</t>
        </is>
      </c>
      <c r="P56" t="inlineStr">
        <is>
          <t>Aprovado Diretoria</t>
        </is>
      </c>
      <c r="Q56" t="inlineStr">
        <is>
          <t>Aprovado Caixa</t>
        </is>
      </c>
      <c r="R56" t="inlineStr">
        <is>
          <t>Pago</t>
        </is>
      </c>
      <c r="S56" t="n">
        <v>226</v>
      </c>
      <c r="T56" t="inlineStr">
        <is>
          <t>The Cavern - Kamino</t>
        </is>
      </c>
    </row>
    <row r="57">
      <c r="A57" t="n">
        <v>214228</v>
      </c>
      <c r="B57" t="n">
        <v>176</v>
      </c>
      <c r="C57" t="inlineStr">
        <is>
          <t>The Cavern</t>
        </is>
      </c>
      <c r="D57" t="inlineStr">
        <is>
          <t>28.811.338 GABRIELLA ABBUD PASSARO - ME</t>
        </is>
      </c>
      <c r="E57" t="n">
        <v>2271.4</v>
      </c>
      <c r="F57" s="27" t="n">
        <v>46091</v>
      </c>
      <c r="G57" s="27" t="n">
        <v>46091</v>
      </c>
      <c r="H57" s="27" t="n">
        <v>46091</v>
      </c>
      <c r="I57" s="27" t="n">
        <v>46065</v>
      </c>
      <c r="J57" s="27" t="n">
        <v>46086</v>
      </c>
      <c r="K57" t="inlineStr">
        <is>
          <t>Boleto Bancário</t>
        </is>
      </c>
      <c r="L57" t="inlineStr">
        <is>
          <t>Custo Mercadoria Vendida</t>
        </is>
      </c>
      <c r="M57" t="inlineStr">
        <is>
          <t>Insumos - Bebidas</t>
        </is>
      </c>
      <c r="N57" t="inlineStr">
        <is>
          <t>16</t>
        </is>
      </c>
      <c r="O57" t="inlineStr">
        <is>
          <t>Documentação Aprovada</t>
        </is>
      </c>
      <c r="P57" t="inlineStr">
        <is>
          <t>Aprovado Diretoria</t>
        </is>
      </c>
      <c r="Q57" t="inlineStr">
        <is>
          <t>Aprovado Caixa</t>
        </is>
      </c>
      <c r="R57" t="inlineStr">
        <is>
          <t>Pago</t>
        </is>
      </c>
      <c r="S57" t="n">
        <v>226</v>
      </c>
      <c r="T57" t="inlineStr">
        <is>
          <t>The Cavern - Kamino</t>
        </is>
      </c>
    </row>
    <row r="58">
      <c r="A58" t="n">
        <v>206422</v>
      </c>
      <c r="B58" t="n">
        <v>176</v>
      </c>
      <c r="C58" t="inlineStr">
        <is>
          <t>The Cavern</t>
        </is>
      </c>
      <c r="D58" t="inlineStr">
        <is>
          <t>CECILIA TSUYACO ARAKI SILVA LTDA</t>
        </is>
      </c>
      <c r="E58" t="n">
        <v>176.8</v>
      </c>
      <c r="F58" s="27" t="n">
        <v>46091</v>
      </c>
      <c r="G58" s="27" t="n">
        <v>46091</v>
      </c>
      <c r="H58" s="27" t="n">
        <v>46091</v>
      </c>
      <c r="I58" s="27" t="n">
        <v>46063</v>
      </c>
      <c r="J58" s="27" t="n">
        <v>46064</v>
      </c>
      <c r="K58" t="inlineStr">
        <is>
          <t>Boleto Bancário</t>
        </is>
      </c>
      <c r="L58" t="inlineStr">
        <is>
          <t>Custo Mercadoria Vendida</t>
        </is>
      </c>
      <c r="M58" t="inlineStr">
        <is>
          <t>Insumos - Alimentos</t>
        </is>
      </c>
      <c r="N58" t="inlineStr">
        <is>
          <t>386666</t>
        </is>
      </c>
      <c r="O58" t="inlineStr">
        <is>
          <t>Documentação Aprovada</t>
        </is>
      </c>
      <c r="P58" t="inlineStr">
        <is>
          <t>Aprovado Diretoria</t>
        </is>
      </c>
      <c r="Q58" t="inlineStr">
        <is>
          <t>Aprovado Caixa</t>
        </is>
      </c>
      <c r="R58" t="inlineStr">
        <is>
          <t>Pago</t>
        </is>
      </c>
      <c r="S58" t="n">
        <v>226</v>
      </c>
      <c r="T58" t="inlineStr">
        <is>
          <t>The Cavern - Kamino</t>
        </is>
      </c>
    </row>
    <row r="59">
      <c r="A59" t="n">
        <v>206361</v>
      </c>
      <c r="B59" t="n">
        <v>176</v>
      </c>
      <c r="C59" t="inlineStr">
        <is>
          <t>The Cavern</t>
        </is>
      </c>
      <c r="D59" t="inlineStr">
        <is>
          <t xml:space="preserve">HORTIFRUTI DO CHEF LTDA </t>
        </is>
      </c>
      <c r="E59" t="n">
        <v>53.76</v>
      </c>
      <c r="F59" s="27" t="n">
        <v>46091</v>
      </c>
      <c r="G59" s="27" t="n">
        <v>46091</v>
      </c>
      <c r="H59" s="27" t="n">
        <v>46091</v>
      </c>
      <c r="I59" s="27" t="n">
        <v>46063</v>
      </c>
      <c r="J59" s="27" t="n">
        <v>46064</v>
      </c>
      <c r="K59" t="inlineStr">
        <is>
          <t>Boleto Bancário</t>
        </is>
      </c>
      <c r="L59" t="inlineStr">
        <is>
          <t>Custo Mercadoria Vendida</t>
        </is>
      </c>
      <c r="M59" t="inlineStr">
        <is>
          <t>Insumos - Alimentos</t>
        </is>
      </c>
      <c r="N59" t="inlineStr">
        <is>
          <t>29046</t>
        </is>
      </c>
      <c r="O59" t="inlineStr">
        <is>
          <t>Documentação Aprovada</t>
        </is>
      </c>
      <c r="P59" t="inlineStr">
        <is>
          <t>Aprovado Diretoria</t>
        </is>
      </c>
      <c r="Q59" t="inlineStr">
        <is>
          <t>Aprovado Caixa</t>
        </is>
      </c>
      <c r="R59" t="inlineStr">
        <is>
          <t>Pago</t>
        </is>
      </c>
      <c r="S59" t="n">
        <v>226</v>
      </c>
      <c r="T59" t="inlineStr">
        <is>
          <t>The Cavern - Kamino</t>
        </is>
      </c>
    </row>
    <row r="60">
      <c r="A60" t="n">
        <v>206375</v>
      </c>
      <c r="B60" t="n">
        <v>176</v>
      </c>
      <c r="C60" t="inlineStr">
        <is>
          <t>The Cavern</t>
        </is>
      </c>
      <c r="D60" t="inlineStr">
        <is>
          <t>MARIO PEDRO FELICIANO - HORTIFRUTI</t>
        </is>
      </c>
      <c r="E60" t="n">
        <v>272</v>
      </c>
      <c r="F60" s="27" t="n">
        <v>46091</v>
      </c>
      <c r="G60" s="27" t="n">
        <v>46091</v>
      </c>
      <c r="H60" s="27" t="n">
        <v>46091</v>
      </c>
      <c r="I60" s="27" t="n">
        <v>46063</v>
      </c>
      <c r="J60" s="27" t="n">
        <v>46064</v>
      </c>
      <c r="K60" t="inlineStr">
        <is>
          <t>Boleto Bancário</t>
        </is>
      </c>
      <c r="L60" t="inlineStr">
        <is>
          <t>Custo Mercadoria Vendida</t>
        </is>
      </c>
      <c r="M60" t="inlineStr">
        <is>
          <t>Insumos - Alimentos</t>
        </is>
      </c>
      <c r="N60" t="inlineStr">
        <is>
          <t>467359</t>
        </is>
      </c>
      <c r="O60" t="inlineStr">
        <is>
          <t>Documentação Aprovada</t>
        </is>
      </c>
      <c r="P60" t="inlineStr">
        <is>
          <t>Aprovado Diretoria</t>
        </is>
      </c>
      <c r="Q60" t="inlineStr">
        <is>
          <t>Aprovado Caixa</t>
        </is>
      </c>
      <c r="R60" t="inlineStr">
        <is>
          <t>Pago</t>
        </is>
      </c>
      <c r="S60" t="n">
        <v>226</v>
      </c>
      <c r="T60" t="inlineStr">
        <is>
          <t>The Cavern - Kamino</t>
        </is>
      </c>
    </row>
    <row r="61">
      <c r="A61" t="n">
        <v>206614</v>
      </c>
      <c r="B61" t="n">
        <v>176</v>
      </c>
      <c r="C61" t="inlineStr">
        <is>
          <t>The Cavern</t>
        </is>
      </c>
      <c r="D61" t="inlineStr">
        <is>
          <t>EAU - DISTRIBUIDORA DE AGUA MINERAL LTDA</t>
        </is>
      </c>
      <c r="E61" t="n">
        <v>362</v>
      </c>
      <c r="F61" s="27" t="n">
        <v>46091</v>
      </c>
      <c r="G61" s="27" t="n">
        <v>46091</v>
      </c>
      <c r="H61" s="27" t="n">
        <v>46091</v>
      </c>
      <c r="I61" s="27" t="n">
        <v>46055</v>
      </c>
      <c r="J61" s="27" t="n">
        <v>46065</v>
      </c>
      <c r="K61" t="inlineStr">
        <is>
          <t>Boleto Bancário</t>
        </is>
      </c>
      <c r="L61" t="inlineStr">
        <is>
          <t>Custo Mercadoria Vendida</t>
        </is>
      </c>
      <c r="M61" t="inlineStr">
        <is>
          <t>Insumos - Bebidas</t>
        </is>
      </c>
      <c r="N61" t="inlineStr">
        <is>
          <t>289657</t>
        </is>
      </c>
      <c r="O61" t="inlineStr">
        <is>
          <t>Documentação Aprovada</t>
        </is>
      </c>
      <c r="P61" t="inlineStr">
        <is>
          <t>Aprovado Diretoria</t>
        </is>
      </c>
      <c r="Q61" t="inlineStr">
        <is>
          <t>Aprovado Caixa</t>
        </is>
      </c>
      <c r="R61" t="inlineStr">
        <is>
          <t>Pago</t>
        </is>
      </c>
      <c r="S61" t="n">
        <v>226</v>
      </c>
      <c r="T61" t="inlineStr">
        <is>
          <t>The Cavern - Kamino</t>
        </is>
      </c>
    </row>
    <row r="62">
      <c r="A62" t="n">
        <v>206403</v>
      </c>
      <c r="B62" t="n">
        <v>176</v>
      </c>
      <c r="C62" t="inlineStr">
        <is>
          <t>The Cavern</t>
        </is>
      </c>
      <c r="D62" t="inlineStr">
        <is>
          <t>AROUMAR DISTRIBUIDORA DE PRODUTOS ALIMENTICIOS LTDA</t>
        </is>
      </c>
      <c r="E62" t="n">
        <v>417.72</v>
      </c>
      <c r="F62" s="27" t="n">
        <v>46091</v>
      </c>
      <c r="G62" s="27" t="n">
        <v>46091</v>
      </c>
      <c r="H62" s="27" t="n">
        <v>46091</v>
      </c>
      <c r="I62" s="27" t="n">
        <v>46063</v>
      </c>
      <c r="J62" s="27" t="n">
        <v>46064</v>
      </c>
      <c r="K62" t="inlineStr">
        <is>
          <t>Boleto Bancário</t>
        </is>
      </c>
      <c r="L62" t="inlineStr">
        <is>
          <t>Custo Mercadoria Vendida</t>
        </is>
      </c>
      <c r="M62" t="inlineStr">
        <is>
          <t>Insumos - Alimentos</t>
        </is>
      </c>
      <c r="N62" t="inlineStr">
        <is>
          <t>1040641</t>
        </is>
      </c>
      <c r="O62" t="inlineStr">
        <is>
          <t>Documentação Aprovada</t>
        </is>
      </c>
      <c r="P62" t="inlineStr">
        <is>
          <t>Aprovado Diretoria</t>
        </is>
      </c>
      <c r="Q62" t="inlineStr">
        <is>
          <t>Aprovado Caixa</t>
        </is>
      </c>
      <c r="R62" t="inlineStr">
        <is>
          <t>Pago</t>
        </is>
      </c>
      <c r="S62" t="n">
        <v>226</v>
      </c>
      <c r="T62" t="inlineStr">
        <is>
          <t>The Cavern - Kamino</t>
        </is>
      </c>
    </row>
    <row r="63">
      <c r="A63" t="n">
        <v>210717</v>
      </c>
      <c r="B63" t="n">
        <v>176</v>
      </c>
      <c r="C63" t="inlineStr">
        <is>
          <t>The Cavern</t>
        </is>
      </c>
      <c r="D63" t="inlineStr">
        <is>
          <t xml:space="preserve">HNK BR INDUSTRIA DE BEBIDAS </t>
        </is>
      </c>
      <c r="E63" t="n">
        <v>1997.07</v>
      </c>
      <c r="F63" s="27" t="n">
        <v>46091</v>
      </c>
      <c r="G63" s="27" t="n">
        <v>46091</v>
      </c>
      <c r="H63" s="27" t="n">
        <v>46091</v>
      </c>
      <c r="I63" s="27" t="n">
        <v>46076</v>
      </c>
      <c r="J63" s="27" t="n">
        <v>46077</v>
      </c>
      <c r="K63" t="inlineStr">
        <is>
          <t>Boleto Bancário</t>
        </is>
      </c>
      <c r="L63" t="inlineStr">
        <is>
          <t>Custo Mercadoria Vendida</t>
        </is>
      </c>
      <c r="M63" t="inlineStr">
        <is>
          <t>Insumos - Bebidas</t>
        </is>
      </c>
      <c r="N63" t="inlineStr">
        <is>
          <t>69405</t>
        </is>
      </c>
      <c r="O63" t="inlineStr">
        <is>
          <t>Documentação Aprovada</t>
        </is>
      </c>
      <c r="P63" t="inlineStr">
        <is>
          <t>Aprovado Diretoria</t>
        </is>
      </c>
      <c r="Q63" t="inlineStr">
        <is>
          <t>Aprovado Caixa</t>
        </is>
      </c>
      <c r="R63" t="inlineStr">
        <is>
          <t>Pago</t>
        </is>
      </c>
      <c r="S63" t="n">
        <v>226</v>
      </c>
      <c r="T63" t="inlineStr">
        <is>
          <t>The Cavern - Kamino</t>
        </is>
      </c>
    </row>
    <row r="64">
      <c r="A64" t="n">
        <v>204280</v>
      </c>
      <c r="B64" t="n">
        <v>176</v>
      </c>
      <c r="C64" t="inlineStr">
        <is>
          <t>The Cavern</t>
        </is>
      </c>
      <c r="D64" t="inlineStr">
        <is>
          <t>63925816000146 PJ</t>
        </is>
      </c>
      <c r="E64" t="n">
        <v>3500</v>
      </c>
      <c r="F64" s="27" t="n">
        <v>46091</v>
      </c>
      <c r="G64" s="27" t="n">
        <v>46091</v>
      </c>
      <c r="H64" s="27" t="n">
        <v>46091</v>
      </c>
      <c r="I64" s="27" t="n">
        <v>46054</v>
      </c>
      <c r="J64" s="27" t="n">
        <v>46057</v>
      </c>
      <c r="K64" t="inlineStr">
        <is>
          <t>Transferência Bancária ou Pix</t>
        </is>
      </c>
      <c r="L64" t="inlineStr">
        <is>
          <t>Mão de Obra - PJ</t>
        </is>
      </c>
      <c r="M64" t="inlineStr">
        <is>
          <t>MDO PJ Fixo</t>
        </is>
      </c>
      <c r="N64" t="inlineStr">
        <is>
          <t>3</t>
        </is>
      </c>
      <c r="O64" t="inlineStr">
        <is>
          <t>Documentação Aprovada</t>
        </is>
      </c>
      <c r="P64" t="inlineStr">
        <is>
          <t>Aprovado Diretoria</t>
        </is>
      </c>
      <c r="Q64" t="inlineStr">
        <is>
          <t>Aprovado Caixa</t>
        </is>
      </c>
      <c r="R64" t="inlineStr">
        <is>
          <t>Pago</t>
        </is>
      </c>
      <c r="S64" t="n">
        <v>226</v>
      </c>
      <c r="T64" t="inlineStr">
        <is>
          <t>The Cavern - Kamino</t>
        </is>
      </c>
    </row>
    <row r="65">
      <c r="A65" t="n">
        <v>206570</v>
      </c>
      <c r="B65" t="n">
        <v>176</v>
      </c>
      <c r="C65" t="inlineStr">
        <is>
          <t>The Cavern</t>
        </is>
      </c>
      <c r="D65" t="inlineStr">
        <is>
          <t>ANDREIA SANTOS FREITAS DUARTE</t>
        </is>
      </c>
      <c r="E65" t="n">
        <v>2214.89</v>
      </c>
      <c r="F65" s="27" t="n">
        <v>46090</v>
      </c>
      <c r="G65" s="27" t="n">
        <v>46090</v>
      </c>
      <c r="H65" s="27" t="n">
        <v>46090</v>
      </c>
      <c r="I65" s="27" t="n">
        <v>46056</v>
      </c>
      <c r="J65" s="27" t="n">
        <v>46065</v>
      </c>
      <c r="K65" t="inlineStr">
        <is>
          <t>Boleto Bancário</t>
        </is>
      </c>
      <c r="L65" t="inlineStr">
        <is>
          <t>Custo Mercadoria Vendida</t>
        </is>
      </c>
      <c r="M65" t="inlineStr">
        <is>
          <t>Insumos - Alimentos</t>
        </is>
      </c>
      <c r="N65" t="inlineStr">
        <is>
          <t>2256</t>
        </is>
      </c>
      <c r="O65" t="inlineStr">
        <is>
          <t>Documentação Aprovada</t>
        </is>
      </c>
      <c r="P65" t="inlineStr">
        <is>
          <t>Aprovado Diretoria</t>
        </is>
      </c>
      <c r="Q65" t="inlineStr">
        <is>
          <t>Aprovado Caixa</t>
        </is>
      </c>
      <c r="R65" t="inlineStr">
        <is>
          <t>Pago</t>
        </is>
      </c>
      <c r="S65" t="n">
        <v>226</v>
      </c>
      <c r="T65" t="inlineStr">
        <is>
          <t>The Cavern - Kamino</t>
        </is>
      </c>
    </row>
    <row r="66">
      <c r="A66" t="n">
        <v>206267</v>
      </c>
      <c r="B66" t="n">
        <v>176</v>
      </c>
      <c r="C66" t="inlineStr">
        <is>
          <t>The Cavern</t>
        </is>
      </c>
      <c r="D66" t="inlineStr">
        <is>
          <t>WPP COMERCIO DE CARNES LTDA</t>
        </is>
      </c>
      <c r="E66" t="n">
        <v>4705.5</v>
      </c>
      <c r="F66" s="27" t="n">
        <v>46090</v>
      </c>
      <c r="G66" s="27" t="n">
        <v>46090</v>
      </c>
      <c r="H66" s="27" t="n">
        <v>46090</v>
      </c>
      <c r="I66" s="27" t="n">
        <v>46062</v>
      </c>
      <c r="J66" s="27" t="n">
        <v>46063</v>
      </c>
      <c r="K66" t="inlineStr">
        <is>
          <t>Boleto Bancário</t>
        </is>
      </c>
      <c r="L66" t="inlineStr">
        <is>
          <t>Custo Mercadoria Vendida</t>
        </is>
      </c>
      <c r="M66" t="inlineStr">
        <is>
          <t>Insumos - Alimentos</t>
        </is>
      </c>
      <c r="N66" t="inlineStr">
        <is>
          <t>77222</t>
        </is>
      </c>
      <c r="O66" t="inlineStr">
        <is>
          <t>Documentação Aprovada</t>
        </is>
      </c>
      <c r="P66" t="inlineStr">
        <is>
          <t>Aprovado Diretoria</t>
        </is>
      </c>
      <c r="Q66" t="inlineStr">
        <is>
          <t>Aprovado Caixa</t>
        </is>
      </c>
      <c r="R66" t="inlineStr">
        <is>
          <t>Pago</t>
        </is>
      </c>
      <c r="S66" t="n">
        <v>226</v>
      </c>
      <c r="T66" t="inlineStr">
        <is>
          <t>The Cavern - Kamino</t>
        </is>
      </c>
    </row>
    <row r="67">
      <c r="A67" t="n">
        <v>207785</v>
      </c>
      <c r="B67" t="n">
        <v>176</v>
      </c>
      <c r="C67" t="inlineStr">
        <is>
          <t>The Cavern</t>
        </is>
      </c>
      <c r="D67" t="inlineStr">
        <is>
          <t xml:space="preserve">HORTIFRUTI DO CHEF LTDA </t>
        </is>
      </c>
      <c r="E67" t="n">
        <v>414.11</v>
      </c>
      <c r="F67" s="27" t="n">
        <v>46090</v>
      </c>
      <c r="G67" s="27" t="n">
        <v>46090</v>
      </c>
      <c r="H67" s="27" t="n">
        <v>46090</v>
      </c>
      <c r="I67" s="27" t="n">
        <v>46062</v>
      </c>
      <c r="J67" s="27" t="n">
        <v>46066</v>
      </c>
      <c r="K67" t="inlineStr">
        <is>
          <t>Boleto Bancário</t>
        </is>
      </c>
      <c r="L67" t="inlineStr">
        <is>
          <t>Custo Mercadoria Vendida</t>
        </is>
      </c>
      <c r="M67" t="inlineStr">
        <is>
          <t>Insumos - Alimentos</t>
        </is>
      </c>
      <c r="N67" t="inlineStr">
        <is>
          <t>29016</t>
        </is>
      </c>
      <c r="O67" t="inlineStr">
        <is>
          <t>Documentação Aprovada</t>
        </is>
      </c>
      <c r="P67" t="inlineStr">
        <is>
          <t>Aprovado Diretoria</t>
        </is>
      </c>
      <c r="Q67" t="inlineStr">
        <is>
          <t>Aprovado Caixa</t>
        </is>
      </c>
      <c r="R67" t="inlineStr">
        <is>
          <t>Pago</t>
        </is>
      </c>
      <c r="S67" t="n">
        <v>226</v>
      </c>
      <c r="T67" t="inlineStr">
        <is>
          <t>The Cavern - Kamino</t>
        </is>
      </c>
    </row>
    <row r="68">
      <c r="A68" t="n">
        <v>207258</v>
      </c>
      <c r="B68" t="n">
        <v>176</v>
      </c>
      <c r="C68" t="inlineStr">
        <is>
          <t>The Cavern</t>
        </is>
      </c>
      <c r="D68" t="inlineStr">
        <is>
          <t>MARIO PEDRO FELICIANO - HORTIFRUTI</t>
        </is>
      </c>
      <c r="E68" t="n">
        <v>370.42</v>
      </c>
      <c r="F68" s="27" t="n">
        <v>46090</v>
      </c>
      <c r="G68" s="27" t="n">
        <v>46090</v>
      </c>
      <c r="H68" s="27" t="n">
        <v>46090</v>
      </c>
      <c r="I68" s="27" t="n">
        <v>46062</v>
      </c>
      <c r="J68" s="27" t="n">
        <v>46066</v>
      </c>
      <c r="K68" t="inlineStr">
        <is>
          <t>Boleto Bancário</t>
        </is>
      </c>
      <c r="L68" t="inlineStr">
        <is>
          <t>Custo Mercadoria Vendida</t>
        </is>
      </c>
      <c r="M68" t="inlineStr">
        <is>
          <t>Insumos - Alimentos</t>
        </is>
      </c>
      <c r="N68" t="inlineStr">
        <is>
          <t>467301</t>
        </is>
      </c>
      <c r="O68" t="inlineStr">
        <is>
          <t>Documentação Aprovada</t>
        </is>
      </c>
      <c r="P68" t="inlineStr">
        <is>
          <t>Aprovado Diretoria</t>
        </is>
      </c>
      <c r="Q68" t="inlineStr">
        <is>
          <t>Aprovado Caixa</t>
        </is>
      </c>
      <c r="R68" t="inlineStr">
        <is>
          <t>Pago</t>
        </is>
      </c>
      <c r="S68" t="n">
        <v>226</v>
      </c>
      <c r="T68" t="inlineStr">
        <is>
          <t>The Cavern - Kamino</t>
        </is>
      </c>
    </row>
    <row r="69">
      <c r="A69" t="n">
        <v>207206</v>
      </c>
      <c r="B69" t="n">
        <v>176</v>
      </c>
      <c r="C69" t="inlineStr">
        <is>
          <t>The Cavern</t>
        </is>
      </c>
      <c r="D69" t="inlineStr">
        <is>
          <t>CECILIA TSUYACO ARAKI SILVA LTDA</t>
        </is>
      </c>
      <c r="E69" t="n">
        <v>226.1</v>
      </c>
      <c r="F69" s="27" t="n">
        <v>46090</v>
      </c>
      <c r="G69" s="27" t="n">
        <v>46090</v>
      </c>
      <c r="H69" s="27" t="n">
        <v>46090</v>
      </c>
      <c r="I69" s="27" t="n">
        <v>46062</v>
      </c>
      <c r="J69" s="27" t="n">
        <v>46066</v>
      </c>
      <c r="K69" t="inlineStr">
        <is>
          <t>Boleto Bancário</t>
        </is>
      </c>
      <c r="L69" t="inlineStr">
        <is>
          <t>Custo Mercadoria Vendida</t>
        </is>
      </c>
      <c r="M69" t="inlineStr">
        <is>
          <t>Insumos - Alimentos</t>
        </is>
      </c>
      <c r="N69" t="inlineStr">
        <is>
          <t>386556</t>
        </is>
      </c>
      <c r="O69" t="inlineStr">
        <is>
          <t>Documentação Aprovada</t>
        </is>
      </c>
      <c r="P69" t="inlineStr">
        <is>
          <t>Aprovado Diretoria</t>
        </is>
      </c>
      <c r="Q69" t="inlineStr">
        <is>
          <t>Aprovado Caixa</t>
        </is>
      </c>
      <c r="R69" t="inlineStr">
        <is>
          <t>Pago</t>
        </is>
      </c>
      <c r="S69" t="n">
        <v>226</v>
      </c>
      <c r="T69" t="inlineStr">
        <is>
          <t>The Cavern - Kamino</t>
        </is>
      </c>
    </row>
    <row r="70">
      <c r="A70" t="n">
        <v>208603</v>
      </c>
      <c r="B70" t="n">
        <v>176</v>
      </c>
      <c r="C70" t="inlineStr">
        <is>
          <t>The Cavern</t>
        </is>
      </c>
      <c r="D70" t="inlineStr">
        <is>
          <t>MURILLO S DUARTE COMERCIAL LTDA</t>
        </is>
      </c>
      <c r="E70" t="n">
        <v>236.1</v>
      </c>
      <c r="F70" s="27" t="n">
        <v>46090</v>
      </c>
      <c r="G70" s="27" t="n">
        <v>46090</v>
      </c>
      <c r="H70" s="27" t="n">
        <v>46090</v>
      </c>
      <c r="I70" s="27" t="n">
        <v>46056</v>
      </c>
      <c r="J70" s="27" t="n">
        <v>46071</v>
      </c>
      <c r="K70" t="inlineStr">
        <is>
          <t>Boleto Bancário</t>
        </is>
      </c>
      <c r="L70" t="inlineStr">
        <is>
          <t>Utilidades</t>
        </is>
      </c>
      <c r="M70" t="inlineStr">
        <is>
          <t>Higiene e Limpeza</t>
        </is>
      </c>
      <c r="N70" t="inlineStr">
        <is>
          <t>2245</t>
        </is>
      </c>
      <c r="O70" t="inlineStr">
        <is>
          <t>Documentação Aprovada</t>
        </is>
      </c>
      <c r="P70" t="inlineStr">
        <is>
          <t>Aprovado Diretoria</t>
        </is>
      </c>
      <c r="Q70" t="inlineStr">
        <is>
          <t>Aprovado Caixa</t>
        </is>
      </c>
      <c r="R70" t="inlineStr">
        <is>
          <t>Pago</t>
        </is>
      </c>
      <c r="S70" t="n">
        <v>226</v>
      </c>
      <c r="T70" t="inlineStr">
        <is>
          <t>The Cavern - Kamino</t>
        </is>
      </c>
    </row>
    <row r="71">
      <c r="A71" t="n">
        <v>214710</v>
      </c>
      <c r="B71" t="n">
        <v>176</v>
      </c>
      <c r="C71" t="inlineStr">
        <is>
          <t>The Cavern</t>
        </is>
      </c>
      <c r="D71" t="inlineStr">
        <is>
          <t>LUIS PEDRO SILVA DE JESUS</t>
        </is>
      </c>
      <c r="E71" t="n">
        <v>2548.86</v>
      </c>
      <c r="F71" s="27" t="n">
        <v>46090</v>
      </c>
      <c r="G71" s="27" t="n">
        <v>46090</v>
      </c>
      <c r="H71" s="27" t="n">
        <v>46090</v>
      </c>
      <c r="I71" s="27" t="n">
        <v>46087</v>
      </c>
      <c r="J71" s="27" t="n">
        <v>46087</v>
      </c>
      <c r="K71" t="inlineStr">
        <is>
          <t>Transferência Bancária ou Pix</t>
        </is>
      </c>
      <c r="L71" t="inlineStr">
        <is>
          <t>Mão de Obra - Extra</t>
        </is>
      </c>
      <c r="M71" t="inlineStr">
        <is>
          <t>Mão de Obra Extra</t>
        </is>
      </c>
      <c r="N71" t="inlineStr">
        <is>
          <t>6306032026</t>
        </is>
      </c>
      <c r="O71" t="inlineStr">
        <is>
          <t>Documentação Aprovada</t>
        </is>
      </c>
      <c r="P71" t="inlineStr">
        <is>
          <t>Aprovado Diretoria</t>
        </is>
      </c>
      <c r="Q71" t="inlineStr">
        <is>
          <t>Aprovado Caixa</t>
        </is>
      </c>
      <c r="R71" t="inlineStr">
        <is>
          <t>Pago</t>
        </is>
      </c>
      <c r="S71" t="n">
        <v>226</v>
      </c>
      <c r="T71" t="inlineStr">
        <is>
          <t>The Cavern - Kamino</t>
        </is>
      </c>
    </row>
    <row r="72">
      <c r="A72" t="n">
        <v>214711</v>
      </c>
      <c r="B72" t="n">
        <v>176</v>
      </c>
      <c r="C72" t="inlineStr">
        <is>
          <t>The Cavern</t>
        </is>
      </c>
      <c r="D72" t="inlineStr">
        <is>
          <t>JUSTINO SILVIO DO NASCIMENTO</t>
        </is>
      </c>
      <c r="E72" t="n">
        <v>2774.52</v>
      </c>
      <c r="F72" s="27" t="n">
        <v>46090</v>
      </c>
      <c r="G72" s="27" t="n">
        <v>46090</v>
      </c>
      <c r="H72" s="27" t="n">
        <v>46090</v>
      </c>
      <c r="I72" s="27" t="n">
        <v>46087</v>
      </c>
      <c r="J72" s="27" t="n">
        <v>46087</v>
      </c>
      <c r="K72" t="inlineStr">
        <is>
          <t>Transferência Bancária ou Pix</t>
        </is>
      </c>
      <c r="L72" t="inlineStr">
        <is>
          <t>Mão de Obra - Extra</t>
        </is>
      </c>
      <c r="M72" t="inlineStr">
        <is>
          <t>Mão de Obra Extra</t>
        </is>
      </c>
      <c r="N72" t="inlineStr">
        <is>
          <t>6406032026</t>
        </is>
      </c>
      <c r="O72" t="inlineStr">
        <is>
          <t>Documentação Aprovada</t>
        </is>
      </c>
      <c r="P72" t="inlineStr">
        <is>
          <t>Aprovado Diretoria</t>
        </is>
      </c>
      <c r="Q72" t="inlineStr">
        <is>
          <t>Aprovado Caixa</t>
        </is>
      </c>
      <c r="R72" t="inlineStr">
        <is>
          <t>Pago</t>
        </is>
      </c>
      <c r="S72" t="n">
        <v>226</v>
      </c>
      <c r="T72" t="inlineStr">
        <is>
          <t>The Cavern - Kamino</t>
        </is>
      </c>
    </row>
    <row r="73">
      <c r="A73" t="n">
        <v>214712</v>
      </c>
      <c r="B73" t="n">
        <v>176</v>
      </c>
      <c r="C73" t="inlineStr">
        <is>
          <t>The Cavern</t>
        </is>
      </c>
      <c r="D73" t="inlineStr">
        <is>
          <t>FABIANA DOS SANTOS ALVES</t>
        </is>
      </c>
      <c r="E73" t="n">
        <v>3669.19</v>
      </c>
      <c r="F73" s="27" t="n">
        <v>46090</v>
      </c>
      <c r="G73" s="27" t="n">
        <v>46090</v>
      </c>
      <c r="H73" s="27" t="n">
        <v>46090</v>
      </c>
      <c r="I73" s="27" t="n">
        <v>46087</v>
      </c>
      <c r="J73" s="27" t="n">
        <v>46087</v>
      </c>
      <c r="K73" t="inlineStr">
        <is>
          <t>Transferência Bancária ou Pix</t>
        </is>
      </c>
      <c r="L73" t="inlineStr">
        <is>
          <t>Mão de Obra - Extra</t>
        </is>
      </c>
      <c r="M73" t="inlineStr">
        <is>
          <t>Mão de Obra Extra</t>
        </is>
      </c>
      <c r="N73" t="inlineStr">
        <is>
          <t>6206032026</t>
        </is>
      </c>
      <c r="O73" t="inlineStr">
        <is>
          <t>Documentação Aprovada</t>
        </is>
      </c>
      <c r="P73" t="inlineStr">
        <is>
          <t>Aprovado Diretoria</t>
        </is>
      </c>
      <c r="Q73" t="inlineStr">
        <is>
          <t>Aprovado Caixa</t>
        </is>
      </c>
      <c r="R73" t="inlineStr">
        <is>
          <t>Pago</t>
        </is>
      </c>
      <c r="S73" t="n">
        <v>226</v>
      </c>
      <c r="T73" t="inlineStr">
        <is>
          <t>The Cavern - Kamino</t>
        </is>
      </c>
    </row>
    <row r="74">
      <c r="A74" t="n">
        <v>214999</v>
      </c>
      <c r="B74" t="n">
        <v>176</v>
      </c>
      <c r="C74" t="inlineStr">
        <is>
          <t>The Cavern</t>
        </is>
      </c>
      <c r="D74" t="inlineStr">
        <is>
          <t>AUGUSTO DANTAS FELIX DA SILVA</t>
        </is>
      </c>
      <c r="E74" t="n">
        <v>2548.86</v>
      </c>
      <c r="F74" s="27" t="n">
        <v>46090</v>
      </c>
      <c r="G74" s="27" t="n">
        <v>46090</v>
      </c>
      <c r="H74" s="27" t="n">
        <v>46090</v>
      </c>
      <c r="I74" s="27" t="n">
        <v>46087</v>
      </c>
      <c r="J74" s="27" t="n">
        <v>46087</v>
      </c>
      <c r="K74" t="inlineStr">
        <is>
          <t>Transferência Bancária ou Pix</t>
        </is>
      </c>
      <c r="L74" t="inlineStr">
        <is>
          <t>Mão de Obra - Extra</t>
        </is>
      </c>
      <c r="M74" t="inlineStr">
        <is>
          <t>Mão de Obra Extra</t>
        </is>
      </c>
      <c r="N74" t="inlineStr">
        <is>
          <t>6509032026</t>
        </is>
      </c>
      <c r="O74" t="inlineStr">
        <is>
          <t>Documentação Aprovada</t>
        </is>
      </c>
      <c r="P74" t="inlineStr">
        <is>
          <t>Aprovado Diretoria</t>
        </is>
      </c>
      <c r="Q74" t="inlineStr">
        <is>
          <t>Aprovado Caixa</t>
        </is>
      </c>
      <c r="R74" t="inlineStr">
        <is>
          <t>Pago</t>
        </is>
      </c>
      <c r="S74" t="n">
        <v>226</v>
      </c>
      <c r="T74" t="inlineStr">
        <is>
          <t>The Cavern - Kamino</t>
        </is>
      </c>
    </row>
    <row r="75">
      <c r="A75" t="n">
        <v>215000</v>
      </c>
      <c r="B75" t="n">
        <v>176</v>
      </c>
      <c r="C75" t="inlineStr">
        <is>
          <t>The Cavern</t>
        </is>
      </c>
      <c r="D75" t="inlineStr">
        <is>
          <t>HENRIQUE DE LIMA RAMOS</t>
        </is>
      </c>
      <c r="E75" t="n">
        <v>2548.86</v>
      </c>
      <c r="F75" s="27" t="n">
        <v>46090</v>
      </c>
      <c r="G75" s="27" t="n">
        <v>46090</v>
      </c>
      <c r="H75" s="27" t="n">
        <v>46090</v>
      </c>
      <c r="I75" s="27" t="n">
        <v>46087</v>
      </c>
      <c r="J75" s="27" t="n">
        <v>46087</v>
      </c>
      <c r="K75" t="inlineStr">
        <is>
          <t>Transferência Bancária ou Pix</t>
        </is>
      </c>
      <c r="L75" t="inlineStr">
        <is>
          <t>Mão de Obra - Extra</t>
        </is>
      </c>
      <c r="M75" t="inlineStr">
        <is>
          <t>Mão de Obra Extra</t>
        </is>
      </c>
      <c r="N75" t="inlineStr">
        <is>
          <t>6409032026</t>
        </is>
      </c>
      <c r="O75" t="inlineStr">
        <is>
          <t>Documentação Aprovada</t>
        </is>
      </c>
      <c r="P75" t="inlineStr">
        <is>
          <t>Aprovado Diretoria</t>
        </is>
      </c>
      <c r="Q75" t="inlineStr">
        <is>
          <t>Aprovado Caixa</t>
        </is>
      </c>
      <c r="R75" t="inlineStr">
        <is>
          <t>Pago</t>
        </is>
      </c>
      <c r="S75" t="n">
        <v>226</v>
      </c>
      <c r="T75" t="inlineStr">
        <is>
          <t>The Cavern - Kamino</t>
        </is>
      </c>
    </row>
    <row r="76">
      <c r="A76" t="n">
        <v>213427</v>
      </c>
      <c r="B76" t="n">
        <v>176</v>
      </c>
      <c r="C76" t="inlineStr">
        <is>
          <t>The Cavern</t>
        </is>
      </c>
      <c r="D76" t="inlineStr">
        <is>
          <t>VIRTUAL MARKET SERVICOS ELETRONICOS LTDA</t>
        </is>
      </c>
      <c r="E76" t="n">
        <v>329.9</v>
      </c>
      <c r="F76" s="27" t="n">
        <v>46090</v>
      </c>
      <c r="G76" s="27" t="n">
        <v>46090</v>
      </c>
      <c r="H76" s="27" t="n">
        <v>46090</v>
      </c>
      <c r="I76" s="27" t="n">
        <v>46085</v>
      </c>
      <c r="J76" s="27" t="n">
        <v>46085</v>
      </c>
      <c r="K76" t="inlineStr">
        <is>
          <t>Boleto Bancário</t>
        </is>
      </c>
      <c r="L76" t="inlineStr">
        <is>
          <t>Informática e TI</t>
        </is>
      </c>
      <c r="M76" t="inlineStr">
        <is>
          <t>Sistemas Gerais - Operacionais</t>
        </is>
      </c>
      <c r="N76" t="inlineStr">
        <is>
          <t>4509009032026</t>
        </is>
      </c>
      <c r="O76" t="inlineStr">
        <is>
          <t>Documentação Aprovada</t>
        </is>
      </c>
      <c r="P76" t="inlineStr">
        <is>
          <t>Aprovado Diretoria</t>
        </is>
      </c>
      <c r="Q76" t="inlineStr">
        <is>
          <t>Aprovado Caixa</t>
        </is>
      </c>
      <c r="R76" t="inlineStr">
        <is>
          <t>Pago</t>
        </is>
      </c>
      <c r="S76" t="n">
        <v>226</v>
      </c>
      <c r="T76" t="inlineStr">
        <is>
          <t>The Cavern - Kamino</t>
        </is>
      </c>
    </row>
    <row r="77">
      <c r="A77" t="n">
        <v>214650</v>
      </c>
      <c r="B77" t="n">
        <v>176</v>
      </c>
      <c r="C77" t="inlineStr">
        <is>
          <t>The Cavern</t>
        </is>
      </c>
      <c r="D77" t="inlineStr">
        <is>
          <t>ALINE CRISTINA DA SILVA</t>
        </is>
      </c>
      <c r="E77" t="n">
        <v>2092.23</v>
      </c>
      <c r="F77" s="27" t="n">
        <v>46087</v>
      </c>
      <c r="G77" s="27" t="n">
        <v>46087</v>
      </c>
      <c r="H77" s="27" t="n">
        <v>46087</v>
      </c>
      <c r="I77" s="27" t="n">
        <v>46081</v>
      </c>
      <c r="J77" s="27" t="n"/>
      <c r="L77" t="inlineStr">
        <is>
          <t>Mão de Obra - Salários</t>
        </is>
      </c>
      <c r="M77" t="inlineStr">
        <is>
          <t>MDO CLT - Salário</t>
        </is>
      </c>
      <c r="O77" t="inlineStr">
        <is>
          <t>Documentação Aprovada</t>
        </is>
      </c>
      <c r="P77" t="inlineStr">
        <is>
          <t>Aprovado Diretoria</t>
        </is>
      </c>
      <c r="Q77" t="inlineStr">
        <is>
          <t>Aprovado Caixa</t>
        </is>
      </c>
      <c r="R77" t="inlineStr">
        <is>
          <t>Pago</t>
        </is>
      </c>
      <c r="S77" t="n">
        <v>226</v>
      </c>
      <c r="T77" t="inlineStr">
        <is>
          <t>The Cavern - Kamino</t>
        </is>
      </c>
    </row>
    <row r="78">
      <c r="A78" t="n">
        <v>214641</v>
      </c>
      <c r="B78" t="n">
        <v>176</v>
      </c>
      <c r="C78" t="inlineStr">
        <is>
          <t>The Cavern</t>
        </is>
      </c>
      <c r="D78" t="inlineStr">
        <is>
          <t>ISMAEL SANTOS SILVA</t>
        </is>
      </c>
      <c r="E78" t="n">
        <v>2105.21</v>
      </c>
      <c r="F78" s="27" t="n">
        <v>46087</v>
      </c>
      <c r="G78" s="27" t="n">
        <v>46087</v>
      </c>
      <c r="H78" s="27" t="n">
        <v>46087</v>
      </c>
      <c r="I78" s="27" t="n">
        <v>46081</v>
      </c>
      <c r="J78" s="27" t="n"/>
      <c r="L78" t="inlineStr">
        <is>
          <t>Mão de Obra - Salários</t>
        </is>
      </c>
      <c r="M78" t="inlineStr">
        <is>
          <t>MDO CLT - Salário</t>
        </is>
      </c>
      <c r="O78" t="inlineStr">
        <is>
          <t>Documentação Aprovada</t>
        </is>
      </c>
      <c r="P78" t="inlineStr">
        <is>
          <t>Aprovado Diretoria</t>
        </is>
      </c>
      <c r="Q78" t="inlineStr">
        <is>
          <t>Aprovado Caixa</t>
        </is>
      </c>
      <c r="R78" t="inlineStr">
        <is>
          <t>Pago</t>
        </is>
      </c>
      <c r="S78" t="n">
        <v>226</v>
      </c>
      <c r="T78" t="inlineStr">
        <is>
          <t>The Cavern - Kamino</t>
        </is>
      </c>
    </row>
    <row r="79">
      <c r="A79" t="n">
        <v>214642</v>
      </c>
      <c r="B79" t="n">
        <v>176</v>
      </c>
      <c r="C79" t="inlineStr">
        <is>
          <t>The Cavern</t>
        </is>
      </c>
      <c r="D79" t="inlineStr">
        <is>
          <t>VAGNER BRANDAO</t>
        </is>
      </c>
      <c r="E79" t="n">
        <v>1800.66</v>
      </c>
      <c r="F79" s="27" t="n">
        <v>46087</v>
      </c>
      <c r="G79" s="27" t="n">
        <v>46087</v>
      </c>
      <c r="H79" s="27" t="n">
        <v>46087</v>
      </c>
      <c r="I79" s="27" t="n">
        <v>46081</v>
      </c>
      <c r="J79" s="27" t="n"/>
      <c r="L79" t="inlineStr">
        <is>
          <t>Mão de Obra - Salários</t>
        </is>
      </c>
      <c r="M79" t="inlineStr">
        <is>
          <t>MDO CLT - Salário</t>
        </is>
      </c>
      <c r="O79" t="inlineStr">
        <is>
          <t>Documentação Aprovada</t>
        </is>
      </c>
      <c r="P79" t="inlineStr">
        <is>
          <t>Aprovado Diretoria</t>
        </is>
      </c>
      <c r="Q79" t="inlineStr">
        <is>
          <t>Aprovado Caixa</t>
        </is>
      </c>
      <c r="R79" t="inlineStr">
        <is>
          <t>Pago</t>
        </is>
      </c>
      <c r="S79" t="n">
        <v>226</v>
      </c>
      <c r="T79" t="inlineStr">
        <is>
          <t>The Cavern - Kamino</t>
        </is>
      </c>
    </row>
    <row r="80">
      <c r="A80" t="n">
        <v>214643</v>
      </c>
      <c r="B80" t="n">
        <v>176</v>
      </c>
      <c r="C80" t="inlineStr">
        <is>
          <t>The Cavern</t>
        </is>
      </c>
      <c r="D80" t="inlineStr">
        <is>
          <t xml:space="preserve">CARLOS ALBERTO FERREIRA PIMENTEL </t>
        </is>
      </c>
      <c r="E80" t="n">
        <v>2199.59</v>
      </c>
      <c r="F80" s="27" t="n">
        <v>46087</v>
      </c>
      <c r="G80" s="27" t="n">
        <v>46087</v>
      </c>
      <c r="H80" s="27" t="n">
        <v>46087</v>
      </c>
      <c r="I80" s="27" t="n">
        <v>46081</v>
      </c>
      <c r="J80" s="27" t="n"/>
      <c r="L80" t="inlineStr">
        <is>
          <t>Mão de Obra - Salários</t>
        </is>
      </c>
      <c r="M80" t="inlineStr">
        <is>
          <t>MDO CLT - Salário</t>
        </is>
      </c>
      <c r="O80" t="inlineStr">
        <is>
          <t>Documentação Aprovada</t>
        </is>
      </c>
      <c r="P80" t="inlineStr">
        <is>
          <t>Aprovado Diretoria</t>
        </is>
      </c>
      <c r="Q80" t="inlineStr">
        <is>
          <t>Aprovado Caixa</t>
        </is>
      </c>
      <c r="R80" t="inlineStr">
        <is>
          <t>Pago</t>
        </is>
      </c>
      <c r="S80" t="n">
        <v>226</v>
      </c>
      <c r="T80" t="inlineStr">
        <is>
          <t>The Cavern - Kamino</t>
        </is>
      </c>
    </row>
    <row r="81">
      <c r="A81" t="n">
        <v>214644</v>
      </c>
      <c r="B81" t="n">
        <v>176</v>
      </c>
      <c r="C81" t="inlineStr">
        <is>
          <t>The Cavern</t>
        </is>
      </c>
      <c r="D81" t="inlineStr">
        <is>
          <t>EMILY RENATA MENDONCA VIEIRA</t>
        </is>
      </c>
      <c r="E81" t="n">
        <v>1277.87</v>
      </c>
      <c r="F81" s="27" t="n">
        <v>46087</v>
      </c>
      <c r="G81" s="27" t="n">
        <v>46087</v>
      </c>
      <c r="H81" s="27" t="n">
        <v>46087</v>
      </c>
      <c r="I81" s="27" t="n">
        <v>46081</v>
      </c>
      <c r="J81" s="27" t="n"/>
      <c r="L81" t="inlineStr">
        <is>
          <t>Mão de Obra - Salários</t>
        </is>
      </c>
      <c r="M81" t="inlineStr">
        <is>
          <t>MDO CLT - Salário</t>
        </is>
      </c>
      <c r="O81" t="inlineStr">
        <is>
          <t>Documentação Aprovada</t>
        </is>
      </c>
      <c r="P81" t="inlineStr">
        <is>
          <t>Aprovado Diretoria</t>
        </is>
      </c>
      <c r="Q81" t="inlineStr">
        <is>
          <t>Aprovado Caixa</t>
        </is>
      </c>
      <c r="R81" t="inlineStr">
        <is>
          <t>Pago</t>
        </is>
      </c>
      <c r="S81" t="n">
        <v>226</v>
      </c>
      <c r="T81" t="inlineStr">
        <is>
          <t>The Cavern - Kamino</t>
        </is>
      </c>
    </row>
    <row r="82">
      <c r="A82" t="n">
        <v>214645</v>
      </c>
      <c r="B82" t="n">
        <v>176</v>
      </c>
      <c r="C82" t="inlineStr">
        <is>
          <t>The Cavern</t>
        </is>
      </c>
      <c r="D82" t="inlineStr">
        <is>
          <t>MAIKI SOUZA CHAVES</t>
        </is>
      </c>
      <c r="E82" t="n">
        <v>2969.58</v>
      </c>
      <c r="F82" s="27" t="n">
        <v>46087</v>
      </c>
      <c r="G82" s="27" t="n">
        <v>46087</v>
      </c>
      <c r="H82" s="27" t="n">
        <v>46087</v>
      </c>
      <c r="I82" s="27" t="n">
        <v>46081</v>
      </c>
      <c r="J82" s="27" t="n"/>
      <c r="L82" t="inlineStr">
        <is>
          <t>Mão de Obra - Salários</t>
        </is>
      </c>
      <c r="M82" t="inlineStr">
        <is>
          <t>MDO CLT - Salário</t>
        </is>
      </c>
      <c r="O82" t="inlineStr">
        <is>
          <t>Documentação Aprovada</t>
        </is>
      </c>
      <c r="P82" t="inlineStr">
        <is>
          <t>Aprovado Diretoria</t>
        </is>
      </c>
      <c r="Q82" t="inlineStr">
        <is>
          <t>Aprovado Caixa</t>
        </is>
      </c>
      <c r="R82" t="inlineStr">
        <is>
          <t>Pago</t>
        </is>
      </c>
      <c r="S82" t="n">
        <v>226</v>
      </c>
      <c r="T82" t="inlineStr">
        <is>
          <t>The Cavern - Kamino</t>
        </is>
      </c>
    </row>
    <row r="83">
      <c r="A83" t="n">
        <v>214646</v>
      </c>
      <c r="B83" t="n">
        <v>176</v>
      </c>
      <c r="C83" t="inlineStr">
        <is>
          <t>The Cavern</t>
        </is>
      </c>
      <c r="D83" t="inlineStr">
        <is>
          <t xml:space="preserve">SABRINA MOURA DE SOUSA </t>
        </is>
      </c>
      <c r="E83" t="n">
        <v>2842.01</v>
      </c>
      <c r="F83" s="27" t="n">
        <v>46087</v>
      </c>
      <c r="G83" s="27" t="n">
        <v>46087</v>
      </c>
      <c r="H83" s="27" t="n">
        <v>46087</v>
      </c>
      <c r="I83" s="27" t="n">
        <v>46081</v>
      </c>
      <c r="J83" s="27" t="n"/>
      <c r="L83" t="inlineStr">
        <is>
          <t>Mão de Obra - Salários</t>
        </is>
      </c>
      <c r="M83" t="inlineStr">
        <is>
          <t>MDO CLT - Salário</t>
        </is>
      </c>
      <c r="O83" t="inlineStr">
        <is>
          <t>Documentação Aprovada</t>
        </is>
      </c>
      <c r="P83" t="inlineStr">
        <is>
          <t>Aprovado Diretoria</t>
        </is>
      </c>
      <c r="Q83" t="inlineStr">
        <is>
          <t>Aprovado Caixa</t>
        </is>
      </c>
      <c r="R83" t="inlineStr">
        <is>
          <t>Pago</t>
        </is>
      </c>
      <c r="S83" t="n">
        <v>226</v>
      </c>
      <c r="T83" t="inlineStr">
        <is>
          <t>The Cavern - Kamino</t>
        </is>
      </c>
    </row>
    <row r="84">
      <c r="A84" t="n">
        <v>214647</v>
      </c>
      <c r="B84" t="n">
        <v>176</v>
      </c>
      <c r="C84" t="inlineStr">
        <is>
          <t>The Cavern</t>
        </is>
      </c>
      <c r="D84" t="inlineStr">
        <is>
          <t>NICOLE SOUZA VIEIRA</t>
        </is>
      </c>
      <c r="E84" t="n">
        <v>2725.23</v>
      </c>
      <c r="F84" s="27" t="n">
        <v>46087</v>
      </c>
      <c r="G84" s="27" t="n">
        <v>46087</v>
      </c>
      <c r="H84" s="27" t="n">
        <v>46087</v>
      </c>
      <c r="I84" s="27" t="n">
        <v>46081</v>
      </c>
      <c r="J84" s="27" t="n"/>
      <c r="L84" t="inlineStr">
        <is>
          <t>Mão de Obra - Salários</t>
        </is>
      </c>
      <c r="M84" t="inlineStr">
        <is>
          <t>MDO CLT - Salário</t>
        </is>
      </c>
      <c r="O84" t="inlineStr">
        <is>
          <t>Documentação Aprovada</t>
        </is>
      </c>
      <c r="P84" t="inlineStr">
        <is>
          <t>Aprovado Diretoria</t>
        </is>
      </c>
      <c r="Q84" t="inlineStr">
        <is>
          <t>Aprovado Caixa</t>
        </is>
      </c>
      <c r="R84" t="inlineStr">
        <is>
          <t>Pago</t>
        </is>
      </c>
      <c r="S84" t="n">
        <v>226</v>
      </c>
      <c r="T84" t="inlineStr">
        <is>
          <t>The Cavern - Kamino</t>
        </is>
      </c>
    </row>
    <row r="85">
      <c r="A85" t="n">
        <v>214648</v>
      </c>
      <c r="B85" t="n">
        <v>176</v>
      </c>
      <c r="C85" t="inlineStr">
        <is>
          <t>The Cavern</t>
        </is>
      </c>
      <c r="D85" t="inlineStr">
        <is>
          <t>WILKIAS HENRIQUE SANTOS DE SOUSA</t>
        </is>
      </c>
      <c r="E85" t="n">
        <v>2348.14</v>
      </c>
      <c r="F85" s="27" t="n">
        <v>46087</v>
      </c>
      <c r="G85" s="27" t="n">
        <v>46087</v>
      </c>
      <c r="H85" s="27" t="n">
        <v>46087</v>
      </c>
      <c r="I85" s="27" t="n">
        <v>46081</v>
      </c>
      <c r="J85" s="27" t="n"/>
      <c r="L85" t="inlineStr">
        <is>
          <t>Mão de Obra - Salários</t>
        </is>
      </c>
      <c r="M85" t="inlineStr">
        <is>
          <t>MDO CLT - Salário</t>
        </is>
      </c>
      <c r="O85" t="inlineStr">
        <is>
          <t>Documentação Aprovada</t>
        </is>
      </c>
      <c r="P85" t="inlineStr">
        <is>
          <t>Aprovado Diretoria</t>
        </is>
      </c>
      <c r="Q85" t="inlineStr">
        <is>
          <t>Aprovado Caixa</t>
        </is>
      </c>
      <c r="R85" t="inlineStr">
        <is>
          <t>Pago</t>
        </is>
      </c>
      <c r="S85" t="n">
        <v>226</v>
      </c>
      <c r="T85" t="inlineStr">
        <is>
          <t>The Cavern - Kamino</t>
        </is>
      </c>
    </row>
    <row r="86">
      <c r="A86" t="n">
        <v>214649</v>
      </c>
      <c r="B86" t="n">
        <v>176</v>
      </c>
      <c r="C86" t="inlineStr">
        <is>
          <t>The Cavern</t>
        </is>
      </c>
      <c r="D86" t="inlineStr">
        <is>
          <t>MARCO OCTAVIO BARBOSA DA SILVA</t>
        </is>
      </c>
      <c r="E86" t="n">
        <v>2366.72</v>
      </c>
      <c r="F86" s="27" t="n">
        <v>46087</v>
      </c>
      <c r="G86" s="27" t="n">
        <v>46087</v>
      </c>
      <c r="H86" s="27" t="n">
        <v>46087</v>
      </c>
      <c r="I86" s="27" t="n">
        <v>46081</v>
      </c>
      <c r="J86" s="27" t="n"/>
      <c r="L86" t="inlineStr">
        <is>
          <t>Mão de Obra - Salários</t>
        </is>
      </c>
      <c r="M86" t="inlineStr">
        <is>
          <t>MDO CLT - Salário</t>
        </is>
      </c>
      <c r="O86" t="inlineStr">
        <is>
          <t>Documentação Aprovada</t>
        </is>
      </c>
      <c r="P86" t="inlineStr">
        <is>
          <t>Aprovado Diretoria</t>
        </is>
      </c>
      <c r="Q86" t="inlineStr">
        <is>
          <t>Aprovado Caixa</t>
        </is>
      </c>
      <c r="R86" t="inlineStr">
        <is>
          <t>Pago</t>
        </is>
      </c>
      <c r="S86" t="n">
        <v>226</v>
      </c>
      <c r="T86" t="inlineStr">
        <is>
          <t>The Cavern - Kamino</t>
        </is>
      </c>
    </row>
    <row r="87">
      <c r="A87" t="n">
        <v>215860</v>
      </c>
      <c r="B87" t="n">
        <v>176</v>
      </c>
      <c r="C87" t="inlineStr">
        <is>
          <t>The Cavern</t>
        </is>
      </c>
      <c r="D87" t="inlineStr">
        <is>
          <t xml:space="preserve">WEW IMPORTACAO E EXPORTACAO LTDA </t>
        </is>
      </c>
      <c r="E87" t="n">
        <v>990</v>
      </c>
      <c r="F87" s="27" t="n">
        <v>46092</v>
      </c>
      <c r="G87" s="27" t="n">
        <v>46092</v>
      </c>
      <c r="H87" s="27" t="n">
        <v>46087</v>
      </c>
      <c r="I87" s="27" t="n">
        <v>46090</v>
      </c>
      <c r="J87" s="27" t="n">
        <v>46092</v>
      </c>
      <c r="K87" t="inlineStr">
        <is>
          <t>Transferência Bancária ou Pix</t>
        </is>
      </c>
      <c r="L87" t="inlineStr">
        <is>
          <t>Custo Mercadoria Vendida</t>
        </is>
      </c>
      <c r="M87" t="inlineStr">
        <is>
          <t>Insumos - Alimentos</t>
        </is>
      </c>
      <c r="N87" t="inlineStr">
        <is>
          <t>498770</t>
        </is>
      </c>
      <c r="O87" t="inlineStr">
        <is>
          <t>Análise Pendente</t>
        </is>
      </c>
      <c r="P87" t="inlineStr">
        <is>
          <t>Análise Pendente</t>
        </is>
      </c>
      <c r="Q87" t="inlineStr">
        <is>
          <t>Análise Pendente</t>
        </is>
      </c>
      <c r="R87" t="inlineStr">
        <is>
          <t>Pago</t>
        </is>
      </c>
      <c r="S87" t="n">
        <v>226</v>
      </c>
      <c r="T87" t="inlineStr">
        <is>
          <t>The Cavern - Kamino</t>
        </is>
      </c>
    </row>
    <row r="88">
      <c r="A88" t="n">
        <v>206316</v>
      </c>
      <c r="B88" t="n">
        <v>176</v>
      </c>
      <c r="C88" t="inlineStr">
        <is>
          <t>The Cavern</t>
        </is>
      </c>
      <c r="D88" t="inlineStr">
        <is>
          <t>CECILIA TSUYACO ARAKI SILVA LTDA</t>
        </is>
      </c>
      <c r="E88" t="n">
        <v>461.35</v>
      </c>
      <c r="F88" s="27" t="n">
        <v>46087</v>
      </c>
      <c r="G88" s="27" t="n">
        <v>46087</v>
      </c>
      <c r="H88" s="27" t="n">
        <v>46087</v>
      </c>
      <c r="I88" s="27" t="n">
        <v>46059</v>
      </c>
      <c r="J88" s="27" t="n">
        <v>46064</v>
      </c>
      <c r="K88" t="inlineStr">
        <is>
          <t>Boleto Bancário</t>
        </is>
      </c>
      <c r="L88" t="inlineStr">
        <is>
          <t>Custo Mercadoria Vendida</t>
        </is>
      </c>
      <c r="M88" t="inlineStr">
        <is>
          <t>Insumos - Alimentos</t>
        </is>
      </c>
      <c r="N88" t="inlineStr">
        <is>
          <t>386443</t>
        </is>
      </c>
      <c r="O88" t="inlineStr">
        <is>
          <t>Documentação Aprovada</t>
        </is>
      </c>
      <c r="P88" t="inlineStr">
        <is>
          <t>Aprovado Diretoria</t>
        </is>
      </c>
      <c r="Q88" t="inlineStr">
        <is>
          <t>Aprovado Caixa</t>
        </is>
      </c>
      <c r="R88" t="inlineStr">
        <is>
          <t>Pago</t>
        </is>
      </c>
      <c r="S88" t="n">
        <v>226</v>
      </c>
      <c r="T88" t="inlineStr">
        <is>
          <t>The Cavern - Kamino</t>
        </is>
      </c>
    </row>
    <row r="89">
      <c r="A89" t="n">
        <v>210740</v>
      </c>
      <c r="B89" t="n">
        <v>176</v>
      </c>
      <c r="C89" t="inlineStr">
        <is>
          <t>The Cavern</t>
        </is>
      </c>
      <c r="D89" t="inlineStr">
        <is>
          <t>SPAL INDUSTRIA BRASILEIRA DE BEBIDAS S A</t>
        </is>
      </c>
      <c r="E89" t="n">
        <v>584.8200000000001</v>
      </c>
      <c r="F89" s="27" t="n">
        <v>46087</v>
      </c>
      <c r="G89" s="27" t="n">
        <v>46087</v>
      </c>
      <c r="H89" s="27" t="n">
        <v>46087</v>
      </c>
      <c r="I89" s="27" t="n">
        <v>46076</v>
      </c>
      <c r="J89" s="27" t="n">
        <v>46077</v>
      </c>
      <c r="K89" t="inlineStr">
        <is>
          <t>Boleto Bancário</t>
        </is>
      </c>
      <c r="L89" t="inlineStr">
        <is>
          <t>Custo Mercadoria Vendida</t>
        </is>
      </c>
      <c r="M89" t="inlineStr">
        <is>
          <t>Insumos - Bebidas</t>
        </is>
      </c>
      <c r="N89" t="inlineStr">
        <is>
          <t>16454441</t>
        </is>
      </c>
      <c r="O89" t="inlineStr">
        <is>
          <t>Documentação Aprovada</t>
        </is>
      </c>
      <c r="P89" t="inlineStr">
        <is>
          <t>Aprovado Diretoria</t>
        </is>
      </c>
      <c r="Q89" t="inlineStr">
        <is>
          <t>Aprovado Caixa</t>
        </is>
      </c>
      <c r="R89" t="inlineStr">
        <is>
          <t>Pago</t>
        </is>
      </c>
      <c r="S89" t="n">
        <v>226</v>
      </c>
      <c r="T89" t="inlineStr">
        <is>
          <t>The Cavern - Kamino</t>
        </is>
      </c>
    </row>
    <row r="90">
      <c r="A90" t="n">
        <v>211140</v>
      </c>
      <c r="B90" t="n">
        <v>176</v>
      </c>
      <c r="C90" t="inlineStr">
        <is>
          <t>The Cavern</t>
        </is>
      </c>
      <c r="D90" t="inlineStr">
        <is>
          <t>MARCO OCTAVIO BARBOSA DA SILVA</t>
        </is>
      </c>
      <c r="E90" t="n">
        <v>990.9</v>
      </c>
      <c r="F90" s="27" t="n">
        <v>46087</v>
      </c>
      <c r="G90" s="27" t="n">
        <v>46087</v>
      </c>
      <c r="H90" s="27" t="n">
        <v>46087</v>
      </c>
      <c r="I90" s="27" t="n">
        <v>46078</v>
      </c>
      <c r="J90" s="27" t="n">
        <v>46078</v>
      </c>
      <c r="K90" t="inlineStr">
        <is>
          <t>Transferência Bancária ou Pix</t>
        </is>
      </c>
      <c r="L90" t="inlineStr">
        <is>
          <t>Mão de Obra - Extra</t>
        </is>
      </c>
      <c r="M90" t="inlineStr">
        <is>
          <t>Mão de Obra Extra</t>
        </is>
      </c>
      <c r="N90" t="inlineStr">
        <is>
          <t>572026</t>
        </is>
      </c>
      <c r="O90" t="inlineStr">
        <is>
          <t>Documentação Aprovada</t>
        </is>
      </c>
      <c r="P90" t="inlineStr">
        <is>
          <t>Aprovado Diretoria</t>
        </is>
      </c>
      <c r="Q90" t="inlineStr">
        <is>
          <t>Aprovado Caixa</t>
        </is>
      </c>
      <c r="R90" t="inlineStr">
        <is>
          <t>Pago</t>
        </is>
      </c>
      <c r="S90" t="n">
        <v>226</v>
      </c>
      <c r="T90" t="inlineStr">
        <is>
          <t>The Cavern - Kamino</t>
        </is>
      </c>
    </row>
    <row r="91">
      <c r="A91" t="n">
        <v>211143</v>
      </c>
      <c r="B91" t="n">
        <v>176</v>
      </c>
      <c r="C91" t="inlineStr">
        <is>
          <t>The Cavern</t>
        </is>
      </c>
      <c r="D91" t="inlineStr">
        <is>
          <t>NICOLE SOUZA VIEIRA</t>
        </is>
      </c>
      <c r="E91" t="n">
        <v>495.45</v>
      </c>
      <c r="F91" s="27" t="n">
        <v>46087</v>
      </c>
      <c r="G91" s="27" t="n">
        <v>46087</v>
      </c>
      <c r="H91" s="27" t="n">
        <v>46087</v>
      </c>
      <c r="I91" s="27" t="n">
        <v>46078</v>
      </c>
      <c r="J91" s="27" t="n">
        <v>46078</v>
      </c>
      <c r="K91" t="inlineStr">
        <is>
          <t>Transferência Bancária ou Pix</t>
        </is>
      </c>
      <c r="L91" t="inlineStr">
        <is>
          <t>Mão de Obra - Extra</t>
        </is>
      </c>
      <c r="M91" t="inlineStr">
        <is>
          <t>Mão de Obra Extra</t>
        </is>
      </c>
      <c r="N91" t="inlineStr">
        <is>
          <t>582026</t>
        </is>
      </c>
      <c r="O91" t="inlineStr">
        <is>
          <t>Documentação Aprovada</t>
        </is>
      </c>
      <c r="P91" t="inlineStr">
        <is>
          <t>Aprovado Diretoria</t>
        </is>
      </c>
      <c r="Q91" t="inlineStr">
        <is>
          <t>Aprovado Caixa</t>
        </is>
      </c>
      <c r="R91" t="inlineStr">
        <is>
          <t>Pago</t>
        </is>
      </c>
      <c r="S91" t="n">
        <v>226</v>
      </c>
      <c r="T91" t="inlineStr">
        <is>
          <t>The Cavern - Kamino</t>
        </is>
      </c>
    </row>
    <row r="92">
      <c r="A92" t="n">
        <v>211130</v>
      </c>
      <c r="B92" t="n">
        <v>176</v>
      </c>
      <c r="C92" t="inlineStr">
        <is>
          <t>The Cavern</t>
        </is>
      </c>
      <c r="D92" t="inlineStr">
        <is>
          <t>MAIKI SOUZA CHAVES</t>
        </is>
      </c>
      <c r="E92" t="n">
        <v>198.18</v>
      </c>
      <c r="F92" s="27" t="n">
        <v>46087</v>
      </c>
      <c r="G92" s="27" t="n">
        <v>46087</v>
      </c>
      <c r="H92" s="27" t="n">
        <v>46087</v>
      </c>
      <c r="I92" s="27" t="n">
        <v>46078</v>
      </c>
      <c r="J92" s="27" t="n">
        <v>46078</v>
      </c>
      <c r="K92" t="inlineStr">
        <is>
          <t>Transferência Bancária ou Pix</t>
        </is>
      </c>
      <c r="L92" t="inlineStr">
        <is>
          <t>Mão de Obra - Extra</t>
        </is>
      </c>
      <c r="M92" t="inlineStr">
        <is>
          <t>Mão de Obra Extra</t>
        </is>
      </c>
      <c r="N92" t="inlineStr">
        <is>
          <t>562026</t>
        </is>
      </c>
      <c r="O92" t="inlineStr">
        <is>
          <t>Documentação Aprovada</t>
        </is>
      </c>
      <c r="P92" t="inlineStr">
        <is>
          <t>Aprovado Diretoria</t>
        </is>
      </c>
      <c r="Q92" t="inlineStr">
        <is>
          <t>Aprovado Caixa</t>
        </is>
      </c>
      <c r="R92" t="inlineStr">
        <is>
          <t>Pago</t>
        </is>
      </c>
      <c r="S92" t="n">
        <v>226</v>
      </c>
      <c r="T92" t="inlineStr">
        <is>
          <t>The Cavern - Kamino</t>
        </is>
      </c>
    </row>
    <row r="93">
      <c r="A93" t="n">
        <v>211154</v>
      </c>
      <c r="B93" t="n">
        <v>176</v>
      </c>
      <c r="C93" t="inlineStr">
        <is>
          <t>The Cavern</t>
        </is>
      </c>
      <c r="D93" t="inlineStr">
        <is>
          <t xml:space="preserve">SABRINA MOURA DE SOUSA </t>
        </is>
      </c>
      <c r="E93" t="n">
        <v>198.18</v>
      </c>
      <c r="F93" s="27" t="n">
        <v>46087</v>
      </c>
      <c r="G93" s="27" t="n">
        <v>46087</v>
      </c>
      <c r="H93" s="27" t="n">
        <v>46087</v>
      </c>
      <c r="I93" s="27" t="n">
        <v>46078</v>
      </c>
      <c r="J93" s="27" t="n">
        <v>46078</v>
      </c>
      <c r="K93" t="inlineStr">
        <is>
          <t>Transferência Bancária ou Pix</t>
        </is>
      </c>
      <c r="L93" t="inlineStr">
        <is>
          <t>Mão de Obra - Extra</t>
        </is>
      </c>
      <c r="M93" t="inlineStr">
        <is>
          <t>Mão de Obra Extra</t>
        </is>
      </c>
      <c r="N93" t="inlineStr">
        <is>
          <t>592026</t>
        </is>
      </c>
      <c r="O93" t="inlineStr">
        <is>
          <t>Documentação Aprovada</t>
        </is>
      </c>
      <c r="P93" t="inlineStr">
        <is>
          <t>Aprovado Diretoria</t>
        </is>
      </c>
      <c r="Q93" t="inlineStr">
        <is>
          <t>Aprovado Caixa</t>
        </is>
      </c>
      <c r="R93" t="inlineStr">
        <is>
          <t>Pago</t>
        </is>
      </c>
      <c r="S93" t="n">
        <v>226</v>
      </c>
      <c r="T93" t="inlineStr">
        <is>
          <t>The Cavern - Kamino</t>
        </is>
      </c>
    </row>
    <row r="94">
      <c r="A94" t="n">
        <v>211189</v>
      </c>
      <c r="B94" t="n">
        <v>176</v>
      </c>
      <c r="C94" t="inlineStr">
        <is>
          <t>The Cavern</t>
        </is>
      </c>
      <c r="D94" t="inlineStr">
        <is>
          <t>WILKIAS HENRIQUE SANTOS DE SOUSA</t>
        </is>
      </c>
      <c r="E94" t="n">
        <v>990.9</v>
      </c>
      <c r="F94" s="27" t="n">
        <v>46087</v>
      </c>
      <c r="G94" s="27" t="n">
        <v>46087</v>
      </c>
      <c r="H94" s="27" t="n">
        <v>46087</v>
      </c>
      <c r="I94" s="27" t="n">
        <v>46078</v>
      </c>
      <c r="J94" s="27" t="n">
        <v>46078</v>
      </c>
      <c r="K94" t="inlineStr">
        <is>
          <t>Transferência Bancária ou Pix</t>
        </is>
      </c>
      <c r="L94" t="inlineStr">
        <is>
          <t>Mão de Obra - Extra</t>
        </is>
      </c>
      <c r="M94" t="inlineStr">
        <is>
          <t>Mão de Obra Extra</t>
        </is>
      </c>
      <c r="N94" t="inlineStr">
        <is>
          <t>602026</t>
        </is>
      </c>
      <c r="O94" t="inlineStr">
        <is>
          <t>Documentação Aprovada</t>
        </is>
      </c>
      <c r="P94" t="inlineStr">
        <is>
          <t>Aprovado Diretoria</t>
        </is>
      </c>
      <c r="Q94" t="inlineStr">
        <is>
          <t>Aprovado Caixa</t>
        </is>
      </c>
      <c r="R94" t="inlineStr">
        <is>
          <t>Pago</t>
        </is>
      </c>
      <c r="S94" t="n">
        <v>226</v>
      </c>
      <c r="T94" t="inlineStr">
        <is>
          <t>The Cavern - Kamino</t>
        </is>
      </c>
    </row>
    <row r="95">
      <c r="A95" t="n">
        <v>207805</v>
      </c>
      <c r="B95" t="n">
        <v>176</v>
      </c>
      <c r="C95" t="inlineStr">
        <is>
          <t>The Cavern</t>
        </is>
      </c>
      <c r="D95" t="inlineStr">
        <is>
          <t>EMPORIO M&amp;L COMERCIO DE ALIM E BEBIDAS LTDA</t>
        </is>
      </c>
      <c r="E95" t="n">
        <v>599.39</v>
      </c>
      <c r="F95" s="27" t="n">
        <v>46087</v>
      </c>
      <c r="G95" s="27" t="n">
        <v>46087</v>
      </c>
      <c r="H95" s="27" t="n">
        <v>46087</v>
      </c>
      <c r="I95" s="27" t="n">
        <v>46058</v>
      </c>
      <c r="J95" s="27" t="n">
        <v>46066</v>
      </c>
      <c r="K95" t="inlineStr">
        <is>
          <t>Boleto Bancário</t>
        </is>
      </c>
      <c r="L95" t="inlineStr">
        <is>
          <t>Custo Mercadoria Vendida</t>
        </is>
      </c>
      <c r="M95" t="inlineStr">
        <is>
          <t>Insumos - Alimentos</t>
        </is>
      </c>
      <c r="N95" t="inlineStr">
        <is>
          <t>495238</t>
        </is>
      </c>
      <c r="O95" t="inlineStr">
        <is>
          <t>Documentação Aprovada</t>
        </is>
      </c>
      <c r="P95" t="inlineStr">
        <is>
          <t>Aprovado Diretoria</t>
        </is>
      </c>
      <c r="Q95" t="inlineStr">
        <is>
          <t>Aprovado Caixa</t>
        </is>
      </c>
      <c r="R95" t="inlineStr">
        <is>
          <t>Pago</t>
        </is>
      </c>
      <c r="S95" t="n">
        <v>226</v>
      </c>
      <c r="T95" t="inlineStr">
        <is>
          <t>The Cavern - Kamino</t>
        </is>
      </c>
    </row>
    <row r="96">
      <c r="A96" t="n">
        <v>207995</v>
      </c>
      <c r="B96" t="n">
        <v>176</v>
      </c>
      <c r="C96" t="inlineStr">
        <is>
          <t>The Cavern</t>
        </is>
      </c>
      <c r="D96" t="inlineStr">
        <is>
          <t xml:space="preserve">FORTE ALIMENTOS COM. IMPORTAÇÃO LTDA </t>
        </is>
      </c>
      <c r="E96" t="n">
        <v>1036.89</v>
      </c>
      <c r="F96" s="27" t="n">
        <v>46086</v>
      </c>
      <c r="G96" s="27" t="n">
        <v>46086</v>
      </c>
      <c r="H96" s="27" t="n">
        <v>46086</v>
      </c>
      <c r="I96" s="27" t="n">
        <v>46057</v>
      </c>
      <c r="J96" s="27" t="n">
        <v>46069</v>
      </c>
      <c r="K96" t="inlineStr">
        <is>
          <t>Boleto Bancário</t>
        </is>
      </c>
      <c r="L96" t="inlineStr">
        <is>
          <t>Custo Mercadoria Vendida</t>
        </is>
      </c>
      <c r="M96" t="inlineStr">
        <is>
          <t>Insumos - Alimentos</t>
        </is>
      </c>
      <c r="N96" t="inlineStr">
        <is>
          <t>356851</t>
        </is>
      </c>
      <c r="O96" t="inlineStr">
        <is>
          <t>Documentação Aprovada</t>
        </is>
      </c>
      <c r="P96" t="inlineStr">
        <is>
          <t>Aprovado Diretoria</t>
        </is>
      </c>
      <c r="Q96" t="inlineStr">
        <is>
          <t>Aprovado Caixa</t>
        </is>
      </c>
      <c r="R96" t="inlineStr">
        <is>
          <t>Pago</t>
        </is>
      </c>
      <c r="S96" t="n">
        <v>226</v>
      </c>
      <c r="T96" t="inlineStr">
        <is>
          <t>The Cavern - Kamino</t>
        </is>
      </c>
    </row>
    <row r="97">
      <c r="A97" t="n">
        <v>207794</v>
      </c>
      <c r="B97" t="n">
        <v>176</v>
      </c>
      <c r="C97" t="inlineStr">
        <is>
          <t>The Cavern</t>
        </is>
      </c>
      <c r="D97" t="inlineStr">
        <is>
          <t>MARIO PEDRO FELICIANO - HORTIFRUTI</t>
        </is>
      </c>
      <c r="E97" t="n">
        <v>178.06</v>
      </c>
      <c r="F97" s="27" t="n">
        <v>46086</v>
      </c>
      <c r="G97" s="27" t="n">
        <v>46086</v>
      </c>
      <c r="H97" s="27" t="n">
        <v>46086</v>
      </c>
      <c r="I97" s="27" t="n">
        <v>46058</v>
      </c>
      <c r="J97" s="27" t="n">
        <v>46066</v>
      </c>
      <c r="K97" t="inlineStr">
        <is>
          <t>Boleto Bancário</t>
        </is>
      </c>
      <c r="L97" t="inlineStr">
        <is>
          <t>Custo Mercadoria Vendida</t>
        </is>
      </c>
      <c r="M97" t="inlineStr">
        <is>
          <t>Insumos - Alimentos</t>
        </is>
      </c>
      <c r="N97" t="inlineStr">
        <is>
          <t>466908</t>
        </is>
      </c>
      <c r="O97" t="inlineStr">
        <is>
          <t>Documentação Aprovada</t>
        </is>
      </c>
      <c r="P97" t="inlineStr">
        <is>
          <t>Aprovado Diretoria</t>
        </is>
      </c>
      <c r="Q97" t="inlineStr">
        <is>
          <t>Aprovado Caixa</t>
        </is>
      </c>
      <c r="R97" t="inlineStr">
        <is>
          <t>Pago</t>
        </is>
      </c>
      <c r="S97" t="n">
        <v>226</v>
      </c>
      <c r="T97" t="inlineStr">
        <is>
          <t>The Cavern - Kamino</t>
        </is>
      </c>
    </row>
    <row r="98">
      <c r="A98" t="n">
        <v>207999</v>
      </c>
      <c r="B98" t="n">
        <v>176</v>
      </c>
      <c r="C98" t="inlineStr">
        <is>
          <t>The Cavern</t>
        </is>
      </c>
      <c r="D98" t="inlineStr">
        <is>
          <t>AROUMAR DISTRIBUIDORA DE PRODUTOS ALIMENTICIOS LTDA</t>
        </is>
      </c>
      <c r="E98" t="n">
        <v>486.6</v>
      </c>
      <c r="F98" s="27" t="n">
        <v>46086</v>
      </c>
      <c r="G98" s="27" t="n">
        <v>46086</v>
      </c>
      <c r="H98" s="27" t="n">
        <v>46086</v>
      </c>
      <c r="I98" s="27" t="n">
        <v>46058</v>
      </c>
      <c r="J98" s="27" t="n">
        <v>46069</v>
      </c>
      <c r="K98" t="inlineStr">
        <is>
          <t>Boleto Bancário</t>
        </is>
      </c>
      <c r="L98" t="inlineStr">
        <is>
          <t>Custo Mercadoria Vendida</t>
        </is>
      </c>
      <c r="M98" t="inlineStr">
        <is>
          <t>Insumos - Alimentos</t>
        </is>
      </c>
      <c r="N98" t="inlineStr">
        <is>
          <t>1039869</t>
        </is>
      </c>
      <c r="O98" t="inlineStr">
        <is>
          <t>Documentação Aprovada</t>
        </is>
      </c>
      <c r="P98" t="inlineStr">
        <is>
          <t>Aprovado Diretoria</t>
        </is>
      </c>
      <c r="Q98" t="inlineStr">
        <is>
          <t>Aprovado Caixa</t>
        </is>
      </c>
      <c r="R98" t="inlineStr">
        <is>
          <t>Pago</t>
        </is>
      </c>
      <c r="S98" t="n">
        <v>226</v>
      </c>
      <c r="T98" t="inlineStr">
        <is>
          <t>The Cavern - Kamino</t>
        </is>
      </c>
    </row>
    <row r="99">
      <c r="A99" t="n">
        <v>207796</v>
      </c>
      <c r="B99" t="n">
        <v>176</v>
      </c>
      <c r="C99" t="inlineStr">
        <is>
          <t>The Cavern</t>
        </is>
      </c>
      <c r="D99" t="inlineStr">
        <is>
          <t>LEVITARE - INDUSTRIA E COMERCIO DE LATICINIOS LTDA</t>
        </is>
      </c>
      <c r="E99" t="n">
        <v>732.74</v>
      </c>
      <c r="F99" s="27" t="n">
        <v>46086</v>
      </c>
      <c r="G99" s="27" t="n">
        <v>46086</v>
      </c>
      <c r="H99" s="27" t="n">
        <v>46086</v>
      </c>
      <c r="I99" s="27" t="n">
        <v>46058</v>
      </c>
      <c r="J99" s="27" t="n">
        <v>46066</v>
      </c>
      <c r="K99" t="inlineStr">
        <is>
          <t>Boleto Bancário</t>
        </is>
      </c>
      <c r="L99" t="inlineStr">
        <is>
          <t>Custo Mercadoria Vendida</t>
        </is>
      </c>
      <c r="M99" t="inlineStr">
        <is>
          <t>Insumos - Alimentos</t>
        </is>
      </c>
      <c r="N99" t="inlineStr">
        <is>
          <t>721</t>
        </is>
      </c>
      <c r="O99" t="inlineStr">
        <is>
          <t>Documentação Aprovada</t>
        </is>
      </c>
      <c r="P99" t="inlineStr">
        <is>
          <t>Aprovado Diretoria</t>
        </is>
      </c>
      <c r="Q99" t="inlineStr">
        <is>
          <t>Aprovado Caixa</t>
        </is>
      </c>
      <c r="R99" t="inlineStr">
        <is>
          <t>Pago</t>
        </is>
      </c>
      <c r="S99" t="n">
        <v>226</v>
      </c>
      <c r="T99" t="inlineStr">
        <is>
          <t>The Cavern - Kamino</t>
        </is>
      </c>
    </row>
    <row r="100">
      <c r="A100" t="n">
        <v>207983</v>
      </c>
      <c r="B100" t="n">
        <v>176</v>
      </c>
      <c r="C100" t="inlineStr">
        <is>
          <t>The Cavern</t>
        </is>
      </c>
      <c r="D100" t="inlineStr">
        <is>
          <t>B.B DISTRIBUIDORA DE CARNES LTDA</t>
        </is>
      </c>
      <c r="E100" t="n">
        <v>604.04</v>
      </c>
      <c r="F100" s="27" t="n">
        <v>46086</v>
      </c>
      <c r="G100" s="27" t="n">
        <v>46086</v>
      </c>
      <c r="H100" s="27" t="n">
        <v>46086</v>
      </c>
      <c r="I100" s="27" t="n">
        <v>46058</v>
      </c>
      <c r="J100" s="27" t="n">
        <v>46069</v>
      </c>
      <c r="K100" t="inlineStr">
        <is>
          <t>Boleto Bancário</t>
        </is>
      </c>
      <c r="L100" t="inlineStr">
        <is>
          <t>Custo Mercadoria Vendida</t>
        </is>
      </c>
      <c r="M100" t="inlineStr">
        <is>
          <t>Insumos - Alimentos</t>
        </is>
      </c>
      <c r="N100" t="inlineStr">
        <is>
          <t>413689</t>
        </is>
      </c>
      <c r="O100" t="inlineStr">
        <is>
          <t>Documentação Aprovada</t>
        </is>
      </c>
      <c r="P100" t="inlineStr">
        <is>
          <t>Aprovado Diretoria</t>
        </is>
      </c>
      <c r="Q100" t="inlineStr">
        <is>
          <t>Aprovado Caixa</t>
        </is>
      </c>
      <c r="R100" t="inlineStr">
        <is>
          <t>Pago</t>
        </is>
      </c>
      <c r="S100" t="n">
        <v>226</v>
      </c>
      <c r="T100" t="inlineStr">
        <is>
          <t>The Cavern - Kamino</t>
        </is>
      </c>
    </row>
    <row r="101">
      <c r="A101" t="n">
        <v>207800</v>
      </c>
      <c r="B101" t="n">
        <v>176</v>
      </c>
      <c r="C101" t="inlineStr">
        <is>
          <t>The Cavern</t>
        </is>
      </c>
      <c r="D101" t="inlineStr">
        <is>
          <t>CECILIA TSUYACO ARAKI SILVA LTDA</t>
        </is>
      </c>
      <c r="E101" t="n">
        <v>288.55</v>
      </c>
      <c r="F101" s="27" t="n">
        <v>46086</v>
      </c>
      <c r="G101" s="27" t="n">
        <v>46086</v>
      </c>
      <c r="H101" s="27" t="n">
        <v>46086</v>
      </c>
      <c r="I101" s="27" t="n">
        <v>46058</v>
      </c>
      <c r="J101" s="27" t="n">
        <v>46066</v>
      </c>
      <c r="K101" t="inlineStr">
        <is>
          <t>Boleto Bancário</t>
        </is>
      </c>
      <c r="L101" t="inlineStr">
        <is>
          <t>Custo Mercadoria Vendida</t>
        </is>
      </c>
      <c r="M101" t="inlineStr">
        <is>
          <t>Insumos - Alimentos</t>
        </is>
      </c>
      <c r="N101" t="inlineStr">
        <is>
          <t>386402</t>
        </is>
      </c>
      <c r="O101" t="inlineStr">
        <is>
          <t>Documentação Aprovada</t>
        </is>
      </c>
      <c r="P101" t="inlineStr">
        <is>
          <t>Aprovado Diretoria</t>
        </is>
      </c>
      <c r="Q101" t="inlineStr">
        <is>
          <t>Aprovado Caixa</t>
        </is>
      </c>
      <c r="R101" t="inlineStr">
        <is>
          <t>Pago</t>
        </is>
      </c>
      <c r="S101" t="n">
        <v>226</v>
      </c>
      <c r="T101" t="inlineStr">
        <is>
          <t>The Cavern - Kamino</t>
        </is>
      </c>
    </row>
    <row r="102">
      <c r="A102" t="n">
        <v>210736</v>
      </c>
      <c r="B102" t="n">
        <v>176</v>
      </c>
      <c r="C102" t="inlineStr">
        <is>
          <t>The Cavern</t>
        </is>
      </c>
      <c r="D102" t="inlineStr">
        <is>
          <t>PSSS LTDA</t>
        </is>
      </c>
      <c r="E102" t="n">
        <v>440.4</v>
      </c>
      <c r="F102" s="27" t="n">
        <v>46086</v>
      </c>
      <c r="G102" s="27" t="n">
        <v>46086</v>
      </c>
      <c r="H102" s="27" t="n">
        <v>46086</v>
      </c>
      <c r="I102" s="27" t="n">
        <v>46071</v>
      </c>
      <c r="J102" s="27" t="n">
        <v>46077</v>
      </c>
      <c r="K102" t="inlineStr">
        <is>
          <t>Boleto Bancário</t>
        </is>
      </c>
      <c r="L102" t="inlineStr">
        <is>
          <t>Utilidades</t>
        </is>
      </c>
      <c r="M102" t="inlineStr">
        <is>
          <t>Higiene e Limpeza</t>
        </is>
      </c>
      <c r="N102" t="inlineStr">
        <is>
          <t>3157</t>
        </is>
      </c>
      <c r="O102" t="inlineStr">
        <is>
          <t>Documentação Aprovada</t>
        </is>
      </c>
      <c r="P102" t="inlineStr">
        <is>
          <t>Aprovado Diretoria</t>
        </is>
      </c>
      <c r="Q102" t="inlineStr">
        <is>
          <t>Aprovado Caixa</t>
        </is>
      </c>
      <c r="R102" t="inlineStr">
        <is>
          <t>Pago</t>
        </is>
      </c>
      <c r="S102" t="n">
        <v>226</v>
      </c>
      <c r="T102" t="inlineStr">
        <is>
          <t>The Cavern - Kamino</t>
        </is>
      </c>
    </row>
    <row r="103">
      <c r="A103" t="n">
        <v>206731</v>
      </c>
      <c r="B103" t="n">
        <v>176</v>
      </c>
      <c r="C103" t="inlineStr">
        <is>
          <t>The Cavern</t>
        </is>
      </c>
      <c r="D103" t="inlineStr">
        <is>
          <t>J.K. COMERCIO DE GENEROS ALIMENICIOS LTDA</t>
        </is>
      </c>
      <c r="E103" t="n">
        <v>139.6</v>
      </c>
      <c r="F103" s="27" t="n">
        <v>46086</v>
      </c>
      <c r="G103" s="27" t="n">
        <v>46086</v>
      </c>
      <c r="H103" s="27" t="n">
        <v>46086</v>
      </c>
      <c r="I103" s="27" t="n">
        <v>46056</v>
      </c>
      <c r="J103" s="27" t="n">
        <v>46065</v>
      </c>
      <c r="K103" t="inlineStr">
        <is>
          <t>Boleto Bancário</t>
        </is>
      </c>
      <c r="L103" t="inlineStr">
        <is>
          <t>Custo Mercadoria Vendida</t>
        </is>
      </c>
      <c r="M103" t="inlineStr">
        <is>
          <t>Insumos - Alimentos</t>
        </is>
      </c>
      <c r="N103" t="inlineStr">
        <is>
          <t>10557</t>
        </is>
      </c>
      <c r="O103" t="inlineStr">
        <is>
          <t>Documentação Aprovada</t>
        </is>
      </c>
      <c r="P103" t="inlineStr">
        <is>
          <t>Aprovado Diretoria</t>
        </is>
      </c>
      <c r="Q103" t="inlineStr">
        <is>
          <t>Aprovado Caixa</t>
        </is>
      </c>
      <c r="R103" t="inlineStr">
        <is>
          <t>Pago</t>
        </is>
      </c>
      <c r="S103" t="n">
        <v>226</v>
      </c>
      <c r="T103" t="inlineStr">
        <is>
          <t>The Cavern - Kamino</t>
        </is>
      </c>
    </row>
    <row r="104">
      <c r="A104" t="n">
        <v>206610</v>
      </c>
      <c r="B104" t="n">
        <v>176</v>
      </c>
      <c r="C104" t="inlineStr">
        <is>
          <t>The Cavern</t>
        </is>
      </c>
      <c r="D104" t="inlineStr">
        <is>
          <t>DTK COMERCIO DE ALIMENTOS LTDA</t>
        </is>
      </c>
      <c r="E104" t="n">
        <v>648</v>
      </c>
      <c r="F104" s="27" t="n">
        <v>46086</v>
      </c>
      <c r="G104" s="27" t="n">
        <v>46086</v>
      </c>
      <c r="H104" s="27" t="n">
        <v>46086</v>
      </c>
      <c r="I104" s="27" t="n">
        <v>46058</v>
      </c>
      <c r="J104" s="27" t="n">
        <v>46065</v>
      </c>
      <c r="K104" t="inlineStr">
        <is>
          <t>Boleto Bancário</t>
        </is>
      </c>
      <c r="L104" t="inlineStr">
        <is>
          <t>Custo Mercadoria Vendida</t>
        </is>
      </c>
      <c r="M104" t="inlineStr">
        <is>
          <t>Insumos - Alimentos</t>
        </is>
      </c>
      <c r="N104" t="inlineStr">
        <is>
          <t>64047</t>
        </is>
      </c>
      <c r="O104" t="inlineStr">
        <is>
          <t>Documentação Aprovada</t>
        </is>
      </c>
      <c r="P104" t="inlineStr">
        <is>
          <t>Aprovado Diretoria</t>
        </is>
      </c>
      <c r="Q104" t="inlineStr">
        <is>
          <t>Aprovado Caixa</t>
        </is>
      </c>
      <c r="R104" t="inlineStr">
        <is>
          <t>Pago</t>
        </is>
      </c>
      <c r="S104" t="n">
        <v>226</v>
      </c>
      <c r="T104" t="inlineStr">
        <is>
          <t>The Cavern - Kamino</t>
        </is>
      </c>
    </row>
    <row r="105">
      <c r="A105" t="n">
        <v>206613</v>
      </c>
      <c r="B105" t="n">
        <v>176</v>
      </c>
      <c r="C105" t="inlineStr">
        <is>
          <t>The Cavern</t>
        </is>
      </c>
      <c r="D105" t="inlineStr">
        <is>
          <t>FG7 COMERCIO E DISTRIBUICAO DE BEBIDAS LTDA</t>
        </is>
      </c>
      <c r="E105" t="n">
        <v>468.84</v>
      </c>
      <c r="F105" s="27" t="n">
        <v>46086</v>
      </c>
      <c r="G105" s="27" t="n">
        <v>46086</v>
      </c>
      <c r="H105" s="27" t="n">
        <v>46086</v>
      </c>
      <c r="I105" s="27" t="n">
        <v>46057</v>
      </c>
      <c r="J105" s="27" t="n">
        <v>46065</v>
      </c>
      <c r="K105" t="inlineStr">
        <is>
          <t>Boleto Bancário</t>
        </is>
      </c>
      <c r="L105" t="inlineStr">
        <is>
          <t>Custo Mercadoria Vendida</t>
        </is>
      </c>
      <c r="M105" t="inlineStr">
        <is>
          <t>Insumos - Bebidas</t>
        </is>
      </c>
      <c r="N105" t="inlineStr">
        <is>
          <t>743797</t>
        </is>
      </c>
      <c r="O105" t="inlineStr">
        <is>
          <t>Documentação Aprovada</t>
        </is>
      </c>
      <c r="P105" t="inlineStr">
        <is>
          <t>Aprovado Diretoria</t>
        </is>
      </c>
      <c r="Q105" t="inlineStr">
        <is>
          <t>Aprovado Caixa</t>
        </is>
      </c>
      <c r="R105" t="inlineStr">
        <is>
          <t>Pago</t>
        </is>
      </c>
      <c r="S105" t="n">
        <v>226</v>
      </c>
      <c r="T105" t="inlineStr">
        <is>
          <t>The Cavern - Kamino</t>
        </is>
      </c>
    </row>
    <row r="106">
      <c r="A106" t="n">
        <v>205963</v>
      </c>
      <c r="B106" t="n">
        <v>176</v>
      </c>
      <c r="C106" t="inlineStr">
        <is>
          <t>The Cavern</t>
        </is>
      </c>
      <c r="D106" t="inlineStr">
        <is>
          <t>FG7 COMERCIO E DISTRIBUICAO DE BEBIDAS LTDA</t>
        </is>
      </c>
      <c r="E106" t="n">
        <v>292.08</v>
      </c>
      <c r="F106" s="27" t="n">
        <v>46086</v>
      </c>
      <c r="G106" s="27" t="n">
        <v>46086</v>
      </c>
      <c r="H106" s="27" t="n">
        <v>46086</v>
      </c>
      <c r="I106" s="27" t="n">
        <v>46057</v>
      </c>
      <c r="J106" s="27" t="n">
        <v>46062</v>
      </c>
      <c r="K106" t="inlineStr">
        <is>
          <t>Boleto Bancário</t>
        </is>
      </c>
      <c r="L106" t="inlineStr">
        <is>
          <t>Custo Mercadoria Vendida</t>
        </is>
      </c>
      <c r="M106" t="inlineStr">
        <is>
          <t>Insumos - Bebidas</t>
        </is>
      </c>
      <c r="N106" t="inlineStr">
        <is>
          <t>743806</t>
        </is>
      </c>
      <c r="O106" t="inlineStr">
        <is>
          <t>Documentação Aprovada</t>
        </is>
      </c>
      <c r="P106" t="inlineStr">
        <is>
          <t>Aprovado Diretoria</t>
        </is>
      </c>
      <c r="Q106" t="inlineStr">
        <is>
          <t>Aprovado Caixa</t>
        </is>
      </c>
      <c r="R106" t="inlineStr">
        <is>
          <t>Pago</t>
        </is>
      </c>
      <c r="S106" t="n">
        <v>226</v>
      </c>
      <c r="T106" t="inlineStr">
        <is>
          <t>The Cavern - Kamino</t>
        </is>
      </c>
    </row>
    <row r="107">
      <c r="A107" t="n">
        <v>205077</v>
      </c>
      <c r="B107" t="n">
        <v>176</v>
      </c>
      <c r="C107" t="inlineStr">
        <is>
          <t>The Cavern</t>
        </is>
      </c>
      <c r="D107" t="inlineStr">
        <is>
          <t>FRONT BEBIDAS LTDA</t>
        </is>
      </c>
      <c r="E107" t="n">
        <v>1030.8</v>
      </c>
      <c r="F107" s="27" t="n">
        <v>46085</v>
      </c>
      <c r="G107" s="27" t="n">
        <v>46085</v>
      </c>
      <c r="H107" s="27" t="n">
        <v>46085</v>
      </c>
      <c r="I107" s="27" t="n">
        <v>46057</v>
      </c>
      <c r="J107" s="27" t="n">
        <v>46058</v>
      </c>
      <c r="K107" t="inlineStr">
        <is>
          <t>Boleto Bancário</t>
        </is>
      </c>
      <c r="L107" t="inlineStr">
        <is>
          <t>Custo Mercadoria Vendida</t>
        </is>
      </c>
      <c r="M107" t="inlineStr">
        <is>
          <t>Insumos - Bebidas</t>
        </is>
      </c>
      <c r="N107" t="inlineStr">
        <is>
          <t>790395</t>
        </is>
      </c>
      <c r="O107" t="inlineStr">
        <is>
          <t>Documentação Aprovada</t>
        </is>
      </c>
      <c r="P107" t="inlineStr">
        <is>
          <t>Aprovado Diretoria</t>
        </is>
      </c>
      <c r="Q107" t="inlineStr">
        <is>
          <t>Aprovado Caixa</t>
        </is>
      </c>
      <c r="R107" t="inlineStr">
        <is>
          <t>Pago</t>
        </is>
      </c>
      <c r="S107" t="n">
        <v>226</v>
      </c>
      <c r="T107" t="inlineStr">
        <is>
          <t>The Cavern - Kamino</t>
        </is>
      </c>
    </row>
    <row r="108">
      <c r="A108" t="n">
        <v>206656</v>
      </c>
      <c r="B108" t="n">
        <v>176</v>
      </c>
      <c r="C108" t="inlineStr">
        <is>
          <t>The Cavern</t>
        </is>
      </c>
      <c r="D108" t="inlineStr">
        <is>
          <t xml:space="preserve">FORTE ALIMENTOS COM. IMPORTAÇÃO LTDA </t>
        </is>
      </c>
      <c r="E108" t="n">
        <v>1210.89</v>
      </c>
      <c r="F108" s="27" t="n">
        <v>46085</v>
      </c>
      <c r="G108" s="27" t="n">
        <v>46085</v>
      </c>
      <c r="H108" s="27" t="n">
        <v>46085</v>
      </c>
      <c r="I108" s="27" t="n">
        <v>46056</v>
      </c>
      <c r="J108" s="27" t="n">
        <v>46065</v>
      </c>
      <c r="K108" t="inlineStr">
        <is>
          <t>Boleto Bancário</t>
        </is>
      </c>
      <c r="L108" t="inlineStr">
        <is>
          <t>Custo Mercadoria Vendida</t>
        </is>
      </c>
      <c r="M108" t="inlineStr">
        <is>
          <t>Insumos - Alimentos</t>
        </is>
      </c>
      <c r="N108" t="inlineStr">
        <is>
          <t>356574</t>
        </is>
      </c>
      <c r="O108" t="inlineStr">
        <is>
          <t>Documentação Aprovada</t>
        </is>
      </c>
      <c r="P108" t="inlineStr">
        <is>
          <t>Aprovado Diretoria</t>
        </is>
      </c>
      <c r="Q108" t="inlineStr">
        <is>
          <t>Aprovado Caixa</t>
        </is>
      </c>
      <c r="R108" t="inlineStr">
        <is>
          <t>Pago</t>
        </is>
      </c>
      <c r="S108" t="n">
        <v>226</v>
      </c>
      <c r="T108" t="inlineStr">
        <is>
          <t>The Cavern - Kamino</t>
        </is>
      </c>
    </row>
    <row r="109">
      <c r="A109" t="n">
        <v>206616</v>
      </c>
      <c r="B109" t="n">
        <v>176</v>
      </c>
      <c r="C109" t="inlineStr">
        <is>
          <t>The Cavern</t>
        </is>
      </c>
      <c r="D109" t="inlineStr">
        <is>
          <t>CECILIA TSUYACO ARAKI SILVA LTDA</t>
        </is>
      </c>
      <c r="E109" t="n">
        <v>582.8</v>
      </c>
      <c r="F109" s="27" t="n">
        <v>46085</v>
      </c>
      <c r="G109" s="27" t="n">
        <v>46085</v>
      </c>
      <c r="H109" s="27" t="n">
        <v>46085</v>
      </c>
      <c r="I109" s="27" t="n">
        <v>46057</v>
      </c>
      <c r="J109" s="27" t="n">
        <v>46065</v>
      </c>
      <c r="K109" t="inlineStr">
        <is>
          <t>Boleto Bancário</t>
        </is>
      </c>
      <c r="L109" t="inlineStr">
        <is>
          <t>Custo Mercadoria Vendida</t>
        </is>
      </c>
      <c r="M109" t="inlineStr">
        <is>
          <t>Insumos - Alimentos</t>
        </is>
      </c>
      <c r="N109" t="inlineStr">
        <is>
          <t>386295</t>
        </is>
      </c>
      <c r="O109" t="inlineStr">
        <is>
          <t>Documentação Aprovada</t>
        </is>
      </c>
      <c r="P109" t="inlineStr">
        <is>
          <t>Aprovado Diretoria</t>
        </is>
      </c>
      <c r="Q109" t="inlineStr">
        <is>
          <t>Aprovado Caixa</t>
        </is>
      </c>
      <c r="R109" t="inlineStr">
        <is>
          <t>Pago</t>
        </is>
      </c>
      <c r="S109" t="n">
        <v>226</v>
      </c>
      <c r="T109" t="inlineStr">
        <is>
          <t>The Cavern - Kamino</t>
        </is>
      </c>
    </row>
    <row r="110">
      <c r="A110" t="n">
        <v>210700</v>
      </c>
      <c r="B110" t="n">
        <v>176</v>
      </c>
      <c r="C110" t="inlineStr">
        <is>
          <t>The Cavern</t>
        </is>
      </c>
      <c r="D110" t="inlineStr">
        <is>
          <t>MARCOS SILVA DO NASCIMENTO</t>
        </is>
      </c>
      <c r="E110" t="n">
        <v>2315.56</v>
      </c>
      <c r="F110" s="27" t="n">
        <v>46085</v>
      </c>
      <c r="G110" s="27" t="n">
        <v>46085</v>
      </c>
      <c r="H110" s="27" t="n">
        <v>46085</v>
      </c>
      <c r="I110" s="27" t="n">
        <v>46031</v>
      </c>
      <c r="J110" s="27" t="n">
        <v>46077</v>
      </c>
      <c r="K110" t="inlineStr">
        <is>
          <t>Boleto Bancário</t>
        </is>
      </c>
      <c r="L110" t="inlineStr">
        <is>
          <t>Custo Mercadoria Vendida</t>
        </is>
      </c>
      <c r="M110" t="inlineStr">
        <is>
          <t>Insumos - Alimentos</t>
        </is>
      </c>
      <c r="N110" t="inlineStr">
        <is>
          <t>714</t>
        </is>
      </c>
      <c r="O110" t="inlineStr">
        <is>
          <t>Documentação Aprovada</t>
        </is>
      </c>
      <c r="P110" t="inlineStr">
        <is>
          <t>Aprovado Diretoria</t>
        </is>
      </c>
      <c r="Q110" t="inlineStr">
        <is>
          <t>Aprovado Caixa</t>
        </is>
      </c>
      <c r="R110" t="inlineStr">
        <is>
          <t>Pago</t>
        </is>
      </c>
      <c r="S110" t="n">
        <v>226</v>
      </c>
      <c r="T110" t="inlineStr">
        <is>
          <t>The Cavern - Kamino</t>
        </is>
      </c>
    </row>
    <row r="111">
      <c r="A111" t="n">
        <v>208037</v>
      </c>
      <c r="B111" t="n">
        <v>176</v>
      </c>
      <c r="C111" t="inlineStr">
        <is>
          <t>The Cavern</t>
        </is>
      </c>
      <c r="D111" t="inlineStr">
        <is>
          <t>DTK COMERCIO DE ALIMENTOS LTDA</t>
        </is>
      </c>
      <c r="E111" t="n">
        <v>2200.98</v>
      </c>
      <c r="F111" s="27" t="n">
        <v>46085</v>
      </c>
      <c r="G111" s="27" t="n">
        <v>46085</v>
      </c>
      <c r="H111" s="27" t="n">
        <v>46085</v>
      </c>
      <c r="I111" s="27" t="n">
        <v>46057</v>
      </c>
      <c r="J111" s="27" t="n">
        <v>46069</v>
      </c>
      <c r="K111" t="inlineStr">
        <is>
          <t>Boleto Bancário</t>
        </is>
      </c>
      <c r="L111" t="inlineStr">
        <is>
          <t>Custo Mercadoria Vendida</t>
        </is>
      </c>
      <c r="M111" t="inlineStr">
        <is>
          <t>Insumos - Alimentos</t>
        </is>
      </c>
      <c r="N111" t="inlineStr">
        <is>
          <t>63641</t>
        </is>
      </c>
      <c r="O111" t="inlineStr">
        <is>
          <t>Documentação Aprovada</t>
        </is>
      </c>
      <c r="P111" t="inlineStr">
        <is>
          <t>Aprovado Diretoria</t>
        </is>
      </c>
      <c r="Q111" t="inlineStr">
        <is>
          <t>Aprovado Caixa</t>
        </is>
      </c>
      <c r="R111" t="inlineStr">
        <is>
          <t>Pago</t>
        </is>
      </c>
      <c r="S111" t="n">
        <v>226</v>
      </c>
      <c r="T111" t="inlineStr">
        <is>
          <t>The Cavern - Kamino</t>
        </is>
      </c>
    </row>
    <row r="112">
      <c r="A112" t="n">
        <v>207223</v>
      </c>
      <c r="B112" t="n">
        <v>176</v>
      </c>
      <c r="C112" t="inlineStr">
        <is>
          <t>The Cavern</t>
        </is>
      </c>
      <c r="D112" t="inlineStr">
        <is>
          <t>WPP COMERCIO DE CARNES LTDA</t>
        </is>
      </c>
      <c r="E112" t="n">
        <v>229.5</v>
      </c>
      <c r="F112" s="27" t="n">
        <v>46085</v>
      </c>
      <c r="G112" s="27" t="n">
        <v>46085</v>
      </c>
      <c r="H112" s="27" t="n">
        <v>46085</v>
      </c>
      <c r="I112" s="27" t="n">
        <v>46057</v>
      </c>
      <c r="J112" s="27" t="n">
        <v>46066</v>
      </c>
      <c r="K112" t="inlineStr">
        <is>
          <t>Boleto Bancário</t>
        </is>
      </c>
      <c r="L112" t="inlineStr">
        <is>
          <t>Custo Mercadoria Vendida</t>
        </is>
      </c>
      <c r="M112" t="inlineStr">
        <is>
          <t>Insumos - Alimentos</t>
        </is>
      </c>
      <c r="N112" t="inlineStr">
        <is>
          <t>77135</t>
        </is>
      </c>
      <c r="O112" t="inlineStr">
        <is>
          <t>Documentação Aprovada</t>
        </is>
      </c>
      <c r="P112" t="inlineStr">
        <is>
          <t>Aprovado Diretoria</t>
        </is>
      </c>
      <c r="Q112" t="inlineStr">
        <is>
          <t>Aprovado Caixa</t>
        </is>
      </c>
      <c r="R112" t="inlineStr">
        <is>
          <t>Pago</t>
        </is>
      </c>
      <c r="S112" t="n">
        <v>226</v>
      </c>
      <c r="T112" t="inlineStr">
        <is>
          <t>The Cavern - Kamino</t>
        </is>
      </c>
    </row>
    <row r="113">
      <c r="A113" t="n">
        <v>211070</v>
      </c>
      <c r="B113" t="n">
        <v>176</v>
      </c>
      <c r="C113" t="inlineStr">
        <is>
          <t>The Cavern</t>
        </is>
      </c>
      <c r="D113" t="inlineStr">
        <is>
          <t>MAR DIRETO POC COMERCIO DE PEIXES LTDA</t>
        </is>
      </c>
      <c r="E113" t="n">
        <v>1313</v>
      </c>
      <c r="F113" s="27" t="n">
        <v>46085</v>
      </c>
      <c r="G113" s="27" t="n">
        <v>46085</v>
      </c>
      <c r="H113" s="27" t="n">
        <v>46085</v>
      </c>
      <c r="I113" s="27" t="n">
        <v>46078</v>
      </c>
      <c r="J113" s="27" t="n">
        <v>46078</v>
      </c>
      <c r="K113" t="inlineStr">
        <is>
          <t>Boleto Bancário</t>
        </is>
      </c>
      <c r="L113" t="inlineStr">
        <is>
          <t>Custo Mercadoria Vendida</t>
        </is>
      </c>
      <c r="M113" t="inlineStr">
        <is>
          <t>Insumos - Alimentos</t>
        </is>
      </c>
      <c r="N113" t="inlineStr">
        <is>
          <t>117843</t>
        </is>
      </c>
      <c r="O113" t="inlineStr">
        <is>
          <t>Documentação Aprovada</t>
        </is>
      </c>
      <c r="P113" t="inlineStr">
        <is>
          <t>Aprovado Diretoria</t>
        </is>
      </c>
      <c r="Q113" t="inlineStr">
        <is>
          <t>Aprovado Caixa</t>
        </is>
      </c>
      <c r="R113" t="inlineStr">
        <is>
          <t>Pago</t>
        </is>
      </c>
      <c r="S113" t="n">
        <v>226</v>
      </c>
      <c r="T113" t="inlineStr">
        <is>
          <t>The Cavern - Kamino</t>
        </is>
      </c>
    </row>
    <row r="114">
      <c r="A114" t="n">
        <v>211473</v>
      </c>
      <c r="B114" t="n">
        <v>176</v>
      </c>
      <c r="C114" t="inlineStr">
        <is>
          <t>The Cavern</t>
        </is>
      </c>
      <c r="D114" t="inlineStr">
        <is>
          <t>ESTAFF SOLUCOES TECNOLOGICAS DE AGENCIAMENTO LTDA</t>
        </is>
      </c>
      <c r="E114" t="n">
        <v>1408</v>
      </c>
      <c r="F114" s="27" t="n">
        <v>46085</v>
      </c>
      <c r="G114" s="27" t="n">
        <v>46085</v>
      </c>
      <c r="H114" s="27" t="n">
        <v>46085</v>
      </c>
      <c r="I114" s="27" t="n">
        <v>46075</v>
      </c>
      <c r="J114" s="27" t="n">
        <v>46079</v>
      </c>
      <c r="K114" t="inlineStr">
        <is>
          <t>Boleto Bancário</t>
        </is>
      </c>
      <c r="L114" t="inlineStr">
        <is>
          <t>Mão de Obra - Extra</t>
        </is>
      </c>
      <c r="M114" t="inlineStr">
        <is>
          <t>Mão de Obra Extra</t>
        </is>
      </c>
      <c r="N114" t="inlineStr">
        <is>
          <t>4619104032026</t>
        </is>
      </c>
      <c r="O114" t="inlineStr">
        <is>
          <t>Documentação Aprovada</t>
        </is>
      </c>
      <c r="P114" t="inlineStr">
        <is>
          <t>Aprovado Diretoria</t>
        </is>
      </c>
      <c r="Q114" t="inlineStr">
        <is>
          <t>Aprovado Caixa</t>
        </is>
      </c>
      <c r="R114" t="inlineStr">
        <is>
          <t>Pago</t>
        </is>
      </c>
      <c r="S114" t="n">
        <v>226</v>
      </c>
      <c r="T114" t="inlineStr">
        <is>
          <t>The Cavern - Kamino</t>
        </is>
      </c>
    </row>
    <row r="115">
      <c r="A115" t="n">
        <v>209325</v>
      </c>
      <c r="B115" t="n">
        <v>176</v>
      </c>
      <c r="C115" t="inlineStr">
        <is>
          <t>The Cavern</t>
        </is>
      </c>
      <c r="D115" t="inlineStr">
        <is>
          <t>RCS COMERCIAL DE ALIMENTOS LTDA</t>
        </is>
      </c>
      <c r="E115" t="n">
        <v>44.8</v>
      </c>
      <c r="F115" s="27" t="n">
        <v>46085</v>
      </c>
      <c r="G115" s="27" t="n">
        <v>46085</v>
      </c>
      <c r="H115" s="27" t="n">
        <v>46085</v>
      </c>
      <c r="I115" s="27" t="n">
        <v>46071</v>
      </c>
      <c r="J115" s="27" t="n">
        <v>46072</v>
      </c>
      <c r="K115" t="inlineStr">
        <is>
          <t>Boleto Bancário</t>
        </is>
      </c>
      <c r="L115" t="inlineStr">
        <is>
          <t>Custo Mercadoria Vendida</t>
        </is>
      </c>
      <c r="M115" t="inlineStr">
        <is>
          <t>Insumos - Alimentos</t>
        </is>
      </c>
      <c r="N115" t="inlineStr">
        <is>
          <t>11091</t>
        </is>
      </c>
      <c r="O115" t="inlineStr">
        <is>
          <t>Documentação Aprovada</t>
        </is>
      </c>
      <c r="P115" t="inlineStr">
        <is>
          <t>Aprovado Diretoria</t>
        </is>
      </c>
      <c r="Q115" t="inlineStr">
        <is>
          <t>Aprovado Caixa</t>
        </is>
      </c>
      <c r="R115" t="inlineStr">
        <is>
          <t>Pago</t>
        </is>
      </c>
      <c r="S115" t="n">
        <v>226</v>
      </c>
      <c r="T115" t="inlineStr">
        <is>
          <t>The Cavern - Kamino</t>
        </is>
      </c>
    </row>
    <row r="116">
      <c r="A116" t="n">
        <v>210731</v>
      </c>
      <c r="B116" t="n">
        <v>176</v>
      </c>
      <c r="C116" t="inlineStr">
        <is>
          <t>The Cavern</t>
        </is>
      </c>
      <c r="D116" t="inlineStr">
        <is>
          <t>MAR DIRETO POC COMERCIO DE PEIXES LTDA</t>
        </is>
      </c>
      <c r="E116" t="n">
        <v>1014.3</v>
      </c>
      <c r="F116" s="27" t="n">
        <v>46084</v>
      </c>
      <c r="G116" s="27" t="n">
        <v>46084</v>
      </c>
      <c r="H116" s="27" t="n">
        <v>46084</v>
      </c>
      <c r="I116" s="27" t="n">
        <v>46077</v>
      </c>
      <c r="J116" s="27" t="n">
        <v>46077</v>
      </c>
      <c r="K116" t="inlineStr">
        <is>
          <t>Boleto Bancário</t>
        </is>
      </c>
      <c r="L116" t="inlineStr">
        <is>
          <t>Custo Mercadoria Vendida</t>
        </is>
      </c>
      <c r="M116" t="inlineStr">
        <is>
          <t>Insumos - Alimentos</t>
        </is>
      </c>
      <c r="N116" t="inlineStr">
        <is>
          <t>117723</t>
        </is>
      </c>
      <c r="O116" t="inlineStr">
        <is>
          <t>Documentação Aprovada</t>
        </is>
      </c>
      <c r="P116" t="inlineStr">
        <is>
          <t>Aprovado Diretoria</t>
        </is>
      </c>
      <c r="Q116" t="inlineStr">
        <is>
          <t>Aprovado Caixa</t>
        </is>
      </c>
      <c r="R116" t="inlineStr">
        <is>
          <t>Pago</t>
        </is>
      </c>
      <c r="S116" t="n">
        <v>226</v>
      </c>
      <c r="T116" t="inlineStr">
        <is>
          <t>The Cavern - Kamino</t>
        </is>
      </c>
    </row>
    <row r="117">
      <c r="A117" t="n">
        <v>206627</v>
      </c>
      <c r="B117" t="n">
        <v>176</v>
      </c>
      <c r="C117" t="inlineStr">
        <is>
          <t>The Cavern</t>
        </is>
      </c>
      <c r="D117" t="inlineStr">
        <is>
          <t>EMPORIO M&amp;L COMERCIO DE ALIM E BEBIDAS LTDA</t>
        </is>
      </c>
      <c r="E117" t="n">
        <v>1584.58</v>
      </c>
      <c r="F117" s="27" t="n">
        <v>46084</v>
      </c>
      <c r="G117" s="27" t="n">
        <v>46084</v>
      </c>
      <c r="H117" s="27" t="n">
        <v>46084</v>
      </c>
      <c r="I117" s="27" t="n">
        <v>46056</v>
      </c>
      <c r="J117" s="27" t="n">
        <v>46065</v>
      </c>
      <c r="K117" t="inlineStr">
        <is>
          <t>Boleto Bancário</t>
        </is>
      </c>
      <c r="L117" t="inlineStr">
        <is>
          <t>Custo Mercadoria Vendida</t>
        </is>
      </c>
      <c r="M117" t="inlineStr">
        <is>
          <t>Insumos - Alimentos</t>
        </is>
      </c>
      <c r="N117" t="inlineStr">
        <is>
          <t>494721</t>
        </is>
      </c>
      <c r="O117" t="inlineStr">
        <is>
          <t>Documentação Aprovada</t>
        </is>
      </c>
      <c r="P117" t="inlineStr">
        <is>
          <t>Aprovado Diretoria</t>
        </is>
      </c>
      <c r="Q117" t="inlineStr">
        <is>
          <t>Aprovado Caixa</t>
        </is>
      </c>
      <c r="R117" t="inlineStr">
        <is>
          <t>Pago</t>
        </is>
      </c>
      <c r="S117" t="n">
        <v>226</v>
      </c>
      <c r="T117" t="inlineStr">
        <is>
          <t>The Cavern - Kamino</t>
        </is>
      </c>
    </row>
    <row r="118">
      <c r="A118" t="n">
        <v>206632</v>
      </c>
      <c r="B118" t="n">
        <v>176</v>
      </c>
      <c r="C118" t="inlineStr">
        <is>
          <t>The Cavern</t>
        </is>
      </c>
      <c r="D118" t="inlineStr">
        <is>
          <t>EMPORIO M&amp;L COMERCIO DE ALIM E BEBIDAS LTDA</t>
        </is>
      </c>
      <c r="E118" t="n">
        <v>2213.22</v>
      </c>
      <c r="F118" s="27" t="n">
        <v>46084</v>
      </c>
      <c r="G118" s="27" t="n">
        <v>46084</v>
      </c>
      <c r="H118" s="27" t="n">
        <v>46084</v>
      </c>
      <c r="I118" s="27" t="n">
        <v>46056</v>
      </c>
      <c r="J118" s="27" t="n">
        <v>46065</v>
      </c>
      <c r="K118" t="inlineStr">
        <is>
          <t>Boleto Bancário</t>
        </is>
      </c>
      <c r="L118" t="inlineStr">
        <is>
          <t>Custo Mercadoria Vendida</t>
        </is>
      </c>
      <c r="M118" t="inlineStr">
        <is>
          <t>Insumos - Alimentos</t>
        </is>
      </c>
      <c r="N118" t="inlineStr">
        <is>
          <t>494832</t>
        </is>
      </c>
      <c r="O118" t="inlineStr">
        <is>
          <t>Documentação Aprovada</t>
        </is>
      </c>
      <c r="P118" t="inlineStr">
        <is>
          <t>Aprovado Diretoria</t>
        </is>
      </c>
      <c r="Q118" t="inlineStr">
        <is>
          <t>Aprovado Caixa</t>
        </is>
      </c>
      <c r="R118" t="inlineStr">
        <is>
          <t>Pago</t>
        </is>
      </c>
      <c r="S118" t="n">
        <v>226</v>
      </c>
      <c r="T118" t="inlineStr">
        <is>
          <t>The Cavern - Kamino</t>
        </is>
      </c>
    </row>
    <row r="119">
      <c r="A119" t="n">
        <v>207982</v>
      </c>
      <c r="B119" t="n">
        <v>176</v>
      </c>
      <c r="C119" t="inlineStr">
        <is>
          <t>The Cavern</t>
        </is>
      </c>
      <c r="D119" t="inlineStr">
        <is>
          <t>LPQBR RESTAURANTES E PADARIAS LTDA</t>
        </is>
      </c>
      <c r="E119" t="n">
        <v>456</v>
      </c>
      <c r="F119" s="27" t="n">
        <v>46084</v>
      </c>
      <c r="G119" s="27" t="n">
        <v>46084</v>
      </c>
      <c r="H119" s="27" t="n">
        <v>46084</v>
      </c>
      <c r="I119" s="27" t="n">
        <v>46057</v>
      </c>
      <c r="J119" s="27" t="n">
        <v>46069</v>
      </c>
      <c r="K119" t="inlineStr">
        <is>
          <t>Transferência Bancária ou Pix</t>
        </is>
      </c>
      <c r="L119" t="inlineStr">
        <is>
          <t>Custo Mercadoria Vendida</t>
        </is>
      </c>
      <c r="M119" t="inlineStr">
        <is>
          <t>Insumos - Alimentos</t>
        </is>
      </c>
      <c r="N119" t="inlineStr">
        <is>
          <t>87950</t>
        </is>
      </c>
      <c r="O119" t="inlineStr">
        <is>
          <t>Documentação Aprovada</t>
        </is>
      </c>
      <c r="P119" t="inlineStr">
        <is>
          <t>Aprovado Diretoria</t>
        </is>
      </c>
      <c r="Q119" t="inlineStr">
        <is>
          <t>Aprovado Caixa</t>
        </is>
      </c>
      <c r="R119" t="inlineStr">
        <is>
          <t>Pago</t>
        </is>
      </c>
      <c r="S119" t="n">
        <v>226</v>
      </c>
      <c r="T119" t="inlineStr">
        <is>
          <t>The Cavern - Kamino</t>
        </is>
      </c>
    </row>
    <row r="120">
      <c r="A120" t="n">
        <v>207788</v>
      </c>
      <c r="B120" t="n">
        <v>176</v>
      </c>
      <c r="C120" t="inlineStr">
        <is>
          <t>The Cavern</t>
        </is>
      </c>
      <c r="D120" t="inlineStr">
        <is>
          <t>PROAUTO INDUSTRIA QUIMICA EIRELI</t>
        </is>
      </c>
      <c r="E120" t="n">
        <v>522.66</v>
      </c>
      <c r="F120" s="27" t="n">
        <v>46084</v>
      </c>
      <c r="G120" s="27" t="n">
        <v>46084</v>
      </c>
      <c r="H120" s="27" t="n">
        <v>46084</v>
      </c>
      <c r="I120" s="27" t="n">
        <v>46063</v>
      </c>
      <c r="J120" s="27" t="n">
        <v>46066</v>
      </c>
      <c r="K120" t="inlineStr">
        <is>
          <t>Boleto Bancário</t>
        </is>
      </c>
      <c r="L120" t="inlineStr">
        <is>
          <t>Utilidades</t>
        </is>
      </c>
      <c r="M120" t="inlineStr">
        <is>
          <t>Higiene e Limpeza</t>
        </is>
      </c>
      <c r="N120" t="inlineStr">
        <is>
          <t>151614</t>
        </is>
      </c>
      <c r="O120" t="inlineStr">
        <is>
          <t>Documentação Aprovada</t>
        </is>
      </c>
      <c r="P120" t="inlineStr">
        <is>
          <t>Aprovado Diretoria</t>
        </is>
      </c>
      <c r="Q120" t="inlineStr">
        <is>
          <t>Aprovado Caixa</t>
        </is>
      </c>
      <c r="R120" t="inlineStr">
        <is>
          <t>Pago</t>
        </is>
      </c>
      <c r="S120" t="n">
        <v>226</v>
      </c>
      <c r="T120" t="inlineStr">
        <is>
          <t>The Cavern - Kamino</t>
        </is>
      </c>
    </row>
    <row r="121">
      <c r="A121" t="n">
        <v>206907</v>
      </c>
      <c r="B121" t="n">
        <v>176</v>
      </c>
      <c r="C121" t="inlineStr">
        <is>
          <t>The Cavern</t>
        </is>
      </c>
      <c r="D121" t="inlineStr">
        <is>
          <t>EMPORIO M&amp;L COMERCIO DE ALIM E BEBIDAS LTDA</t>
        </is>
      </c>
      <c r="E121" t="n">
        <v>590.7</v>
      </c>
      <c r="F121" s="27" t="n">
        <v>46084</v>
      </c>
      <c r="G121" s="27" t="n">
        <v>46084</v>
      </c>
      <c r="H121" s="27" t="n">
        <v>46084</v>
      </c>
      <c r="I121" s="27" t="n">
        <v>46056</v>
      </c>
      <c r="J121" s="27" t="n">
        <v>46065</v>
      </c>
      <c r="K121" t="inlineStr">
        <is>
          <t>Boleto Bancário</t>
        </is>
      </c>
      <c r="L121" t="inlineStr">
        <is>
          <t>Custo Mercadoria Vendida</t>
        </is>
      </c>
      <c r="M121" t="inlineStr">
        <is>
          <t>Insumos - Bebidas</t>
        </is>
      </c>
      <c r="N121" t="inlineStr">
        <is>
          <t>494661</t>
        </is>
      </c>
      <c r="O121" t="inlineStr">
        <is>
          <t>Documentação Aprovada</t>
        </is>
      </c>
      <c r="P121" t="inlineStr">
        <is>
          <t>Aprovado Diretoria</t>
        </is>
      </c>
      <c r="Q121" t="inlineStr">
        <is>
          <t>Aprovado Caixa</t>
        </is>
      </c>
      <c r="R121" t="inlineStr">
        <is>
          <t>Pago</t>
        </is>
      </c>
      <c r="S121" t="n">
        <v>226</v>
      </c>
      <c r="T121" t="inlineStr">
        <is>
          <t>The Cavern - Kamino</t>
        </is>
      </c>
    </row>
    <row r="122">
      <c r="A122" t="n">
        <v>205081</v>
      </c>
      <c r="B122" t="n">
        <v>176</v>
      </c>
      <c r="C122" t="inlineStr">
        <is>
          <t>The Cavern</t>
        </is>
      </c>
      <c r="D122" t="inlineStr">
        <is>
          <t>LEVITARE - INDUSTRIA E COMERCIO DE LATICINIOS LTDA</t>
        </is>
      </c>
      <c r="E122" t="n">
        <v>713.17</v>
      </c>
      <c r="F122" s="27" t="n">
        <v>46084</v>
      </c>
      <c r="G122" s="27" t="n">
        <v>46084</v>
      </c>
      <c r="H122" s="27" t="n">
        <v>46084</v>
      </c>
      <c r="I122" s="27" t="n">
        <v>46056</v>
      </c>
      <c r="J122" s="27" t="n">
        <v>46058</v>
      </c>
      <c r="K122" t="inlineStr">
        <is>
          <t>Boleto Bancário</t>
        </is>
      </c>
      <c r="L122" t="inlineStr">
        <is>
          <t>Custo Mercadoria Vendida</t>
        </is>
      </c>
      <c r="M122" t="inlineStr">
        <is>
          <t>Insumos - Alimentos</t>
        </is>
      </c>
      <c r="N122" t="inlineStr">
        <is>
          <t>388</t>
        </is>
      </c>
      <c r="O122" t="inlineStr">
        <is>
          <t>Documentação Aprovada</t>
        </is>
      </c>
      <c r="P122" t="inlineStr">
        <is>
          <t>Aprovado Diretoria</t>
        </is>
      </c>
      <c r="Q122" t="inlineStr">
        <is>
          <t>Aprovado Caixa</t>
        </is>
      </c>
      <c r="R122" t="inlineStr">
        <is>
          <t>Pago</t>
        </is>
      </c>
      <c r="S122" t="n">
        <v>226</v>
      </c>
      <c r="T122" t="inlineStr">
        <is>
          <t>The Cavern - Kamino</t>
        </is>
      </c>
    </row>
    <row r="123">
      <c r="A123" t="n">
        <v>203712</v>
      </c>
      <c r="B123" t="n">
        <v>176</v>
      </c>
      <c r="C123" t="inlineStr">
        <is>
          <t>The Cavern</t>
        </is>
      </c>
      <c r="D123" t="inlineStr">
        <is>
          <t>WPP COMERCIO DE CARNES LTDA</t>
        </is>
      </c>
      <c r="E123" t="n">
        <v>4800.72</v>
      </c>
      <c r="F123" s="27" t="n">
        <v>46084</v>
      </c>
      <c r="G123" s="27" t="n">
        <v>46084</v>
      </c>
      <c r="H123" s="27" t="n">
        <v>46084</v>
      </c>
      <c r="I123" s="27" t="n">
        <v>46056</v>
      </c>
      <c r="J123" s="27" t="n">
        <v>46057</v>
      </c>
      <c r="K123" t="inlineStr">
        <is>
          <t>Boleto Bancário</t>
        </is>
      </c>
      <c r="L123" t="inlineStr">
        <is>
          <t>Custo Mercadoria Vendida</t>
        </is>
      </c>
      <c r="M123" t="inlineStr">
        <is>
          <t>Insumos - Alimentos</t>
        </is>
      </c>
      <c r="N123" t="inlineStr">
        <is>
          <t>77116</t>
        </is>
      </c>
      <c r="O123" t="inlineStr">
        <is>
          <t>Documentação Aprovada</t>
        </is>
      </c>
      <c r="P123" t="inlineStr">
        <is>
          <t>Aprovado Diretoria</t>
        </is>
      </c>
      <c r="Q123" t="inlineStr">
        <is>
          <t>Aprovado Caixa</t>
        </is>
      </c>
      <c r="R123" t="inlineStr">
        <is>
          <t>Pago</t>
        </is>
      </c>
      <c r="S123" t="n">
        <v>226</v>
      </c>
      <c r="T123" t="inlineStr">
        <is>
          <t>The Cavern - Kamino</t>
        </is>
      </c>
    </row>
    <row r="124">
      <c r="A124" t="n">
        <v>195489</v>
      </c>
      <c r="B124" t="n">
        <v>176</v>
      </c>
      <c r="C124" t="inlineStr">
        <is>
          <t>The Cavern</t>
        </is>
      </c>
      <c r="D124" t="inlineStr">
        <is>
          <t>INSS</t>
        </is>
      </c>
      <c r="E124" t="n">
        <v>4326.44</v>
      </c>
      <c r="F124" s="27" t="n">
        <v>46073</v>
      </c>
      <c r="G124" s="27" t="n">
        <v>46084</v>
      </c>
      <c r="H124" s="27" t="n">
        <v>46084</v>
      </c>
      <c r="I124" s="27" t="n">
        <v>46023</v>
      </c>
      <c r="J124" s="27" t="n">
        <v>46044</v>
      </c>
      <c r="K124" t="inlineStr">
        <is>
          <t>Boleto Bancário</t>
        </is>
      </c>
      <c r="L124" t="inlineStr">
        <is>
          <t>Mão de Obra - Encargos e Provisões</t>
        </is>
      </c>
      <c r="M124" t="inlineStr">
        <is>
          <t xml:space="preserve">  -  INSS Segurados</t>
        </is>
      </c>
      <c r="N124" t="inlineStr">
        <is>
          <t>Jan2026</t>
        </is>
      </c>
      <c r="O124" t="inlineStr">
        <is>
          <t>Documentação Aprovada</t>
        </is>
      </c>
      <c r="P124" t="inlineStr">
        <is>
          <t>Aprovado Diretoria</t>
        </is>
      </c>
      <c r="Q124" t="inlineStr">
        <is>
          <t>Aprovado Caixa</t>
        </is>
      </c>
      <c r="R124" t="inlineStr">
        <is>
          <t>Pago</t>
        </is>
      </c>
      <c r="S124" t="n">
        <v>226</v>
      </c>
      <c r="T124" t="inlineStr">
        <is>
          <t>The Cavern - Kamino</t>
        </is>
      </c>
    </row>
    <row r="125">
      <c r="A125" t="n">
        <v>194131</v>
      </c>
      <c r="B125" t="n">
        <v>176</v>
      </c>
      <c r="C125" t="inlineStr">
        <is>
          <t>The Cavern</t>
        </is>
      </c>
      <c r="D125" t="inlineStr">
        <is>
          <t>ESTAFF SOLUCOES TECNOLOGICAS DE AGENCIAMENTO LTDA</t>
        </is>
      </c>
      <c r="E125" t="n">
        <v>15345</v>
      </c>
      <c r="F125" s="27" t="n">
        <v>46083</v>
      </c>
      <c r="G125" s="27" t="n">
        <v>46083</v>
      </c>
      <c r="H125" s="27" t="n">
        <v>46083</v>
      </c>
      <c r="I125" s="27" t="n">
        <v>46032</v>
      </c>
      <c r="J125" s="27" t="n">
        <v>46063</v>
      </c>
      <c r="K125" t="inlineStr">
        <is>
          <t>Boleto Bancário</t>
        </is>
      </c>
      <c r="L125" t="inlineStr">
        <is>
          <t>Mão de Obra - Extra</t>
        </is>
      </c>
      <c r="M125" t="inlineStr">
        <is>
          <t>Mão de Obra Extra</t>
        </is>
      </c>
      <c r="N125" t="inlineStr">
        <is>
          <t>4619102032026</t>
        </is>
      </c>
      <c r="O125" t="inlineStr">
        <is>
          <t>Documentação Aprovada</t>
        </is>
      </c>
      <c r="P125" t="inlineStr">
        <is>
          <t>Aprovado Diretoria</t>
        </is>
      </c>
      <c r="Q125" t="inlineStr">
        <is>
          <t>Aprovado Caixa</t>
        </is>
      </c>
      <c r="R125" t="inlineStr">
        <is>
          <t>Pago</t>
        </is>
      </c>
    </row>
    <row r="126">
      <c r="A126" t="n">
        <v>203140</v>
      </c>
      <c r="B126" t="n">
        <v>176</v>
      </c>
      <c r="C126" t="inlineStr">
        <is>
          <t>The Cavern</t>
        </is>
      </c>
      <c r="D126" t="inlineStr">
        <is>
          <t>ESTAFF SOLUCOES TECNOLOGICAS DE AGENCIAMENTO LTDA</t>
        </is>
      </c>
      <c r="E126" t="n">
        <v>12341.1</v>
      </c>
      <c r="F126" s="27" t="n">
        <v>46083</v>
      </c>
      <c r="G126" s="27" t="n">
        <v>46083</v>
      </c>
      <c r="H126" s="27" t="n">
        <v>46083</v>
      </c>
      <c r="I126" s="27" t="n">
        <v>46055</v>
      </c>
      <c r="J126" s="27" t="n">
        <v>46055</v>
      </c>
      <c r="K126" t="inlineStr">
        <is>
          <t>Boleto Bancário</t>
        </is>
      </c>
      <c r="L126" t="inlineStr">
        <is>
          <t>Mão de Obra - Extra</t>
        </is>
      </c>
      <c r="M126" t="inlineStr">
        <is>
          <t>Mão de Obra Extra</t>
        </is>
      </c>
      <c r="N126" t="inlineStr">
        <is>
          <t>4619102032026</t>
        </is>
      </c>
      <c r="O126" t="inlineStr">
        <is>
          <t>Documentação Aprovada</t>
        </is>
      </c>
      <c r="P126" t="inlineStr">
        <is>
          <t>Aprovado Diretoria</t>
        </is>
      </c>
      <c r="Q126" t="inlineStr">
        <is>
          <t>Aprovado Caixa</t>
        </is>
      </c>
      <c r="R126" t="inlineStr">
        <is>
          <t>Pago</t>
        </is>
      </c>
      <c r="S126" t="n">
        <v>226</v>
      </c>
      <c r="T126" t="inlineStr">
        <is>
          <t>The Cavern - Kamino</t>
        </is>
      </c>
    </row>
    <row r="127">
      <c r="A127" t="n">
        <v>203625</v>
      </c>
      <c r="B127" t="n">
        <v>176</v>
      </c>
      <c r="C127" t="inlineStr">
        <is>
          <t>The Cavern</t>
        </is>
      </c>
      <c r="D127" t="inlineStr">
        <is>
          <t xml:space="preserve">HORTIFRUTI DO CHEF LTDA </t>
        </is>
      </c>
      <c r="E127" t="n">
        <v>263.8</v>
      </c>
      <c r="F127" s="27" t="n">
        <v>46083</v>
      </c>
      <c r="G127" s="27" t="n">
        <v>46083</v>
      </c>
      <c r="H127" s="27" t="n">
        <v>46083</v>
      </c>
      <c r="I127" s="27" t="n">
        <v>46055</v>
      </c>
      <c r="J127" s="27" t="n">
        <v>46057</v>
      </c>
      <c r="K127" t="inlineStr">
        <is>
          <t>Boleto Bancário</t>
        </is>
      </c>
      <c r="L127" t="inlineStr">
        <is>
          <t>Custo Mercadoria Vendida</t>
        </is>
      </c>
      <c r="M127" t="inlineStr">
        <is>
          <t>Insumos - Alimentos</t>
        </is>
      </c>
      <c r="N127" t="inlineStr">
        <is>
          <t>28855</t>
        </is>
      </c>
      <c r="O127" t="inlineStr">
        <is>
          <t>Documentação Aprovada</t>
        </is>
      </c>
      <c r="P127" t="inlineStr">
        <is>
          <t>Aprovado Diretoria</t>
        </is>
      </c>
      <c r="Q127" t="inlineStr">
        <is>
          <t>Aprovado Caixa</t>
        </is>
      </c>
      <c r="R127" t="inlineStr">
        <is>
          <t>Pago</t>
        </is>
      </c>
      <c r="S127" t="n">
        <v>226</v>
      </c>
      <c r="T127" t="inlineStr">
        <is>
          <t>The Cavern - Kamino</t>
        </is>
      </c>
    </row>
    <row r="128">
      <c r="A128" t="n">
        <v>203357</v>
      </c>
      <c r="B128" t="n">
        <v>176</v>
      </c>
      <c r="C128" t="inlineStr">
        <is>
          <t>The Cavern</t>
        </is>
      </c>
      <c r="D128" t="inlineStr">
        <is>
          <t>MARIO PEDRO FELICIANO - HORTIFRUTI</t>
        </is>
      </c>
      <c r="E128" t="n">
        <v>283.42</v>
      </c>
      <c r="F128" s="27" t="n">
        <v>46083</v>
      </c>
      <c r="G128" s="27" t="n">
        <v>46083</v>
      </c>
      <c r="H128" s="27" t="n">
        <v>46083</v>
      </c>
      <c r="I128" s="27" t="n">
        <v>46055</v>
      </c>
      <c r="J128" s="27" t="n">
        <v>46056</v>
      </c>
      <c r="K128" t="inlineStr">
        <is>
          <t>Boleto Bancário</t>
        </is>
      </c>
      <c r="L128" t="inlineStr">
        <is>
          <t>Custo Mercadoria Vendida</t>
        </is>
      </c>
      <c r="M128" t="inlineStr">
        <is>
          <t>Insumos - Alimentos</t>
        </is>
      </c>
      <c r="N128" t="inlineStr">
        <is>
          <t>466553</t>
        </is>
      </c>
      <c r="O128" t="inlineStr">
        <is>
          <t>Documentação Aprovada</t>
        </is>
      </c>
      <c r="P128" t="inlineStr">
        <is>
          <t>Aprovado Diretoria</t>
        </is>
      </c>
      <c r="Q128" t="inlineStr">
        <is>
          <t>Aprovado Caixa</t>
        </is>
      </c>
      <c r="R128" t="inlineStr">
        <is>
          <t>Pago</t>
        </is>
      </c>
      <c r="S128" t="n">
        <v>226</v>
      </c>
      <c r="T128" t="inlineStr">
        <is>
          <t>The Cavern - Kamino</t>
        </is>
      </c>
    </row>
    <row r="129">
      <c r="A129" t="n">
        <v>203124</v>
      </c>
      <c r="B129" t="n">
        <v>176</v>
      </c>
      <c r="C129" t="inlineStr">
        <is>
          <t>The Cavern</t>
        </is>
      </c>
      <c r="D129" t="inlineStr">
        <is>
          <t>FABRICA DE BARES PARTICIPACOES LTDA</t>
        </is>
      </c>
      <c r="E129" t="n">
        <v>10218.61</v>
      </c>
      <c r="F129" s="27" t="n">
        <v>46063</v>
      </c>
      <c r="G129" s="27" t="n">
        <v>46083</v>
      </c>
      <c r="H129" s="27" t="n">
        <v>46083</v>
      </c>
      <c r="I129" s="27" t="n">
        <v>45993</v>
      </c>
      <c r="J129" s="27" t="n">
        <v>46055</v>
      </c>
      <c r="K129" t="inlineStr">
        <is>
          <t>Transferência Bancária ou Pix</t>
        </is>
      </c>
      <c r="L129" t="inlineStr">
        <is>
          <t>Mão de Obra - Extra</t>
        </is>
      </c>
      <c r="M129" t="inlineStr">
        <is>
          <t>Mão de Obra Extra</t>
        </is>
      </c>
      <c r="N129" t="inlineStr">
        <is>
          <t>072026</t>
        </is>
      </c>
      <c r="O129" t="inlineStr">
        <is>
          <t>Documentação Aprovada</t>
        </is>
      </c>
      <c r="P129" t="inlineStr">
        <is>
          <t>Aprovado Diretoria</t>
        </is>
      </c>
      <c r="Q129" t="inlineStr">
        <is>
          <t>Aprovado Caixa</t>
        </is>
      </c>
      <c r="R129" t="inlineStr">
        <is>
          <t>Pago</t>
        </is>
      </c>
      <c r="S129" t="n">
        <v>226</v>
      </c>
      <c r="T129" t="inlineStr">
        <is>
          <t>The Cavern - Kamino</t>
        </is>
      </c>
    </row>
    <row r="130">
      <c r="A130" t="n">
        <v>203341</v>
      </c>
      <c r="B130" t="n">
        <v>176</v>
      </c>
      <c r="C130" t="inlineStr">
        <is>
          <t>The Cavern</t>
        </is>
      </c>
      <c r="D130" t="inlineStr">
        <is>
          <t>CECILIA TSUYACO ARAKI SILVA LTDA</t>
        </is>
      </c>
      <c r="E130" t="n">
        <v>859.35</v>
      </c>
      <c r="F130" s="27" t="n">
        <v>46083</v>
      </c>
      <c r="G130" s="27" t="n">
        <v>46083</v>
      </c>
      <c r="H130" s="27" t="n">
        <v>46083</v>
      </c>
      <c r="I130" s="27" t="n">
        <v>46055</v>
      </c>
      <c r="J130" s="27" t="n">
        <v>46056</v>
      </c>
      <c r="K130" t="inlineStr">
        <is>
          <t>Boleto Bancário</t>
        </is>
      </c>
      <c r="L130" t="inlineStr">
        <is>
          <t>Custo Mercadoria Vendida</t>
        </is>
      </c>
      <c r="M130" t="inlineStr">
        <is>
          <t>Insumos - Alimentos</t>
        </is>
      </c>
      <c r="N130" t="inlineStr">
        <is>
          <t>386157</t>
        </is>
      </c>
      <c r="O130" t="inlineStr">
        <is>
          <t>Documentação Aprovada</t>
        </is>
      </c>
      <c r="P130" t="inlineStr">
        <is>
          <t>Aprovado Diretoria</t>
        </is>
      </c>
      <c r="Q130" t="inlineStr">
        <is>
          <t>Aprovado Caixa</t>
        </is>
      </c>
      <c r="R130" t="inlineStr">
        <is>
          <t>Pago</t>
        </is>
      </c>
      <c r="S130" t="n">
        <v>226</v>
      </c>
      <c r="T130" t="inlineStr">
        <is>
          <t>The Cavern - Kamino</t>
        </is>
      </c>
    </row>
    <row r="131">
      <c r="A131" t="n">
        <v>205946</v>
      </c>
      <c r="B131" t="n">
        <v>176</v>
      </c>
      <c r="C131" t="inlineStr">
        <is>
          <t>The Cavern</t>
        </is>
      </c>
      <c r="D131" t="inlineStr">
        <is>
          <t>NOVA COMERCIAL PESCADOS LTDA</t>
        </is>
      </c>
      <c r="E131" t="n">
        <v>1783.08</v>
      </c>
      <c r="F131" s="27" t="n">
        <v>46083</v>
      </c>
      <c r="G131" s="27" t="n">
        <v>46083</v>
      </c>
      <c r="H131" s="27" t="n">
        <v>46083</v>
      </c>
      <c r="I131" s="27" t="n">
        <v>46055</v>
      </c>
      <c r="J131" s="27" t="n">
        <v>46062</v>
      </c>
      <c r="K131" t="inlineStr">
        <is>
          <t>Boleto Bancário</t>
        </is>
      </c>
      <c r="L131" t="inlineStr">
        <is>
          <t>Custo Mercadoria Vendida</t>
        </is>
      </c>
      <c r="M131" t="inlineStr">
        <is>
          <t>Insumos - Alimentos</t>
        </is>
      </c>
      <c r="N131" t="inlineStr">
        <is>
          <t>31046</t>
        </is>
      </c>
      <c r="O131" t="inlineStr">
        <is>
          <t>Documentação Aprovada</t>
        </is>
      </c>
      <c r="P131" t="inlineStr">
        <is>
          <t>Aprovado Diretoria</t>
        </is>
      </c>
      <c r="Q131" t="inlineStr">
        <is>
          <t>Aprovado Caixa</t>
        </is>
      </c>
      <c r="R131" t="inlineStr">
        <is>
          <t>Pago</t>
        </is>
      </c>
      <c r="S131" t="n">
        <v>226</v>
      </c>
      <c r="T131" t="inlineStr">
        <is>
          <t>The Cavern - Kamino</t>
        </is>
      </c>
    </row>
    <row r="132">
      <c r="A132" t="n">
        <v>205878</v>
      </c>
      <c r="B132" t="n">
        <v>176</v>
      </c>
      <c r="C132" t="inlineStr">
        <is>
          <t>The Cavern</t>
        </is>
      </c>
      <c r="D132" t="inlineStr">
        <is>
          <t>MARCOS SILVA DO NASCIMENTO</t>
        </is>
      </c>
      <c r="E132" t="n">
        <v>1412.35</v>
      </c>
      <c r="F132" s="27" t="n">
        <v>46081</v>
      </c>
      <c r="G132" s="27" t="n">
        <v>46083</v>
      </c>
      <c r="H132" s="27" t="n">
        <v>46083</v>
      </c>
      <c r="I132" s="27" t="n">
        <v>46056</v>
      </c>
      <c r="J132" s="27" t="n">
        <v>46062</v>
      </c>
      <c r="K132" t="inlineStr">
        <is>
          <t>Boleto Bancário</t>
        </is>
      </c>
      <c r="L132" t="inlineStr">
        <is>
          <t>Custo Mercadoria Vendida</t>
        </is>
      </c>
      <c r="M132" t="inlineStr">
        <is>
          <t>Insumos - Alimentos</t>
        </is>
      </c>
      <c r="N132" t="inlineStr">
        <is>
          <t>765</t>
        </is>
      </c>
      <c r="O132" t="inlineStr">
        <is>
          <t>Documentação Aprovada</t>
        </is>
      </c>
      <c r="P132" t="inlineStr">
        <is>
          <t>Aprovado Diretoria</t>
        </is>
      </c>
      <c r="Q132" t="inlineStr">
        <is>
          <t>Aprovado Caixa</t>
        </is>
      </c>
      <c r="R132" t="inlineStr">
        <is>
          <t>Pago</t>
        </is>
      </c>
      <c r="S132" t="n">
        <v>226</v>
      </c>
      <c r="T132" t="inlineStr">
        <is>
          <t>The Cavern - Kamino</t>
        </is>
      </c>
    </row>
    <row r="133">
      <c r="A133" t="n">
        <v>202106</v>
      </c>
      <c r="B133" t="n">
        <v>176</v>
      </c>
      <c r="C133" t="inlineStr">
        <is>
          <t>The Cavern</t>
        </is>
      </c>
      <c r="D133" t="inlineStr">
        <is>
          <t>ANDREIA SANTOS FREITAS DUARTE</t>
        </is>
      </c>
      <c r="E133" t="n">
        <v>236.88</v>
      </c>
      <c r="F133" s="27" t="n">
        <v>46083</v>
      </c>
      <c r="G133" s="27" t="n">
        <v>46083</v>
      </c>
      <c r="H133" s="27" t="n">
        <v>46083</v>
      </c>
      <c r="I133" s="27" t="n">
        <v>46049</v>
      </c>
      <c r="J133" s="27" t="n">
        <v>46051</v>
      </c>
      <c r="K133" t="inlineStr">
        <is>
          <t>Boleto Bancário</t>
        </is>
      </c>
      <c r="L133" t="inlineStr">
        <is>
          <t>Custo Mercadoria Vendida</t>
        </is>
      </c>
      <c r="M133" t="inlineStr">
        <is>
          <t>Insumos - Alimentos</t>
        </is>
      </c>
      <c r="N133" t="inlineStr">
        <is>
          <t>2532</t>
        </is>
      </c>
      <c r="O133" t="inlineStr">
        <is>
          <t>Documentação Aprovada</t>
        </is>
      </c>
      <c r="P133" t="inlineStr">
        <is>
          <t>Aprovado Diretoria</t>
        </is>
      </c>
      <c r="Q133" t="inlineStr">
        <is>
          <t>Aprovado Caixa</t>
        </is>
      </c>
      <c r="R133" t="inlineStr">
        <is>
          <t>Pago</t>
        </is>
      </c>
      <c r="S133" t="n">
        <v>226</v>
      </c>
      <c r="T133" t="inlineStr">
        <is>
          <t>The Cavern - Kamino</t>
        </is>
      </c>
    </row>
    <row r="134">
      <c r="A134" t="n">
        <v>210315</v>
      </c>
      <c r="B134" t="n">
        <v>176</v>
      </c>
      <c r="C134" t="inlineStr">
        <is>
          <t>The Cavern</t>
        </is>
      </c>
      <c r="D134" t="inlineStr">
        <is>
          <t xml:space="preserve">KAMINO INSTITUICAO DE PAGAMENTO LTDA </t>
        </is>
      </c>
      <c r="E134" t="n">
        <v>400</v>
      </c>
      <c r="F134" s="27" t="n">
        <v>46082</v>
      </c>
      <c r="G134" s="27" t="n">
        <v>46083</v>
      </c>
      <c r="H134" s="27" t="n">
        <v>46083</v>
      </c>
      <c r="I134" s="27" t="n">
        <v>46072</v>
      </c>
      <c r="J134" s="27" t="n">
        <v>46076</v>
      </c>
      <c r="K134" t="inlineStr">
        <is>
          <t>Boleto Bancário</t>
        </is>
      </c>
      <c r="L134" t="inlineStr">
        <is>
          <t>Despesas Financeiras</t>
        </is>
      </c>
      <c r="M134" t="inlineStr">
        <is>
          <t>Tarifas Bancárias</t>
        </is>
      </c>
      <c r="N134" t="inlineStr">
        <is>
          <t>3019001032026</t>
        </is>
      </c>
      <c r="O134" t="inlineStr">
        <is>
          <t>Documentação Aprovada</t>
        </is>
      </c>
      <c r="P134" t="inlineStr">
        <is>
          <t>Aprovado Diretoria</t>
        </is>
      </c>
      <c r="Q134" t="inlineStr">
        <is>
          <t>Aprovado Caixa</t>
        </is>
      </c>
      <c r="R134" t="inlineStr">
        <is>
          <t>Pago</t>
        </is>
      </c>
      <c r="S134" t="n">
        <v>226</v>
      </c>
      <c r="T134" t="inlineStr">
        <is>
          <t>The Cavern - Kamino</t>
        </is>
      </c>
    </row>
    <row r="135">
      <c r="A135" t="n">
        <v>210298</v>
      </c>
      <c r="B135" t="n">
        <v>176</v>
      </c>
      <c r="C135" t="inlineStr">
        <is>
          <t>The Cavern</t>
        </is>
      </c>
      <c r="D135" t="inlineStr">
        <is>
          <t>LALAMOVE TECNOLOGIA (BRASIL) LTDA</t>
        </is>
      </c>
      <c r="E135" t="n">
        <v>255.09</v>
      </c>
      <c r="F135" s="27" t="n">
        <v>46083</v>
      </c>
      <c r="G135" s="27" t="n">
        <v>46083</v>
      </c>
      <c r="H135" s="27" t="n">
        <v>46083</v>
      </c>
      <c r="I135" s="27" t="n">
        <v>46052</v>
      </c>
      <c r="J135" s="27" t="n">
        <v>46052</v>
      </c>
      <c r="K135" t="inlineStr">
        <is>
          <t>Boleto Bancário</t>
        </is>
      </c>
      <c r="L135" t="inlineStr">
        <is>
          <t>Despesas com Transporte / Hospedagem</t>
        </is>
      </c>
      <c r="M135" t="inlineStr">
        <is>
          <t>Fretes e Carretos</t>
        </is>
      </c>
      <c r="N135" t="inlineStr">
        <is>
          <t>532026</t>
        </is>
      </c>
      <c r="O135" t="inlineStr">
        <is>
          <t>Documentação Aprovada</t>
        </is>
      </c>
      <c r="P135" t="inlineStr">
        <is>
          <t>Aprovado Diretoria</t>
        </is>
      </c>
      <c r="Q135" t="inlineStr">
        <is>
          <t>Aprovado Caixa</t>
        </is>
      </c>
      <c r="R135" t="inlineStr">
        <is>
          <t>Pago</t>
        </is>
      </c>
      <c r="S135" t="n">
        <v>226</v>
      </c>
      <c r="T135" t="inlineStr">
        <is>
          <t>The Cavern - Kamino</t>
        </is>
      </c>
    </row>
    <row r="136">
      <c r="A136" t="n">
        <v>208946</v>
      </c>
      <c r="B136" t="n">
        <v>176</v>
      </c>
      <c r="C136" t="inlineStr">
        <is>
          <t>The Cavern</t>
        </is>
      </c>
      <c r="D136" t="inlineStr">
        <is>
          <t>ESTAFF SOLUCOES TECNOLOGICAS DE AGENCIAMENTO LTDA</t>
        </is>
      </c>
      <c r="E136" t="n">
        <v>6809</v>
      </c>
      <c r="F136" s="27" t="n">
        <v>46078</v>
      </c>
      <c r="G136" s="27" t="n">
        <v>46083</v>
      </c>
      <c r="H136" s="27" t="n">
        <v>46083</v>
      </c>
      <c r="I136" s="27" t="n">
        <v>46068</v>
      </c>
      <c r="J136" s="27" t="n">
        <v>46072</v>
      </c>
      <c r="K136" t="inlineStr">
        <is>
          <t>Boleto Bancário</t>
        </is>
      </c>
      <c r="L136" t="inlineStr">
        <is>
          <t>Mão de Obra - Extra</t>
        </is>
      </c>
      <c r="M136" t="inlineStr">
        <is>
          <t>Mão de Obra Extra</t>
        </is>
      </c>
      <c r="N136" t="inlineStr">
        <is>
          <t>4619125022026</t>
        </is>
      </c>
      <c r="O136" t="inlineStr">
        <is>
          <t>Documentação Aprovada</t>
        </is>
      </c>
      <c r="P136" t="inlineStr">
        <is>
          <t>Aprovado Diretoria</t>
        </is>
      </c>
      <c r="Q136" t="inlineStr">
        <is>
          <t>Aprovado Caixa</t>
        </is>
      </c>
      <c r="R136" t="inlineStr">
        <is>
          <t>Pago</t>
        </is>
      </c>
      <c r="S136" t="n">
        <v>226</v>
      </c>
      <c r="T136" t="inlineStr">
        <is>
          <t>The Cavern - Kamino</t>
        </is>
      </c>
    </row>
    <row r="137">
      <c r="A137" t="n">
        <v>206435</v>
      </c>
      <c r="B137" t="n">
        <v>176</v>
      </c>
      <c r="C137" t="inlineStr">
        <is>
          <t>The Cavern</t>
        </is>
      </c>
      <c r="D137" t="inlineStr">
        <is>
          <t>ANALUISA SCALON DE OLIVEIRA GONCALVES</t>
        </is>
      </c>
      <c r="E137" t="n">
        <v>386.73</v>
      </c>
      <c r="F137" s="27" t="n">
        <v>46078</v>
      </c>
      <c r="G137" s="27" t="n">
        <v>46083</v>
      </c>
      <c r="H137" s="27" t="n">
        <v>46083</v>
      </c>
      <c r="I137" s="27" t="n">
        <v>46063</v>
      </c>
      <c r="J137" s="27" t="n">
        <v>46064</v>
      </c>
      <c r="K137" t="inlineStr">
        <is>
          <t>Transferência Bancária ou Pix</t>
        </is>
      </c>
      <c r="L137" t="inlineStr">
        <is>
          <t>Mão de Obra - Benefícios</t>
        </is>
      </c>
      <c r="M137" t="inlineStr">
        <is>
          <t xml:space="preserve">  -  Vale-transporte</t>
        </is>
      </c>
      <c r="N137" t="inlineStr">
        <is>
          <t>046-2026</t>
        </is>
      </c>
      <c r="O137" t="inlineStr">
        <is>
          <t>Documentação Aprovada</t>
        </is>
      </c>
      <c r="P137" t="inlineStr">
        <is>
          <t>Aprovado Diretoria</t>
        </is>
      </c>
      <c r="Q137" t="inlineStr">
        <is>
          <t>Aprovado Caixa</t>
        </is>
      </c>
      <c r="R137" t="inlineStr">
        <is>
          <t>Pago</t>
        </is>
      </c>
      <c r="S137" t="n">
        <v>226</v>
      </c>
      <c r="T137" t="inlineStr">
        <is>
          <t>The Cavern - Kamino</t>
        </is>
      </c>
    </row>
    <row r="138">
      <c r="A138" t="n">
        <v>215754</v>
      </c>
      <c r="B138" t="n">
        <v>176</v>
      </c>
      <c r="C138" t="inlineStr">
        <is>
          <t>The Cavern</t>
        </is>
      </c>
      <c r="D138" t="inlineStr">
        <is>
          <t>ZIGPAY LTDAS -ME</t>
        </is>
      </c>
      <c r="E138" t="n">
        <v>2234.72</v>
      </c>
      <c r="F138" s="27" t="n">
        <v>46081</v>
      </c>
      <c r="G138" s="27" t="n"/>
      <c r="H138" s="27" t="n">
        <v>46081</v>
      </c>
      <c r="I138" s="27" t="n">
        <v>46081</v>
      </c>
      <c r="J138" s="27" t="n"/>
      <c r="K138" t="inlineStr">
        <is>
          <t xml:space="preserve">Debito Automático </t>
        </is>
      </c>
      <c r="L138" t="inlineStr">
        <is>
          <t>Deduções sobre Venda</t>
        </is>
      </c>
      <c r="M138" t="inlineStr">
        <is>
          <t>Meios de pagamento</t>
        </is>
      </c>
      <c r="O138" t="inlineStr">
        <is>
          <t>Documentação Aprovada</t>
        </is>
      </c>
      <c r="P138" t="inlineStr">
        <is>
          <t>Aprovado Diretoria</t>
        </is>
      </c>
      <c r="Q138" t="inlineStr">
        <is>
          <t>Aprovado Caixa</t>
        </is>
      </c>
      <c r="R138" t="inlineStr">
        <is>
          <t>Pago</t>
        </is>
      </c>
      <c r="S138" t="n">
        <v>220</v>
      </c>
      <c r="T138" t="inlineStr">
        <is>
          <t>The Cavern - Zigpay</t>
        </is>
      </c>
    </row>
    <row r="139">
      <c r="A139" t="n">
        <v>213377</v>
      </c>
      <c r="B139" t="n">
        <v>176</v>
      </c>
      <c r="C139" t="inlineStr">
        <is>
          <t>The Cavern</t>
        </is>
      </c>
      <c r="D139" t="inlineStr">
        <is>
          <t xml:space="preserve">KAMINO INSTITUICAO DE PAGAMENTO LTDA </t>
        </is>
      </c>
      <c r="E139" t="n">
        <v>1</v>
      </c>
      <c r="F139" s="27" t="n">
        <v>46080</v>
      </c>
      <c r="G139" s="27" t="n"/>
      <c r="H139" s="27" t="n">
        <v>46080</v>
      </c>
      <c r="I139" s="27" t="n">
        <v>46080</v>
      </c>
      <c r="J139" s="27" t="n"/>
      <c r="K139" t="inlineStr">
        <is>
          <t xml:space="preserve">Debito Automático </t>
        </is>
      </c>
      <c r="L139" t="inlineStr">
        <is>
          <t>Despesas Financeiras</t>
        </is>
      </c>
      <c r="M139" t="inlineStr">
        <is>
          <t>Tarifas Bancárias</t>
        </is>
      </c>
      <c r="O139" t="inlineStr">
        <is>
          <t>Documentação Aprovada</t>
        </is>
      </c>
      <c r="P139" t="inlineStr">
        <is>
          <t>Aprovado Diretoria</t>
        </is>
      </c>
      <c r="Q139" t="inlineStr">
        <is>
          <t>Aprovado Caixa</t>
        </is>
      </c>
      <c r="R139" t="inlineStr">
        <is>
          <t>Pago</t>
        </is>
      </c>
      <c r="S139" t="n">
        <v>226</v>
      </c>
      <c r="T139" t="inlineStr">
        <is>
          <t>The Cavern - Kamino</t>
        </is>
      </c>
    </row>
    <row r="140">
      <c r="A140" t="n">
        <v>208077</v>
      </c>
      <c r="B140" t="n">
        <v>176</v>
      </c>
      <c r="C140" t="inlineStr">
        <is>
          <t>The Cavern</t>
        </is>
      </c>
      <c r="D140" t="inlineStr">
        <is>
          <t xml:space="preserve">MS FRANGOS LTDA </t>
        </is>
      </c>
      <c r="E140" t="n">
        <v>337.23</v>
      </c>
      <c r="F140" s="27" t="n">
        <v>46080</v>
      </c>
      <c r="G140" s="27" t="n">
        <v>46080</v>
      </c>
      <c r="H140" s="27" t="n">
        <v>46080</v>
      </c>
      <c r="I140" s="27" t="n">
        <v>46065</v>
      </c>
      <c r="J140" s="27" t="n">
        <v>46069</v>
      </c>
      <c r="K140" t="inlineStr">
        <is>
          <t>Boleto Bancário</t>
        </is>
      </c>
      <c r="L140" t="inlineStr">
        <is>
          <t>Custo Mercadoria Vendida</t>
        </is>
      </c>
      <c r="M140" t="inlineStr">
        <is>
          <t>Insumos - Alimentos</t>
        </is>
      </c>
      <c r="N140" t="inlineStr">
        <is>
          <t>45497</t>
        </is>
      </c>
      <c r="O140" t="inlineStr">
        <is>
          <t>Documentação Aprovada</t>
        </is>
      </c>
      <c r="P140" t="inlineStr">
        <is>
          <t>Aprovado Diretoria</t>
        </is>
      </c>
      <c r="Q140" t="inlineStr">
        <is>
          <t>Aprovado Caixa</t>
        </is>
      </c>
      <c r="R140" t="inlineStr">
        <is>
          <t>Pago</t>
        </is>
      </c>
      <c r="S140" t="n">
        <v>226</v>
      </c>
      <c r="T140" t="inlineStr">
        <is>
          <t>The Cavern - Kamino</t>
        </is>
      </c>
    </row>
    <row r="141">
      <c r="A141" t="n">
        <v>208148</v>
      </c>
      <c r="B141" t="n">
        <v>176</v>
      </c>
      <c r="C141" t="inlineStr">
        <is>
          <t>The Cavern</t>
        </is>
      </c>
      <c r="D141" t="inlineStr">
        <is>
          <t>PAULO SERGIO LOPES MARTINS DE FREITAS</t>
        </is>
      </c>
      <c r="E141" t="n">
        <v>7415.6</v>
      </c>
      <c r="F141" s="27" t="n">
        <v>46076</v>
      </c>
      <c r="G141" s="27" t="n">
        <v>46080</v>
      </c>
      <c r="H141" s="27" t="n">
        <v>46080</v>
      </c>
      <c r="I141" s="27" t="n">
        <v>46069</v>
      </c>
      <c r="J141" s="27" t="n">
        <v>46069</v>
      </c>
      <c r="K141" t="inlineStr">
        <is>
          <t>Transferência Bancária ou Pix</t>
        </is>
      </c>
      <c r="L141" t="inlineStr">
        <is>
          <t>Gorjeta</t>
        </is>
      </c>
      <c r="M141" t="inlineStr">
        <is>
          <t xml:space="preserve">  -  Comissões e Gorjeta</t>
        </is>
      </c>
      <c r="N141" t="inlineStr">
        <is>
          <t>0472026</t>
        </is>
      </c>
      <c r="O141" t="inlineStr">
        <is>
          <t>Documentação Aprovada</t>
        </is>
      </c>
      <c r="P141" t="inlineStr">
        <is>
          <t>Aprovado Diretoria</t>
        </is>
      </c>
      <c r="Q141" t="inlineStr">
        <is>
          <t>Aprovado Caixa</t>
        </is>
      </c>
      <c r="R141" t="inlineStr">
        <is>
          <t>Pago</t>
        </is>
      </c>
      <c r="S141" t="n">
        <v>226</v>
      </c>
      <c r="T141" t="inlineStr">
        <is>
          <t>The Cavern - Kamino</t>
        </is>
      </c>
    </row>
    <row r="142">
      <c r="A142" t="n">
        <v>209752</v>
      </c>
      <c r="B142" t="n">
        <v>176</v>
      </c>
      <c r="C142" t="inlineStr">
        <is>
          <t>The Cavern</t>
        </is>
      </c>
      <c r="D142" t="inlineStr">
        <is>
          <t>ANALUISA SCALON DE OLIVEIRA GONCALVES</t>
        </is>
      </c>
      <c r="E142" t="n">
        <v>688.75</v>
      </c>
      <c r="F142" s="27" t="n">
        <v>46076</v>
      </c>
      <c r="G142" s="27" t="n">
        <v>46080</v>
      </c>
      <c r="H142" s="27" t="n">
        <v>46080</v>
      </c>
      <c r="I142" s="27" t="n">
        <v>46073</v>
      </c>
      <c r="J142" s="27" t="n">
        <v>46073</v>
      </c>
      <c r="K142" t="inlineStr">
        <is>
          <t>Transferência Bancária ou Pix</t>
        </is>
      </c>
      <c r="L142" t="inlineStr">
        <is>
          <t>Utilidades</t>
        </is>
      </c>
      <c r="M142" t="inlineStr">
        <is>
          <t>Material de Escritorio</t>
        </is>
      </c>
      <c r="N142" t="inlineStr">
        <is>
          <t>512026</t>
        </is>
      </c>
      <c r="O142" t="inlineStr">
        <is>
          <t>Documentação Aprovada</t>
        </is>
      </c>
      <c r="P142" t="inlineStr">
        <is>
          <t>Aprovado Diretoria</t>
        </is>
      </c>
      <c r="Q142" t="inlineStr">
        <is>
          <t>Aprovado Caixa</t>
        </is>
      </c>
      <c r="R142" t="inlineStr">
        <is>
          <t>Pago</t>
        </is>
      </c>
      <c r="S142" t="n">
        <v>226</v>
      </c>
      <c r="T142" t="inlineStr">
        <is>
          <t>The Cavern - Kamino</t>
        </is>
      </c>
    </row>
    <row r="143">
      <c r="A143" t="n">
        <v>209756</v>
      </c>
      <c r="B143" t="n">
        <v>176</v>
      </c>
      <c r="C143" t="inlineStr">
        <is>
          <t>The Cavern</t>
        </is>
      </c>
      <c r="D143" t="inlineStr">
        <is>
          <t>MAR DIRETO POC COMERCIO DE PEIXES LTDA</t>
        </is>
      </c>
      <c r="E143" t="n">
        <v>1309.75</v>
      </c>
      <c r="F143" s="27" t="n">
        <v>46080</v>
      </c>
      <c r="G143" s="27" t="n">
        <v>46080</v>
      </c>
      <c r="H143" s="27" t="n">
        <v>46080</v>
      </c>
      <c r="I143" s="27" t="n">
        <v>46073</v>
      </c>
      <c r="J143" s="27" t="n">
        <v>46073</v>
      </c>
      <c r="K143" t="inlineStr">
        <is>
          <t>Boleto Bancário</t>
        </is>
      </c>
      <c r="L143" t="inlineStr">
        <is>
          <t>Custo Mercadoria Vendida</t>
        </is>
      </c>
      <c r="M143" t="inlineStr">
        <is>
          <t>Insumos - Alimentos</t>
        </is>
      </c>
      <c r="N143" t="inlineStr">
        <is>
          <t>117471</t>
        </is>
      </c>
      <c r="O143" t="inlineStr">
        <is>
          <t>Documentação Aprovada</t>
        </is>
      </c>
      <c r="P143" t="inlineStr">
        <is>
          <t>Aprovado Diretoria</t>
        </is>
      </c>
      <c r="Q143" t="inlineStr">
        <is>
          <t>Aprovado Caixa</t>
        </is>
      </c>
      <c r="R143" t="inlineStr">
        <is>
          <t>Pago</t>
        </is>
      </c>
      <c r="S143" t="n">
        <v>226</v>
      </c>
      <c r="T143" t="inlineStr">
        <is>
          <t>The Cavern - Kamino</t>
        </is>
      </c>
    </row>
    <row r="144">
      <c r="A144" t="n">
        <v>208578</v>
      </c>
      <c r="B144" t="n">
        <v>176</v>
      </c>
      <c r="C144" t="inlineStr">
        <is>
          <t>The Cavern</t>
        </is>
      </c>
      <c r="D144" t="inlineStr">
        <is>
          <t>PSSS LTDA</t>
        </is>
      </c>
      <c r="E144" t="n">
        <v>723.2</v>
      </c>
      <c r="F144" s="27" t="n">
        <v>46080</v>
      </c>
      <c r="G144" s="27" t="n">
        <v>46080</v>
      </c>
      <c r="H144" s="27" t="n">
        <v>46080</v>
      </c>
      <c r="I144" s="27" t="n">
        <v>46063</v>
      </c>
      <c r="J144" s="27" t="n">
        <v>46071</v>
      </c>
      <c r="K144" t="inlineStr">
        <is>
          <t>Boleto Bancário</t>
        </is>
      </c>
      <c r="L144" t="inlineStr">
        <is>
          <t>Utilidades</t>
        </is>
      </c>
      <c r="M144" t="inlineStr">
        <is>
          <t>Higiene e Limpeza</t>
        </is>
      </c>
      <c r="N144" t="inlineStr">
        <is>
          <t>3120</t>
        </is>
      </c>
      <c r="O144" t="inlineStr">
        <is>
          <t>Documentação Aprovada</t>
        </is>
      </c>
      <c r="P144" t="inlineStr">
        <is>
          <t>Aprovado Diretoria</t>
        </is>
      </c>
      <c r="Q144" t="inlineStr">
        <is>
          <t>Aprovado Caixa</t>
        </is>
      </c>
      <c r="R144" t="inlineStr">
        <is>
          <t>Pago</t>
        </is>
      </c>
      <c r="S144" t="n">
        <v>226</v>
      </c>
      <c r="T144" t="inlineStr">
        <is>
          <t>The Cavern - Kamino</t>
        </is>
      </c>
    </row>
    <row r="145">
      <c r="A145" t="n">
        <v>208594</v>
      </c>
      <c r="B145" t="n">
        <v>176</v>
      </c>
      <c r="C145" t="inlineStr">
        <is>
          <t>The Cavern</t>
        </is>
      </c>
      <c r="D145" t="inlineStr">
        <is>
          <t>PSSS LTDA</t>
        </is>
      </c>
      <c r="E145" t="n">
        <v>59</v>
      </c>
      <c r="F145" s="27" t="n">
        <v>46080</v>
      </c>
      <c r="G145" s="27" t="n">
        <v>46080</v>
      </c>
      <c r="H145" s="27" t="n">
        <v>46080</v>
      </c>
      <c r="I145" s="27" t="n">
        <v>46063</v>
      </c>
      <c r="J145" s="27" t="n">
        <v>46071</v>
      </c>
      <c r="K145" t="inlineStr">
        <is>
          <t>Boleto Bancário</t>
        </is>
      </c>
      <c r="L145" t="inlineStr">
        <is>
          <t>Utilidades</t>
        </is>
      </c>
      <c r="M145" t="inlineStr">
        <is>
          <t>Higiene e Limpeza</t>
        </is>
      </c>
      <c r="N145" t="inlineStr">
        <is>
          <t>3128</t>
        </is>
      </c>
      <c r="O145" t="inlineStr">
        <is>
          <t>Documentação Aprovada</t>
        </is>
      </c>
      <c r="P145" t="inlineStr">
        <is>
          <t>Aprovado Diretoria</t>
        </is>
      </c>
      <c r="Q145" t="inlineStr">
        <is>
          <t>Aprovado Caixa</t>
        </is>
      </c>
      <c r="R145" t="inlineStr">
        <is>
          <t>Pago</t>
        </is>
      </c>
      <c r="S145" t="n">
        <v>226</v>
      </c>
      <c r="T145" t="inlineStr">
        <is>
          <t>The Cavern - Kamino</t>
        </is>
      </c>
    </row>
    <row r="146">
      <c r="A146" t="n">
        <v>203697</v>
      </c>
      <c r="B146" t="n">
        <v>176</v>
      </c>
      <c r="C146" t="inlineStr">
        <is>
          <t>The Cavern</t>
        </is>
      </c>
      <c r="D146" t="inlineStr">
        <is>
          <t xml:space="preserve">HORTIFRUTI DO CHEF LTDA </t>
        </is>
      </c>
      <c r="E146" t="n">
        <v>536.7</v>
      </c>
      <c r="F146" s="27" t="n">
        <v>46080</v>
      </c>
      <c r="G146" s="27" t="n">
        <v>46080</v>
      </c>
      <c r="H146" s="27" t="n">
        <v>46080</v>
      </c>
      <c r="I146" s="27" t="n">
        <v>46052</v>
      </c>
      <c r="J146" s="27" t="n">
        <v>46057</v>
      </c>
      <c r="K146" t="inlineStr">
        <is>
          <t>Boleto Bancário</t>
        </is>
      </c>
      <c r="L146" t="inlineStr">
        <is>
          <t>Custo Mercadoria Vendida</t>
        </is>
      </c>
      <c r="M146" t="inlineStr">
        <is>
          <t>Insumos - Alimentos</t>
        </is>
      </c>
      <c r="N146" t="inlineStr">
        <is>
          <t>28802</t>
        </is>
      </c>
      <c r="O146" t="inlineStr">
        <is>
          <t>Documentação Aprovada</t>
        </is>
      </c>
      <c r="P146" t="inlineStr">
        <is>
          <t>Aprovado Diretoria</t>
        </is>
      </c>
      <c r="Q146" t="inlineStr">
        <is>
          <t>Aprovado Caixa</t>
        </is>
      </c>
      <c r="R146" t="inlineStr">
        <is>
          <t>Pago</t>
        </is>
      </c>
      <c r="S146" t="n">
        <v>226</v>
      </c>
      <c r="T146" t="inlineStr">
        <is>
          <t>The Cavern - Kamino</t>
        </is>
      </c>
    </row>
    <row r="147">
      <c r="A147" t="n">
        <v>203649</v>
      </c>
      <c r="B147" t="n">
        <v>176</v>
      </c>
      <c r="C147" t="inlineStr">
        <is>
          <t>The Cavern</t>
        </is>
      </c>
      <c r="D147" t="inlineStr">
        <is>
          <t>CECILIA TSUYACO ARAKI SILVA LTDA</t>
        </is>
      </c>
      <c r="E147" t="n">
        <v>1292.5</v>
      </c>
      <c r="F147" s="27" t="n">
        <v>46080</v>
      </c>
      <c r="G147" s="27" t="n">
        <v>46080</v>
      </c>
      <c r="H147" s="27" t="n">
        <v>46080</v>
      </c>
      <c r="I147" s="27" t="n">
        <v>46052</v>
      </c>
      <c r="J147" s="27" t="n">
        <v>46057</v>
      </c>
      <c r="K147" t="inlineStr">
        <is>
          <t>Boleto Bancário</t>
        </is>
      </c>
      <c r="L147" t="inlineStr">
        <is>
          <t>Custo Mercadoria Vendida</t>
        </is>
      </c>
      <c r="M147" t="inlineStr">
        <is>
          <t>Insumos - Alimentos</t>
        </is>
      </c>
      <c r="N147" t="inlineStr">
        <is>
          <t>386005</t>
        </is>
      </c>
      <c r="O147" t="inlineStr">
        <is>
          <t>Documentação Aprovada</t>
        </is>
      </c>
      <c r="P147" t="inlineStr">
        <is>
          <t>Aprovado Diretoria</t>
        </is>
      </c>
      <c r="Q147" t="inlineStr">
        <is>
          <t>Aprovado Caixa</t>
        </is>
      </c>
      <c r="R147" t="inlineStr">
        <is>
          <t>Pago</t>
        </is>
      </c>
      <c r="S147" t="n">
        <v>226</v>
      </c>
      <c r="T147" t="inlineStr">
        <is>
          <t>The Cavern - Kamino</t>
        </is>
      </c>
    </row>
    <row r="148">
      <c r="A148" t="n">
        <v>203669</v>
      </c>
      <c r="B148" t="n">
        <v>176</v>
      </c>
      <c r="C148" t="inlineStr">
        <is>
          <t>The Cavern</t>
        </is>
      </c>
      <c r="D148" t="inlineStr">
        <is>
          <t>MARIO PEDRO FELICIANO - HORTIFRUTI</t>
        </is>
      </c>
      <c r="E148" t="n">
        <v>422.83</v>
      </c>
      <c r="F148" s="27" t="n">
        <v>46080</v>
      </c>
      <c r="G148" s="27" t="n">
        <v>46080</v>
      </c>
      <c r="H148" s="27" t="n">
        <v>46080</v>
      </c>
      <c r="I148" s="27" t="n">
        <v>46052</v>
      </c>
      <c r="J148" s="27" t="n">
        <v>46057</v>
      </c>
      <c r="K148" t="inlineStr">
        <is>
          <t>Boleto Bancário</t>
        </is>
      </c>
      <c r="L148" t="inlineStr">
        <is>
          <t>Custo Mercadoria Vendida</t>
        </is>
      </c>
      <c r="M148" t="inlineStr">
        <is>
          <t>Insumos - Alimentos</t>
        </is>
      </c>
      <c r="N148" t="inlineStr">
        <is>
          <t>466325</t>
        </is>
      </c>
      <c r="O148" t="inlineStr">
        <is>
          <t>Documentação Aprovada</t>
        </is>
      </c>
      <c r="P148" t="inlineStr">
        <is>
          <t>Aprovado Diretoria</t>
        </is>
      </c>
      <c r="Q148" t="inlineStr">
        <is>
          <t>Aprovado Caixa</t>
        </is>
      </c>
      <c r="R148" t="inlineStr">
        <is>
          <t>Pago</t>
        </is>
      </c>
      <c r="S148" t="n">
        <v>226</v>
      </c>
      <c r="T148" t="inlineStr">
        <is>
          <t>The Cavern - Kamino</t>
        </is>
      </c>
    </row>
    <row r="149">
      <c r="A149" t="n">
        <v>205696</v>
      </c>
      <c r="B149" t="n">
        <v>176</v>
      </c>
      <c r="C149" t="inlineStr">
        <is>
          <t>The Cavern</t>
        </is>
      </c>
      <c r="D149" t="inlineStr">
        <is>
          <t>VALE TRANSPORTE</t>
        </is>
      </c>
      <c r="E149" t="n">
        <v>3151.14</v>
      </c>
      <c r="F149" s="27" t="n">
        <v>46080</v>
      </c>
      <c r="G149" s="27" t="n">
        <v>46083</v>
      </c>
      <c r="H149" s="27" t="n">
        <v>46080</v>
      </c>
      <c r="I149" s="27" t="n">
        <v>46082</v>
      </c>
      <c r="J149" s="27" t="n">
        <v>46082</v>
      </c>
      <c r="K149" t="inlineStr">
        <is>
          <t>Boleto Bancário</t>
        </is>
      </c>
      <c r="L149" t="inlineStr">
        <is>
          <t>Mão de Obra - Benefícios</t>
        </is>
      </c>
      <c r="M149" t="inlineStr">
        <is>
          <t xml:space="preserve">  -  Vale-transporte</t>
        </is>
      </c>
      <c r="N149" t="inlineStr">
        <is>
          <t>315114 032026</t>
        </is>
      </c>
      <c r="O149" t="inlineStr">
        <is>
          <t>Documentação Aprovada</t>
        </is>
      </c>
      <c r="P149" t="inlineStr">
        <is>
          <t>Aprovado Diretoria</t>
        </is>
      </c>
      <c r="Q149" t="inlineStr">
        <is>
          <t>Aprovado Caixa</t>
        </is>
      </c>
      <c r="R149" t="inlineStr">
        <is>
          <t>Pago</t>
        </is>
      </c>
      <c r="S149" t="n">
        <v>226</v>
      </c>
      <c r="T149" t="inlineStr">
        <is>
          <t>The Cavern - Kamino</t>
        </is>
      </c>
    </row>
    <row r="150">
      <c r="A150" t="n">
        <v>205862</v>
      </c>
      <c r="B150" t="n">
        <v>176</v>
      </c>
      <c r="C150" t="inlineStr">
        <is>
          <t>The Cavern</t>
        </is>
      </c>
      <c r="D150" t="inlineStr">
        <is>
          <t>CG FOOD´S DISTRIBUIDORA DE ALIMENTOS LTDA</t>
        </is>
      </c>
      <c r="E150" t="n">
        <v>414.7</v>
      </c>
      <c r="F150" s="27" t="n">
        <v>46080</v>
      </c>
      <c r="G150" s="27" t="n">
        <v>46080</v>
      </c>
      <c r="H150" s="27" t="n">
        <v>46080</v>
      </c>
      <c r="I150" s="27" t="n">
        <v>46059</v>
      </c>
      <c r="J150" s="27" t="n">
        <v>46062</v>
      </c>
      <c r="K150" t="inlineStr">
        <is>
          <t>Boleto Bancário</t>
        </is>
      </c>
      <c r="L150" t="inlineStr">
        <is>
          <t>Custo Mercadoria Vendida</t>
        </is>
      </c>
      <c r="M150" t="inlineStr">
        <is>
          <t>Insumos - Bebidas</t>
        </is>
      </c>
      <c r="N150" t="inlineStr">
        <is>
          <t>178798</t>
        </is>
      </c>
      <c r="O150" t="inlineStr">
        <is>
          <t>Documentação Aprovada</t>
        </is>
      </c>
      <c r="P150" t="inlineStr">
        <is>
          <t>Aprovado Diretoria</t>
        </is>
      </c>
      <c r="Q150" t="inlineStr">
        <is>
          <t>Aprovado Caixa</t>
        </is>
      </c>
      <c r="R150" t="inlineStr">
        <is>
          <t>Pago</t>
        </is>
      </c>
      <c r="S150" t="n">
        <v>226</v>
      </c>
      <c r="T150" t="inlineStr">
        <is>
          <t>The Cavern - Kamino</t>
        </is>
      </c>
    </row>
    <row r="151">
      <c r="A151" t="n">
        <v>203034</v>
      </c>
      <c r="B151" t="n">
        <v>176</v>
      </c>
      <c r="C151" t="inlineStr">
        <is>
          <t>The Cavern</t>
        </is>
      </c>
      <c r="D151" t="inlineStr">
        <is>
          <t>DTK COMERCIO DE ALIMENTOS LTDA</t>
        </is>
      </c>
      <c r="E151" t="n">
        <v>372.09</v>
      </c>
      <c r="F151" s="27" t="n">
        <v>46080</v>
      </c>
      <c r="G151" s="27" t="n">
        <v>46080</v>
      </c>
      <c r="H151" s="27" t="n">
        <v>46080</v>
      </c>
      <c r="I151" s="27" t="n">
        <v>46052</v>
      </c>
      <c r="J151" s="27" t="n">
        <v>46055</v>
      </c>
      <c r="K151" t="inlineStr">
        <is>
          <t>Boleto Bancário</t>
        </is>
      </c>
      <c r="L151" t="inlineStr">
        <is>
          <t>Custo Mercadoria Vendida</t>
        </is>
      </c>
      <c r="M151" t="inlineStr">
        <is>
          <t>Insumos - Alimentos</t>
        </is>
      </c>
      <c r="N151" t="inlineStr">
        <is>
          <t>63148</t>
        </is>
      </c>
      <c r="O151" t="inlineStr">
        <is>
          <t>Documentação Aprovada</t>
        </is>
      </c>
      <c r="P151" t="inlineStr">
        <is>
          <t>Aprovado Diretoria</t>
        </is>
      </c>
      <c r="Q151" t="inlineStr">
        <is>
          <t>Aprovado Caixa</t>
        </is>
      </c>
      <c r="R151" t="inlineStr">
        <is>
          <t>Pago</t>
        </is>
      </c>
      <c r="S151" t="n">
        <v>226</v>
      </c>
      <c r="T151" t="inlineStr">
        <is>
          <t>The Cavern - Kamino</t>
        </is>
      </c>
    </row>
    <row r="152">
      <c r="A152" t="n">
        <v>202913</v>
      </c>
      <c r="B152" t="n">
        <v>176</v>
      </c>
      <c r="C152" t="inlineStr">
        <is>
          <t>The Cavern</t>
        </is>
      </c>
      <c r="D152" t="inlineStr">
        <is>
          <t>EMPORIO M&amp;L COMERCIO DE ALIM E BEBIDAS LTDA</t>
        </is>
      </c>
      <c r="E152" t="n">
        <v>432.44</v>
      </c>
      <c r="F152" s="27" t="n">
        <v>46080</v>
      </c>
      <c r="G152" s="27" t="n">
        <v>46080</v>
      </c>
      <c r="H152" s="27" t="n">
        <v>46080</v>
      </c>
      <c r="I152" s="27" t="n">
        <v>46051</v>
      </c>
      <c r="J152" s="27" t="n">
        <v>46053</v>
      </c>
      <c r="K152" t="inlineStr">
        <is>
          <t>Boleto Bancário</t>
        </is>
      </c>
      <c r="L152" t="inlineStr">
        <is>
          <t>Custo Mercadoria Vendida</t>
        </is>
      </c>
      <c r="M152" t="inlineStr">
        <is>
          <t>Insumos - Alimentos</t>
        </is>
      </c>
      <c r="N152" t="inlineStr">
        <is>
          <t>494115</t>
        </is>
      </c>
      <c r="O152" t="inlineStr">
        <is>
          <t>Documentação Aprovada</t>
        </is>
      </c>
      <c r="P152" t="inlineStr">
        <is>
          <t>Aprovado Diretoria</t>
        </is>
      </c>
      <c r="Q152" t="inlineStr">
        <is>
          <t>Aprovado Caixa</t>
        </is>
      </c>
      <c r="R152" t="inlineStr">
        <is>
          <t>Pago</t>
        </is>
      </c>
      <c r="S152" t="n">
        <v>226</v>
      </c>
      <c r="T152" t="inlineStr">
        <is>
          <t>The Cavern - Kamino</t>
        </is>
      </c>
    </row>
    <row r="153">
      <c r="A153" t="n">
        <v>203015</v>
      </c>
      <c r="B153" t="n">
        <v>176</v>
      </c>
      <c r="C153" t="inlineStr">
        <is>
          <t>The Cavern</t>
        </is>
      </c>
      <c r="D153" t="inlineStr">
        <is>
          <t>FG7 COMERCIO E DISTRIBUICAO DE BEBIDAS LTDA</t>
        </is>
      </c>
      <c r="E153" t="n">
        <v>453.9</v>
      </c>
      <c r="F153" s="27" t="n">
        <v>46080</v>
      </c>
      <c r="G153" s="27" t="n">
        <v>46080</v>
      </c>
      <c r="H153" s="27" t="n">
        <v>46080</v>
      </c>
      <c r="I153" s="27" t="n">
        <v>46052</v>
      </c>
      <c r="J153" s="27" t="n">
        <v>46055</v>
      </c>
      <c r="K153" t="inlineStr">
        <is>
          <t>Boleto Bancário</t>
        </is>
      </c>
      <c r="L153" t="inlineStr">
        <is>
          <t>Custo Mercadoria Vendida</t>
        </is>
      </c>
      <c r="M153" t="inlineStr">
        <is>
          <t>Insumos - Bebidas</t>
        </is>
      </c>
      <c r="N153" t="inlineStr">
        <is>
          <t>740928</t>
        </is>
      </c>
      <c r="O153" t="inlineStr">
        <is>
          <t>Documentação Aprovada</t>
        </is>
      </c>
      <c r="P153" t="inlineStr">
        <is>
          <t>Aprovado Diretoria</t>
        </is>
      </c>
      <c r="Q153" t="inlineStr">
        <is>
          <t>Aprovado Caixa</t>
        </is>
      </c>
      <c r="R153" t="inlineStr">
        <is>
          <t>Pago</t>
        </is>
      </c>
      <c r="S153" t="n">
        <v>226</v>
      </c>
      <c r="T153" t="inlineStr">
        <is>
          <t>The Cavern - Kamino</t>
        </is>
      </c>
    </row>
    <row r="154">
      <c r="A154" t="n">
        <v>203012</v>
      </c>
      <c r="B154" t="n">
        <v>176</v>
      </c>
      <c r="C154" t="inlineStr">
        <is>
          <t>The Cavern</t>
        </is>
      </c>
      <c r="D154" t="inlineStr">
        <is>
          <t xml:space="preserve">FORTE ALIMENTOS COM. IMPORTAÇÃO LTDA </t>
        </is>
      </c>
      <c r="E154" t="n">
        <v>551.64</v>
      </c>
      <c r="F154" s="27" t="n">
        <v>46080</v>
      </c>
      <c r="G154" s="27" t="n">
        <v>46080</v>
      </c>
      <c r="H154" s="27" t="n">
        <v>46080</v>
      </c>
      <c r="I154" s="27" t="n">
        <v>46051</v>
      </c>
      <c r="J154" s="27" t="n">
        <v>46055</v>
      </c>
      <c r="K154" t="inlineStr">
        <is>
          <t>Boleto Bancário</t>
        </is>
      </c>
      <c r="L154" t="inlineStr">
        <is>
          <t>Custo Mercadoria Vendida</t>
        </is>
      </c>
      <c r="M154" t="inlineStr">
        <is>
          <t>Insumos - Alimentos</t>
        </is>
      </c>
      <c r="N154" t="inlineStr">
        <is>
          <t>355833</t>
        </is>
      </c>
      <c r="O154" t="inlineStr">
        <is>
          <t>Documentação Aprovada</t>
        </is>
      </c>
      <c r="P154" t="inlineStr">
        <is>
          <t>Aprovado Diretoria</t>
        </is>
      </c>
      <c r="Q154" t="inlineStr">
        <is>
          <t>Aprovado Caixa</t>
        </is>
      </c>
      <c r="R154" t="inlineStr">
        <is>
          <t>Pago</t>
        </is>
      </c>
      <c r="S154" t="n">
        <v>226</v>
      </c>
      <c r="T154" t="inlineStr">
        <is>
          <t>The Cavern - Kamino</t>
        </is>
      </c>
    </row>
    <row r="155">
      <c r="A155" t="n">
        <v>203281</v>
      </c>
      <c r="B155" t="n">
        <v>176</v>
      </c>
      <c r="C155" t="inlineStr">
        <is>
          <t>The Cavern</t>
        </is>
      </c>
      <c r="D155" t="inlineStr">
        <is>
          <t>WPP COMERCIO DE CARNES LTDA</t>
        </is>
      </c>
      <c r="E155" t="n">
        <v>169.39</v>
      </c>
      <c r="F155" s="27" t="n">
        <v>46080</v>
      </c>
      <c r="G155" s="27" t="n">
        <v>46080</v>
      </c>
      <c r="H155" s="27" t="n">
        <v>46080</v>
      </c>
      <c r="I155" s="27" t="n">
        <v>46052</v>
      </c>
      <c r="J155" s="27" t="n">
        <v>46056</v>
      </c>
      <c r="K155" t="inlineStr">
        <is>
          <t>Boleto Bancário</t>
        </is>
      </c>
      <c r="L155" t="inlineStr">
        <is>
          <t>Custo Mercadoria Vendida</t>
        </is>
      </c>
      <c r="M155" t="inlineStr">
        <is>
          <t>Insumos - Alimentos</t>
        </is>
      </c>
      <c r="N155" t="inlineStr">
        <is>
          <t>77040</t>
        </is>
      </c>
      <c r="O155" t="inlineStr">
        <is>
          <t>Documentação Aprovada</t>
        </is>
      </c>
      <c r="P155" t="inlineStr">
        <is>
          <t>Aprovado Diretoria</t>
        </is>
      </c>
      <c r="Q155" t="inlineStr">
        <is>
          <t>Aprovado Caixa</t>
        </is>
      </c>
      <c r="R155" t="inlineStr">
        <is>
          <t>Pago</t>
        </is>
      </c>
      <c r="S155" t="n">
        <v>226</v>
      </c>
      <c r="T155" t="inlineStr">
        <is>
          <t>The Cavern - Kamino</t>
        </is>
      </c>
    </row>
    <row r="156">
      <c r="A156" t="n">
        <v>202912</v>
      </c>
      <c r="B156" t="n">
        <v>176</v>
      </c>
      <c r="C156" t="inlineStr">
        <is>
          <t>The Cavern</t>
        </is>
      </c>
      <c r="D156" t="inlineStr">
        <is>
          <t>CECILIA TSUYACO ARAKI SILVA LTDA</t>
        </is>
      </c>
      <c r="E156" t="n">
        <v>327.2</v>
      </c>
      <c r="F156" s="27" t="n">
        <v>46079</v>
      </c>
      <c r="G156" s="27" t="n">
        <v>46079</v>
      </c>
      <c r="H156" s="27" t="n">
        <v>46079</v>
      </c>
      <c r="I156" s="27" t="n">
        <v>46051</v>
      </c>
      <c r="J156" s="27" t="n">
        <v>46053</v>
      </c>
      <c r="K156" t="inlineStr">
        <is>
          <t>Boleto Bancário</t>
        </is>
      </c>
      <c r="L156" t="inlineStr">
        <is>
          <t>Custo Mercadoria Vendida</t>
        </is>
      </c>
      <c r="M156" t="inlineStr">
        <is>
          <t>Insumos - Alimentos</t>
        </is>
      </c>
      <c r="N156" t="inlineStr">
        <is>
          <t>385975</t>
        </is>
      </c>
      <c r="O156" t="inlineStr">
        <is>
          <t>Documentação Aprovada</t>
        </is>
      </c>
      <c r="P156" t="inlineStr">
        <is>
          <t>Aprovado Diretoria</t>
        </is>
      </c>
      <c r="Q156" t="inlineStr">
        <is>
          <t>Aprovado Caixa</t>
        </is>
      </c>
      <c r="R156" t="inlineStr">
        <is>
          <t>Pago</t>
        </is>
      </c>
      <c r="S156" t="n">
        <v>226</v>
      </c>
      <c r="T156" t="inlineStr">
        <is>
          <t>The Cavern - Kamino</t>
        </is>
      </c>
    </row>
    <row r="157">
      <c r="A157" t="n">
        <v>206329</v>
      </c>
      <c r="B157" t="n">
        <v>176</v>
      </c>
      <c r="C157" t="inlineStr">
        <is>
          <t>The Cavern</t>
        </is>
      </c>
      <c r="D157" t="inlineStr">
        <is>
          <t xml:space="preserve">MS FRANGOS LTDA </t>
        </is>
      </c>
      <c r="E157" t="n">
        <v>386.29</v>
      </c>
      <c r="F157" s="27" t="n">
        <v>46079</v>
      </c>
      <c r="G157" s="27" t="n">
        <v>46079</v>
      </c>
      <c r="H157" s="27" t="n">
        <v>46079</v>
      </c>
      <c r="I157" s="27" t="n">
        <v>46064</v>
      </c>
      <c r="J157" s="27" t="n">
        <v>46064</v>
      </c>
      <c r="K157" t="inlineStr">
        <is>
          <t>Boleto Bancário</t>
        </is>
      </c>
      <c r="L157" t="inlineStr">
        <is>
          <t>Custo Mercadoria Vendida</t>
        </is>
      </c>
      <c r="M157" t="inlineStr">
        <is>
          <t>Insumos - Alimentos</t>
        </is>
      </c>
      <c r="N157" t="inlineStr">
        <is>
          <t>45475</t>
        </is>
      </c>
      <c r="O157" t="inlineStr">
        <is>
          <t>Documentação Aprovada</t>
        </is>
      </c>
      <c r="P157" t="inlineStr">
        <is>
          <t>Aprovado Diretoria</t>
        </is>
      </c>
      <c r="Q157" t="inlineStr">
        <is>
          <t>Aprovado Caixa</t>
        </is>
      </c>
      <c r="R157" t="inlineStr">
        <is>
          <t>Pago</t>
        </is>
      </c>
      <c r="S157" t="n">
        <v>226</v>
      </c>
      <c r="T157" t="inlineStr">
        <is>
          <t>The Cavern - Kamino</t>
        </is>
      </c>
    </row>
    <row r="158">
      <c r="A158" t="n">
        <v>209866</v>
      </c>
      <c r="B158" t="n">
        <v>176</v>
      </c>
      <c r="C158" t="inlineStr">
        <is>
          <t>The Cavern</t>
        </is>
      </c>
      <c r="D158" t="inlineStr">
        <is>
          <t>JOÃO VICTOR SOUZA SANTOS</t>
        </is>
      </c>
      <c r="E158" t="n">
        <v>1365.46</v>
      </c>
      <c r="F158" s="27" t="n">
        <v>46078</v>
      </c>
      <c r="G158" s="27" t="n">
        <v>46078</v>
      </c>
      <c r="H158" s="27" t="n">
        <v>46078</v>
      </c>
      <c r="I158" s="27" t="n">
        <v>46073</v>
      </c>
      <c r="J158" s="27" t="n">
        <v>46073</v>
      </c>
      <c r="K158" t="inlineStr">
        <is>
          <t>Transferência Bancária ou Pix</t>
        </is>
      </c>
      <c r="L158" t="inlineStr">
        <is>
          <t>Mão de Obra - Extra</t>
        </is>
      </c>
      <c r="M158" t="inlineStr">
        <is>
          <t>Mão de Obra Extra</t>
        </is>
      </c>
      <c r="N158" t="inlineStr">
        <is>
          <t>512026</t>
        </is>
      </c>
      <c r="O158" t="inlineStr">
        <is>
          <t>Documentação Aprovada</t>
        </is>
      </c>
      <c r="P158" t="inlineStr">
        <is>
          <t>Aprovado Diretoria</t>
        </is>
      </c>
      <c r="Q158" t="inlineStr">
        <is>
          <t>Aprovado Caixa</t>
        </is>
      </c>
      <c r="R158" t="inlineStr">
        <is>
          <t>Pago</t>
        </is>
      </c>
      <c r="S158" t="n">
        <v>226</v>
      </c>
      <c r="T158" t="inlineStr">
        <is>
          <t>The Cavern - Kamino</t>
        </is>
      </c>
    </row>
    <row r="159">
      <c r="A159" t="n">
        <v>209864</v>
      </c>
      <c r="B159" t="n">
        <v>176</v>
      </c>
      <c r="C159" t="inlineStr">
        <is>
          <t>The Cavern</t>
        </is>
      </c>
      <c r="D159" t="inlineStr">
        <is>
          <t>FABRICIO DE MORAES CAVALCANTE</t>
        </is>
      </c>
      <c r="E159" t="n">
        <v>1585.44</v>
      </c>
      <c r="F159" s="27" t="n">
        <v>46078</v>
      </c>
      <c r="G159" s="27" t="n">
        <v>46078</v>
      </c>
      <c r="H159" s="27" t="n">
        <v>46078</v>
      </c>
      <c r="I159" s="27" t="n">
        <v>46073</v>
      </c>
      <c r="J159" s="27" t="n">
        <v>46073</v>
      </c>
      <c r="K159" t="inlineStr">
        <is>
          <t>Transferência Bancária ou Pix</t>
        </is>
      </c>
      <c r="L159" t="inlineStr">
        <is>
          <t>Mão de Obra - Extra</t>
        </is>
      </c>
      <c r="M159" t="inlineStr">
        <is>
          <t>Mão de Obra Extra</t>
        </is>
      </c>
      <c r="N159" t="inlineStr">
        <is>
          <t>522026</t>
        </is>
      </c>
      <c r="O159" t="inlineStr">
        <is>
          <t>Documentação Aprovada</t>
        </is>
      </c>
      <c r="P159" t="inlineStr">
        <is>
          <t>Aprovado Diretoria</t>
        </is>
      </c>
      <c r="Q159" t="inlineStr">
        <is>
          <t>Aprovado Caixa</t>
        </is>
      </c>
      <c r="R159" t="inlineStr">
        <is>
          <t>Pago</t>
        </is>
      </c>
      <c r="S159" t="n">
        <v>226</v>
      </c>
      <c r="T159" t="inlineStr">
        <is>
          <t>The Cavern - Kamino</t>
        </is>
      </c>
    </row>
    <row r="160">
      <c r="A160" t="n">
        <v>209862</v>
      </c>
      <c r="B160" t="n">
        <v>176</v>
      </c>
      <c r="C160" t="inlineStr">
        <is>
          <t>The Cavern</t>
        </is>
      </c>
      <c r="D160" t="inlineStr">
        <is>
          <t>MATHEUS BARROS SILVA</t>
        </is>
      </c>
      <c r="E160" t="n">
        <v>1783.62</v>
      </c>
      <c r="F160" s="27" t="n">
        <v>46078</v>
      </c>
      <c r="G160" s="27" t="n">
        <v>46078</v>
      </c>
      <c r="H160" s="27" t="n">
        <v>46078</v>
      </c>
      <c r="I160" s="27" t="n">
        <v>46073</v>
      </c>
      <c r="J160" s="27" t="n">
        <v>46073</v>
      </c>
      <c r="K160" t="inlineStr">
        <is>
          <t>Transferência Bancária ou Pix</t>
        </is>
      </c>
      <c r="L160" t="inlineStr">
        <is>
          <t>Mão de Obra - Extra</t>
        </is>
      </c>
      <c r="M160" t="inlineStr">
        <is>
          <t>Mão de Obra Extra</t>
        </is>
      </c>
      <c r="N160" t="inlineStr">
        <is>
          <t>522026</t>
        </is>
      </c>
      <c r="O160" t="inlineStr">
        <is>
          <t>Documentação Aprovada</t>
        </is>
      </c>
      <c r="P160" t="inlineStr">
        <is>
          <t>Aprovado Diretoria</t>
        </is>
      </c>
      <c r="Q160" t="inlineStr">
        <is>
          <t>Aprovado Caixa</t>
        </is>
      </c>
      <c r="R160" t="inlineStr">
        <is>
          <t>Pago</t>
        </is>
      </c>
      <c r="S160" t="n">
        <v>226</v>
      </c>
      <c r="T160" t="inlineStr">
        <is>
          <t>The Cavern - Kamino</t>
        </is>
      </c>
    </row>
    <row r="161">
      <c r="A161" t="n">
        <v>207981</v>
      </c>
      <c r="B161" t="n">
        <v>176</v>
      </c>
      <c r="C161" t="inlineStr">
        <is>
          <t>The Cavern</t>
        </is>
      </c>
      <c r="D161" t="inlineStr">
        <is>
          <t>LPQBR RESTAURANTES E PADARIAS LTDA</t>
        </is>
      </c>
      <c r="E161" t="n">
        <v>364.8</v>
      </c>
      <c r="F161" s="27" t="n">
        <v>46078</v>
      </c>
      <c r="G161" s="27" t="n">
        <v>46078</v>
      </c>
      <c r="H161" s="27" t="n">
        <v>46078</v>
      </c>
      <c r="I161" s="27" t="n">
        <v>46050</v>
      </c>
      <c r="J161" s="27" t="n">
        <v>46069</v>
      </c>
      <c r="K161" t="inlineStr">
        <is>
          <t>Transferência Bancária ou Pix</t>
        </is>
      </c>
      <c r="L161" t="inlineStr">
        <is>
          <t>Custo Mercadoria Vendida</t>
        </is>
      </c>
      <c r="M161" t="inlineStr">
        <is>
          <t>Insumos - Alimentos</t>
        </is>
      </c>
      <c r="N161" t="inlineStr">
        <is>
          <t>87894</t>
        </is>
      </c>
      <c r="O161" t="inlineStr">
        <is>
          <t>Documentação Aprovada</t>
        </is>
      </c>
      <c r="P161" t="inlineStr">
        <is>
          <t>Aprovado Diretoria</t>
        </is>
      </c>
      <c r="Q161" t="inlineStr">
        <is>
          <t>Aprovado Caixa</t>
        </is>
      </c>
      <c r="R161" t="inlineStr">
        <is>
          <t>Pago</t>
        </is>
      </c>
      <c r="S161" t="n">
        <v>226</v>
      </c>
      <c r="T161" t="inlineStr">
        <is>
          <t>The Cavern - Kamino</t>
        </is>
      </c>
    </row>
    <row r="162">
      <c r="A162" t="n">
        <v>209502</v>
      </c>
      <c r="B162" t="n">
        <v>176</v>
      </c>
      <c r="C162" t="inlineStr">
        <is>
          <t>The Cavern</t>
        </is>
      </c>
      <c r="D162" t="inlineStr">
        <is>
          <t>VALE TRANSPORTE</t>
        </is>
      </c>
      <c r="E162" t="n">
        <v>326.36</v>
      </c>
      <c r="F162" s="27" t="n">
        <v>46078</v>
      </c>
      <c r="G162" s="27" t="n">
        <v>46078</v>
      </c>
      <c r="H162" s="27" t="n">
        <v>46078</v>
      </c>
      <c r="I162" s="27" t="n">
        <v>46072</v>
      </c>
      <c r="J162" s="27" t="n">
        <v>46072</v>
      </c>
      <c r="K162" t="inlineStr">
        <is>
          <t>Boleto Bancário</t>
        </is>
      </c>
      <c r="L162" t="inlineStr">
        <is>
          <t>Mão de Obra - Benefícios</t>
        </is>
      </c>
      <c r="M162" t="inlineStr">
        <is>
          <t xml:space="preserve">  -  Vale-transporte</t>
        </is>
      </c>
      <c r="N162" t="inlineStr">
        <is>
          <t>232872874</t>
        </is>
      </c>
      <c r="O162" t="inlineStr">
        <is>
          <t>Documentação Aprovada</t>
        </is>
      </c>
      <c r="P162" t="inlineStr">
        <is>
          <t>Aprovado Diretoria</t>
        </is>
      </c>
      <c r="Q162" t="inlineStr">
        <is>
          <t>Aprovado Caixa</t>
        </is>
      </c>
      <c r="R162" t="inlineStr">
        <is>
          <t>Pago</t>
        </is>
      </c>
      <c r="S162" t="n">
        <v>226</v>
      </c>
      <c r="T162" t="inlineStr">
        <is>
          <t>The Cavern - Kamino</t>
        </is>
      </c>
    </row>
    <row r="163">
      <c r="A163" t="n">
        <v>211832</v>
      </c>
      <c r="B163" t="n">
        <v>176</v>
      </c>
      <c r="C163" t="inlineStr">
        <is>
          <t>The Cavern</t>
        </is>
      </c>
      <c r="D163" t="inlineStr">
        <is>
          <t xml:space="preserve">KAMINO INSTITUICAO DE PAGAMENTO LTDA </t>
        </is>
      </c>
      <c r="E163" t="n">
        <v>2</v>
      </c>
      <c r="F163" s="27" t="n">
        <v>46078</v>
      </c>
      <c r="G163" s="27" t="n"/>
      <c r="H163" s="27" t="n">
        <v>46078</v>
      </c>
      <c r="I163" s="27" t="n">
        <v>46078</v>
      </c>
      <c r="J163" s="27" t="n"/>
      <c r="K163" t="inlineStr">
        <is>
          <t xml:space="preserve">Debito Automático </t>
        </is>
      </c>
      <c r="L163" t="inlineStr">
        <is>
          <t>Despesas Financeiras</t>
        </is>
      </c>
      <c r="M163" t="inlineStr">
        <is>
          <t>Tarifas Bancárias</t>
        </is>
      </c>
      <c r="O163" t="inlineStr">
        <is>
          <t>Documentação Aprovada</t>
        </is>
      </c>
      <c r="P163" t="inlineStr">
        <is>
          <t>Aprovado Diretoria</t>
        </is>
      </c>
      <c r="Q163" t="inlineStr">
        <is>
          <t>Aprovado Caixa</t>
        </is>
      </c>
      <c r="R163" t="inlineStr">
        <is>
          <t>Pago</t>
        </is>
      </c>
      <c r="S163" t="n">
        <v>226</v>
      </c>
      <c r="T163" t="inlineStr">
        <is>
          <t>The Cavern - Kamino</t>
        </is>
      </c>
    </row>
    <row r="164">
      <c r="A164" t="n">
        <v>202069</v>
      </c>
      <c r="B164" t="n">
        <v>176</v>
      </c>
      <c r="C164" t="inlineStr">
        <is>
          <t>The Cavern</t>
        </is>
      </c>
      <c r="D164" t="inlineStr">
        <is>
          <t>B.B DISTRIBUIDORA DE CARNES LTDA</t>
        </is>
      </c>
      <c r="E164" t="n">
        <v>1500.04</v>
      </c>
      <c r="F164" s="27" t="n">
        <v>46078</v>
      </c>
      <c r="G164" s="27" t="n">
        <v>46078</v>
      </c>
      <c r="H164" s="27" t="n">
        <v>46078</v>
      </c>
      <c r="I164" s="27" t="n">
        <v>46050</v>
      </c>
      <c r="J164" s="27" t="n">
        <v>46051</v>
      </c>
      <c r="K164" t="inlineStr">
        <is>
          <t>Boleto Bancário</t>
        </is>
      </c>
      <c r="L164" t="inlineStr">
        <is>
          <t>Custo Mercadoria Vendida</t>
        </is>
      </c>
      <c r="M164" t="inlineStr">
        <is>
          <t>Insumos - Alimentos</t>
        </is>
      </c>
      <c r="N164" t="inlineStr">
        <is>
          <t>413088</t>
        </is>
      </c>
      <c r="O164" t="inlineStr">
        <is>
          <t>Documentação Aprovada</t>
        </is>
      </c>
      <c r="P164" t="inlineStr">
        <is>
          <t>Aprovado Diretoria</t>
        </is>
      </c>
      <c r="Q164" t="inlineStr">
        <is>
          <t>Aprovado Caixa</t>
        </is>
      </c>
      <c r="R164" t="inlineStr">
        <is>
          <t>Pago</t>
        </is>
      </c>
      <c r="S164" t="n">
        <v>226</v>
      </c>
      <c r="T164" t="inlineStr">
        <is>
          <t>The Cavern - Kamino</t>
        </is>
      </c>
    </row>
    <row r="165">
      <c r="A165" t="n">
        <v>201841</v>
      </c>
      <c r="B165" t="n">
        <v>176</v>
      </c>
      <c r="C165" t="inlineStr">
        <is>
          <t>The Cavern</t>
        </is>
      </c>
      <c r="D165" t="inlineStr">
        <is>
          <t>FRONT BEBIDAS LTDA</t>
        </is>
      </c>
      <c r="E165" t="n">
        <v>1065.3</v>
      </c>
      <c r="F165" s="27" t="n">
        <v>46078</v>
      </c>
      <c r="G165" s="27" t="n">
        <v>46078</v>
      </c>
      <c r="H165" s="27" t="n">
        <v>46078</v>
      </c>
      <c r="I165" s="27" t="n">
        <v>46050</v>
      </c>
      <c r="J165" s="27" t="n">
        <v>46051</v>
      </c>
      <c r="K165" t="inlineStr">
        <is>
          <t>Boleto Bancário</t>
        </is>
      </c>
      <c r="L165" t="inlineStr">
        <is>
          <t>Custo Mercadoria Vendida</t>
        </is>
      </c>
      <c r="M165" t="inlineStr">
        <is>
          <t>Insumos - Bebidas</t>
        </is>
      </c>
      <c r="N165" t="inlineStr">
        <is>
          <t>789487</t>
        </is>
      </c>
      <c r="O165" t="inlineStr">
        <is>
          <t>Documentação Aprovada</t>
        </is>
      </c>
      <c r="P165" t="inlineStr">
        <is>
          <t>Aprovado Diretoria</t>
        </is>
      </c>
      <c r="Q165" t="inlineStr">
        <is>
          <t>Aprovado Caixa</t>
        </is>
      </c>
      <c r="R165" t="inlineStr">
        <is>
          <t>Pago</t>
        </is>
      </c>
      <c r="S165" t="n">
        <v>226</v>
      </c>
      <c r="T165" t="inlineStr">
        <is>
          <t>The Cavern - Kamino</t>
        </is>
      </c>
    </row>
    <row r="166">
      <c r="A166" t="n">
        <v>201750</v>
      </c>
      <c r="B166" t="n">
        <v>176</v>
      </c>
      <c r="C166" t="inlineStr">
        <is>
          <t>The Cavern</t>
        </is>
      </c>
      <c r="D166" t="inlineStr">
        <is>
          <t>MARCOS SILVA DO NASCIMENTO</t>
        </is>
      </c>
      <c r="E166" t="n">
        <v>731.71</v>
      </c>
      <c r="F166" s="27" t="n">
        <v>46078</v>
      </c>
      <c r="G166" s="27" t="n">
        <v>46078</v>
      </c>
      <c r="H166" s="27" t="n">
        <v>46078</v>
      </c>
      <c r="I166" s="27" t="n">
        <v>46050</v>
      </c>
      <c r="J166" s="27" t="n">
        <v>46051</v>
      </c>
      <c r="K166" t="inlineStr">
        <is>
          <t>Boleto Bancário</t>
        </is>
      </c>
      <c r="L166" t="inlineStr">
        <is>
          <t>Custo Mercadoria Vendida</t>
        </is>
      </c>
      <c r="M166" t="inlineStr">
        <is>
          <t>Insumos - Alimentos</t>
        </is>
      </c>
      <c r="N166" t="inlineStr">
        <is>
          <t>754</t>
        </is>
      </c>
      <c r="O166" t="inlineStr">
        <is>
          <t>Documentação Aprovada</t>
        </is>
      </c>
      <c r="P166" t="inlineStr">
        <is>
          <t>Aprovado Diretoria</t>
        </is>
      </c>
      <c r="Q166" t="inlineStr">
        <is>
          <t>Aprovado Caixa</t>
        </is>
      </c>
      <c r="R166" t="inlineStr">
        <is>
          <t>Pago</t>
        </is>
      </c>
      <c r="S166" t="n">
        <v>226</v>
      </c>
      <c r="T166" t="inlineStr">
        <is>
          <t>The Cavern - Kamino</t>
        </is>
      </c>
    </row>
    <row r="167">
      <c r="A167" t="n">
        <v>196817</v>
      </c>
      <c r="B167" t="n">
        <v>176</v>
      </c>
      <c r="C167" t="inlineStr">
        <is>
          <t>The Cavern</t>
        </is>
      </c>
      <c r="D167" t="inlineStr">
        <is>
          <t>EAU - DISTRIBUIDORA DE AGUA MINERAL LTDA</t>
        </is>
      </c>
      <c r="E167" t="n">
        <v>257.5</v>
      </c>
      <c r="F167" s="27" t="n">
        <v>46078</v>
      </c>
      <c r="G167" s="27" t="n">
        <v>46078</v>
      </c>
      <c r="H167" s="27" t="n">
        <v>46078</v>
      </c>
      <c r="I167" s="27" t="n">
        <v>46043</v>
      </c>
      <c r="J167" s="27" t="n">
        <v>46045</v>
      </c>
      <c r="K167" t="inlineStr">
        <is>
          <t>Boleto Bancário</t>
        </is>
      </c>
      <c r="L167" t="inlineStr">
        <is>
          <t>Custo Mercadoria Vendida</t>
        </is>
      </c>
      <c r="M167" t="inlineStr">
        <is>
          <t>Insumos - Bebidas</t>
        </is>
      </c>
      <c r="N167" t="inlineStr">
        <is>
          <t>287870</t>
        </is>
      </c>
      <c r="O167" t="inlineStr">
        <is>
          <t>Documentação Aprovada</t>
        </is>
      </c>
      <c r="P167" t="inlineStr">
        <is>
          <t>Aprovado Diretoria</t>
        </is>
      </c>
      <c r="Q167" t="inlineStr">
        <is>
          <t>Aprovado Caixa</t>
        </is>
      </c>
      <c r="R167" t="inlineStr">
        <is>
          <t>Pago</t>
        </is>
      </c>
      <c r="S167" t="n">
        <v>226</v>
      </c>
      <c r="T167" t="inlineStr">
        <is>
          <t>The Cavern - Kamino</t>
        </is>
      </c>
    </row>
    <row r="168">
      <c r="A168" t="n">
        <v>199052</v>
      </c>
      <c r="B168" t="n">
        <v>176</v>
      </c>
      <c r="C168" t="inlineStr">
        <is>
          <t>The Cavern</t>
        </is>
      </c>
      <c r="D168" t="inlineStr">
        <is>
          <t>WPP COMERCIO DE CARNES LTDA</t>
        </is>
      </c>
      <c r="E168" t="n">
        <v>209.5</v>
      </c>
      <c r="F168" s="27" t="n">
        <v>46078</v>
      </c>
      <c r="G168" s="27" t="n">
        <v>46078</v>
      </c>
      <c r="H168" s="27" t="n">
        <v>46078</v>
      </c>
      <c r="I168" s="27" t="n">
        <v>46050</v>
      </c>
      <c r="J168" s="27" t="n">
        <v>46050</v>
      </c>
      <c r="K168" t="inlineStr">
        <is>
          <t>Boleto Bancário</t>
        </is>
      </c>
      <c r="L168" t="inlineStr">
        <is>
          <t>Custo Mercadoria Vendida</t>
        </is>
      </c>
      <c r="M168" t="inlineStr">
        <is>
          <t>Insumos - Alimentos</t>
        </is>
      </c>
      <c r="N168" t="inlineStr">
        <is>
          <t>77000</t>
        </is>
      </c>
      <c r="O168" t="inlineStr">
        <is>
          <t>Documentação Aprovada</t>
        </is>
      </c>
      <c r="P168" t="inlineStr">
        <is>
          <t>Aprovado Diretoria</t>
        </is>
      </c>
      <c r="Q168" t="inlineStr">
        <is>
          <t>Aprovado Caixa</t>
        </is>
      </c>
      <c r="R168" t="inlineStr">
        <is>
          <t>Pago</t>
        </is>
      </c>
      <c r="S168" t="n">
        <v>226</v>
      </c>
      <c r="T168" t="inlineStr">
        <is>
          <t>The Cavern - Kamino</t>
        </is>
      </c>
    </row>
    <row r="169">
      <c r="A169" t="n">
        <v>199045</v>
      </c>
      <c r="B169" t="n">
        <v>176</v>
      </c>
      <c r="C169" t="inlineStr">
        <is>
          <t>The Cavern</t>
        </is>
      </c>
      <c r="D169" t="inlineStr">
        <is>
          <t>EMPORIO M&amp;L COMERCIO DE ALIM E BEBIDAS LTDA</t>
        </is>
      </c>
      <c r="E169" t="n">
        <v>419.3</v>
      </c>
      <c r="F169" s="27" t="n">
        <v>46077</v>
      </c>
      <c r="G169" s="27" t="n">
        <v>46077</v>
      </c>
      <c r="H169" s="27" t="n">
        <v>46077</v>
      </c>
      <c r="I169" s="27" t="n">
        <v>46049</v>
      </c>
      <c r="J169" s="27" t="n">
        <v>46050</v>
      </c>
      <c r="K169" t="inlineStr">
        <is>
          <t>Boleto Bancário</t>
        </is>
      </c>
      <c r="L169" t="inlineStr">
        <is>
          <t>Custo Mercadoria Vendida</t>
        </is>
      </c>
      <c r="M169" t="inlineStr">
        <is>
          <t>Insumos - Alimentos</t>
        </is>
      </c>
      <c r="N169" t="inlineStr">
        <is>
          <t>493704</t>
        </is>
      </c>
      <c r="O169" t="inlineStr">
        <is>
          <t>Documentação Aprovada</t>
        </is>
      </c>
      <c r="P169" t="inlineStr">
        <is>
          <t>Aprovado Diretoria</t>
        </is>
      </c>
      <c r="Q169" t="inlineStr">
        <is>
          <t>Aprovado Caixa</t>
        </is>
      </c>
      <c r="R169" t="inlineStr">
        <is>
          <t>Pago</t>
        </is>
      </c>
      <c r="S169" t="n">
        <v>226</v>
      </c>
      <c r="T169" t="inlineStr">
        <is>
          <t>The Cavern - Kamino</t>
        </is>
      </c>
    </row>
    <row r="170">
      <c r="A170" t="n">
        <v>199049</v>
      </c>
      <c r="B170" t="n">
        <v>176</v>
      </c>
      <c r="C170" t="inlineStr">
        <is>
          <t>The Cavern</t>
        </is>
      </c>
      <c r="D170" t="inlineStr">
        <is>
          <t>WPP COMERCIO DE CARNES LTDA</t>
        </is>
      </c>
      <c r="E170" t="n">
        <v>2558.56</v>
      </c>
      <c r="F170" s="27" t="n">
        <v>46077</v>
      </c>
      <c r="G170" s="27" t="n">
        <v>46077</v>
      </c>
      <c r="H170" s="27" t="n">
        <v>46077</v>
      </c>
      <c r="I170" s="27" t="n">
        <v>46049</v>
      </c>
      <c r="J170" s="27" t="n">
        <v>46050</v>
      </c>
      <c r="K170" t="inlineStr">
        <is>
          <t>Boleto Bancário</t>
        </is>
      </c>
      <c r="L170" t="inlineStr">
        <is>
          <t>Custo Mercadoria Vendida</t>
        </is>
      </c>
      <c r="M170" t="inlineStr">
        <is>
          <t>Insumos - Alimentos</t>
        </is>
      </c>
      <c r="N170" t="inlineStr">
        <is>
          <t>76968</t>
        </is>
      </c>
      <c r="O170" t="inlineStr">
        <is>
          <t>Documentação Aprovada</t>
        </is>
      </c>
      <c r="P170" t="inlineStr">
        <is>
          <t>Aprovado Diretoria</t>
        </is>
      </c>
      <c r="Q170" t="inlineStr">
        <is>
          <t>Aprovado Caixa</t>
        </is>
      </c>
      <c r="R170" t="inlineStr">
        <is>
          <t>Pago</t>
        </is>
      </c>
      <c r="S170" t="n">
        <v>226</v>
      </c>
      <c r="T170" t="inlineStr">
        <is>
          <t>The Cavern - Kamino</t>
        </is>
      </c>
    </row>
    <row r="171">
      <c r="A171" t="n">
        <v>195451</v>
      </c>
      <c r="B171" t="n">
        <v>176</v>
      </c>
      <c r="C171" t="inlineStr">
        <is>
          <t>The Cavern</t>
        </is>
      </c>
      <c r="D171" t="inlineStr">
        <is>
          <t>ANDREIA SANTOS FREITAS DUARTE</t>
        </is>
      </c>
      <c r="E171" t="n">
        <v>201.89</v>
      </c>
      <c r="F171" s="27" t="n">
        <v>46077</v>
      </c>
      <c r="G171" s="27" t="n">
        <v>46077</v>
      </c>
      <c r="H171" s="27" t="n">
        <v>46077</v>
      </c>
      <c r="I171" s="27" t="n">
        <v>46042</v>
      </c>
      <c r="J171" s="27" t="n">
        <v>46044</v>
      </c>
      <c r="K171" t="inlineStr">
        <is>
          <t>Boleto Bancário</t>
        </is>
      </c>
      <c r="L171" t="inlineStr">
        <is>
          <t>Custo Mercadoria Vendida</t>
        </is>
      </c>
      <c r="M171" t="inlineStr">
        <is>
          <t>Insumos - Alimentos</t>
        </is>
      </c>
      <c r="N171" t="inlineStr">
        <is>
          <t>2487</t>
        </is>
      </c>
      <c r="O171" t="inlineStr">
        <is>
          <t>Documentação Aprovada</t>
        </is>
      </c>
      <c r="P171" t="inlineStr">
        <is>
          <t>Aprovado Diretoria</t>
        </is>
      </c>
      <c r="Q171" t="inlineStr">
        <is>
          <t>Aprovado Caixa</t>
        </is>
      </c>
      <c r="R171" t="inlineStr">
        <is>
          <t>Pago</t>
        </is>
      </c>
      <c r="S171" t="n">
        <v>226</v>
      </c>
      <c r="T171" t="inlineStr">
        <is>
          <t>The Cavern - Kamino</t>
        </is>
      </c>
    </row>
    <row r="172">
      <c r="A172" t="n">
        <v>198376</v>
      </c>
      <c r="B172" t="n">
        <v>176</v>
      </c>
      <c r="C172" t="inlineStr">
        <is>
          <t>The Cavern</t>
        </is>
      </c>
      <c r="D172" t="inlineStr">
        <is>
          <t xml:space="preserve">FORTE ALIMENTOS COM. IMPORTAÇÃO LTDA </t>
        </is>
      </c>
      <c r="E172" t="n">
        <v>119.5</v>
      </c>
      <c r="F172" s="27" t="n">
        <v>46077</v>
      </c>
      <c r="G172" s="27" t="n">
        <v>46077</v>
      </c>
      <c r="H172" s="27" t="n">
        <v>46077</v>
      </c>
      <c r="I172" s="27" t="n">
        <v>46048</v>
      </c>
      <c r="J172" s="27" t="n">
        <v>46049</v>
      </c>
      <c r="K172" t="inlineStr">
        <is>
          <t>Boleto Bancário</t>
        </is>
      </c>
      <c r="L172" t="inlineStr">
        <is>
          <t>Custo Mercadoria Vendida</t>
        </is>
      </c>
      <c r="M172" t="inlineStr">
        <is>
          <t>Insumos - Alimentos</t>
        </is>
      </c>
      <c r="N172" t="inlineStr">
        <is>
          <t>355104</t>
        </is>
      </c>
      <c r="O172" t="inlineStr">
        <is>
          <t>Documentação Aprovada</t>
        </is>
      </c>
      <c r="P172" t="inlineStr">
        <is>
          <t>Aprovado Diretoria</t>
        </is>
      </c>
      <c r="Q172" t="inlineStr">
        <is>
          <t>Aprovado Caixa</t>
        </is>
      </c>
      <c r="R172" t="inlineStr">
        <is>
          <t>Pago</t>
        </is>
      </c>
      <c r="S172" t="n">
        <v>226</v>
      </c>
      <c r="T172" t="inlineStr">
        <is>
          <t>The Cavern - Kamino</t>
        </is>
      </c>
    </row>
    <row r="173">
      <c r="A173" t="n">
        <v>202914</v>
      </c>
      <c r="B173" t="n">
        <v>176</v>
      </c>
      <c r="C173" t="inlineStr">
        <is>
          <t>The Cavern</t>
        </is>
      </c>
      <c r="D173" t="inlineStr">
        <is>
          <t xml:space="preserve">FORTE ALIMENTOS COM. IMPORTAÇÃO LTDA </t>
        </is>
      </c>
      <c r="E173" t="n">
        <v>525</v>
      </c>
      <c r="F173" s="27" t="n">
        <v>46077</v>
      </c>
      <c r="G173" s="27" t="n">
        <v>46077</v>
      </c>
      <c r="H173" s="27" t="n">
        <v>46077</v>
      </c>
      <c r="I173" s="27" t="n">
        <v>46048</v>
      </c>
      <c r="J173" s="27" t="n">
        <v>46053</v>
      </c>
      <c r="K173" t="inlineStr">
        <is>
          <t>Boleto Bancário</t>
        </is>
      </c>
      <c r="L173" t="inlineStr">
        <is>
          <t>Custo Mercadoria Vendida</t>
        </is>
      </c>
      <c r="M173" t="inlineStr">
        <is>
          <t>Insumos - Alimentos</t>
        </is>
      </c>
      <c r="N173" t="inlineStr">
        <is>
          <t>355043</t>
        </is>
      </c>
      <c r="O173" t="inlineStr">
        <is>
          <t>Documentação Aprovada</t>
        </is>
      </c>
      <c r="P173" t="inlineStr">
        <is>
          <t>Aprovado Diretoria</t>
        </is>
      </c>
      <c r="Q173" t="inlineStr">
        <is>
          <t>Aprovado Caixa</t>
        </is>
      </c>
      <c r="R173" t="inlineStr">
        <is>
          <t>Pago</t>
        </is>
      </c>
      <c r="S173" t="n">
        <v>226</v>
      </c>
      <c r="T173" t="inlineStr">
        <is>
          <t>The Cavern - Kamino</t>
        </is>
      </c>
    </row>
    <row r="174">
      <c r="A174" t="n">
        <v>203638</v>
      </c>
      <c r="B174" t="n">
        <v>176</v>
      </c>
      <c r="C174" t="inlineStr">
        <is>
          <t>The Cavern</t>
        </is>
      </c>
      <c r="D174" t="inlineStr">
        <is>
          <t>ALLIMENTARI COMERCIO DE PRODUTOS ALIMENTICIOS E SERVICOS LTDA</t>
        </is>
      </c>
      <c r="E174" t="n">
        <v>635.34</v>
      </c>
      <c r="F174" s="27" t="n">
        <v>46077</v>
      </c>
      <c r="G174" s="27" t="n">
        <v>46077</v>
      </c>
      <c r="H174" s="27" t="n">
        <v>46077</v>
      </c>
      <c r="I174" s="27" t="n">
        <v>46049</v>
      </c>
      <c r="J174" s="27" t="n">
        <v>46057</v>
      </c>
      <c r="K174" t="inlineStr">
        <is>
          <t>Boleto Bancário</t>
        </is>
      </c>
      <c r="L174" t="inlineStr">
        <is>
          <t>Custo Mercadoria Vendida</t>
        </is>
      </c>
      <c r="M174" t="inlineStr">
        <is>
          <t>Insumos - Alimentos</t>
        </is>
      </c>
      <c r="N174" t="inlineStr">
        <is>
          <t>35425</t>
        </is>
      </c>
      <c r="O174" t="inlineStr">
        <is>
          <t>Documentação Aprovada</t>
        </is>
      </c>
      <c r="P174" t="inlineStr">
        <is>
          <t>Aprovado Diretoria</t>
        </is>
      </c>
      <c r="Q174" t="inlineStr">
        <is>
          <t>Aprovado Caixa</t>
        </is>
      </c>
      <c r="R174" t="inlineStr">
        <is>
          <t>Pago</t>
        </is>
      </c>
      <c r="S174" t="n">
        <v>226</v>
      </c>
      <c r="T174" t="inlineStr">
        <is>
          <t>The Cavern - Kamino</t>
        </is>
      </c>
    </row>
    <row r="175">
      <c r="A175" t="n">
        <v>205884</v>
      </c>
      <c r="B175" t="n">
        <v>176</v>
      </c>
      <c r="C175" t="inlineStr">
        <is>
          <t>The Cavern</t>
        </is>
      </c>
      <c r="D175" t="inlineStr">
        <is>
          <t>PROAUTO INDUSTRIA QUIMICA EIRELI</t>
        </is>
      </c>
      <c r="E175" t="n">
        <v>1185.71</v>
      </c>
      <c r="F175" s="27" t="n">
        <v>46077</v>
      </c>
      <c r="G175" s="27" t="n">
        <v>46077</v>
      </c>
      <c r="H175" s="27" t="n">
        <v>46077</v>
      </c>
      <c r="I175" s="27" t="n">
        <v>46056</v>
      </c>
      <c r="J175" s="27" t="n">
        <v>46062</v>
      </c>
      <c r="K175" t="inlineStr">
        <is>
          <t>Boleto Bancário</t>
        </is>
      </c>
      <c r="L175" t="inlineStr">
        <is>
          <t>Utilidades</t>
        </is>
      </c>
      <c r="M175" t="inlineStr">
        <is>
          <t>Higiene e Limpeza</t>
        </is>
      </c>
      <c r="N175" t="inlineStr">
        <is>
          <t>151225</t>
        </is>
      </c>
      <c r="O175" t="inlineStr">
        <is>
          <t>Documentação Aprovada</t>
        </is>
      </c>
      <c r="P175" t="inlineStr">
        <is>
          <t>Aprovado Diretoria</t>
        </is>
      </c>
      <c r="Q175" t="inlineStr">
        <is>
          <t>Aprovado Caixa</t>
        </is>
      </c>
      <c r="R175" t="inlineStr">
        <is>
          <t>Pago</t>
        </is>
      </c>
      <c r="S175" t="n">
        <v>226</v>
      </c>
      <c r="T175" t="inlineStr">
        <is>
          <t>The Cavern - Kamino</t>
        </is>
      </c>
    </row>
    <row r="176">
      <c r="A176" t="n">
        <v>206336</v>
      </c>
      <c r="B176" t="n">
        <v>176</v>
      </c>
      <c r="C176" t="inlineStr">
        <is>
          <t>The Cavern</t>
        </is>
      </c>
      <c r="D176" t="inlineStr">
        <is>
          <t>KING COMERCIO E IMPORTACAO DE BEBIDAS LTDA</t>
        </is>
      </c>
      <c r="E176" t="n">
        <v>3183.6</v>
      </c>
      <c r="F176" s="27" t="n">
        <v>46077</v>
      </c>
      <c r="G176" s="27" t="n">
        <v>46077</v>
      </c>
      <c r="H176" s="27" t="n">
        <v>46077</v>
      </c>
      <c r="I176" s="27" t="n">
        <v>46056</v>
      </c>
      <c r="J176" s="27" t="n">
        <v>46064</v>
      </c>
      <c r="K176" t="inlineStr">
        <is>
          <t>Boleto Bancário</t>
        </is>
      </c>
      <c r="L176" t="inlineStr">
        <is>
          <t>Custo Mercadoria Vendida</t>
        </is>
      </c>
      <c r="M176" t="inlineStr">
        <is>
          <t>Insumos - Bebidas</t>
        </is>
      </c>
      <c r="N176" t="inlineStr">
        <is>
          <t>125185</t>
        </is>
      </c>
      <c r="O176" t="inlineStr">
        <is>
          <t>Documentação Aprovada</t>
        </is>
      </c>
      <c r="P176" t="inlineStr">
        <is>
          <t>Aprovado Diretoria</t>
        </is>
      </c>
      <c r="Q176" t="inlineStr">
        <is>
          <t>Aprovado Caixa</t>
        </is>
      </c>
      <c r="R176" t="inlineStr">
        <is>
          <t>Pago</t>
        </is>
      </c>
      <c r="S176" t="n">
        <v>226</v>
      </c>
      <c r="T176" t="inlineStr">
        <is>
          <t>The Cavern - Kamino</t>
        </is>
      </c>
    </row>
    <row r="177">
      <c r="A177" t="n">
        <v>209580</v>
      </c>
      <c r="B177" t="n">
        <v>176</v>
      </c>
      <c r="C177" t="inlineStr">
        <is>
          <t>The Cavern</t>
        </is>
      </c>
      <c r="D177" t="inlineStr">
        <is>
          <t xml:space="preserve">ABRASEL SAO PAULO </t>
        </is>
      </c>
      <c r="E177" t="n">
        <v>185</v>
      </c>
      <c r="F177" s="27" t="n">
        <v>46078</v>
      </c>
      <c r="G177" s="27" t="n">
        <v>46077</v>
      </c>
      <c r="H177" s="27" t="n">
        <v>46077</v>
      </c>
      <c r="I177" s="27" t="n">
        <v>46073</v>
      </c>
      <c r="J177" s="27" t="n">
        <v>46073</v>
      </c>
      <c r="K177" t="inlineStr">
        <is>
          <t>Boleto Bancário</t>
        </is>
      </c>
      <c r="L177" t="inlineStr">
        <is>
          <t>Serviços de Terceiros</t>
        </is>
      </c>
      <c r="M177" t="inlineStr">
        <is>
          <t>Assessoria Financeira</t>
        </is>
      </c>
      <c r="N177" t="inlineStr">
        <is>
          <t>7489125022026</t>
        </is>
      </c>
      <c r="O177" t="inlineStr">
        <is>
          <t>Documentação Aprovada</t>
        </is>
      </c>
      <c r="P177" t="inlineStr">
        <is>
          <t>Aprovado Diretoria</t>
        </is>
      </c>
      <c r="Q177" t="inlineStr">
        <is>
          <t>Aprovado Caixa</t>
        </is>
      </c>
      <c r="R177" t="inlineStr">
        <is>
          <t>Pago</t>
        </is>
      </c>
      <c r="S177" t="n">
        <v>226</v>
      </c>
      <c r="T177" t="inlineStr">
        <is>
          <t>The Cavern - Kamino</t>
        </is>
      </c>
    </row>
    <row r="178">
      <c r="A178" t="n">
        <v>207980</v>
      </c>
      <c r="B178" t="n">
        <v>176</v>
      </c>
      <c r="C178" t="inlineStr">
        <is>
          <t>The Cavern</t>
        </is>
      </c>
      <c r="D178" t="inlineStr">
        <is>
          <t>LPQBR RESTAURANTES E PADARIAS LTDA</t>
        </is>
      </c>
      <c r="E178" t="n">
        <v>273.6</v>
      </c>
      <c r="F178" s="27" t="n">
        <v>46077</v>
      </c>
      <c r="G178" s="27" t="n">
        <v>46077</v>
      </c>
      <c r="H178" s="27" t="n">
        <v>46077</v>
      </c>
      <c r="I178" s="27" t="n">
        <v>46049</v>
      </c>
      <c r="J178" s="27" t="n">
        <v>46069</v>
      </c>
      <c r="K178" t="inlineStr">
        <is>
          <t>Transferência Bancária ou Pix</t>
        </is>
      </c>
      <c r="L178" t="inlineStr">
        <is>
          <t>Custo Mercadoria Vendida</t>
        </is>
      </c>
      <c r="M178" t="inlineStr">
        <is>
          <t>Insumos - Alimentos</t>
        </is>
      </c>
      <c r="N178" t="inlineStr">
        <is>
          <t>87891</t>
        </is>
      </c>
      <c r="O178" t="inlineStr">
        <is>
          <t>Documentação Aprovada</t>
        </is>
      </c>
      <c r="P178" t="inlineStr">
        <is>
          <t>Aprovado Diretoria</t>
        </is>
      </c>
      <c r="Q178" t="inlineStr">
        <is>
          <t>Aprovado Caixa</t>
        </is>
      </c>
      <c r="R178" t="inlineStr">
        <is>
          <t>Pago</t>
        </is>
      </c>
      <c r="S178" t="n">
        <v>226</v>
      </c>
      <c r="T178" t="inlineStr">
        <is>
          <t>The Cavern - Kamino</t>
        </is>
      </c>
    </row>
    <row r="179">
      <c r="A179" t="n">
        <v>211632</v>
      </c>
      <c r="B179" t="n">
        <v>176</v>
      </c>
      <c r="C179" t="inlineStr">
        <is>
          <t>The Cavern</t>
        </is>
      </c>
      <c r="D179" t="inlineStr">
        <is>
          <t xml:space="preserve">KAMINO INSTITUICAO DE PAGAMENTO LTDA </t>
        </is>
      </c>
      <c r="E179" t="n">
        <v>0.5</v>
      </c>
      <c r="F179" s="27" t="n">
        <v>46077</v>
      </c>
      <c r="G179" s="27" t="n"/>
      <c r="H179" s="27" t="n">
        <v>46077</v>
      </c>
      <c r="I179" s="27" t="n">
        <v>46077</v>
      </c>
      <c r="J179" s="27" t="n"/>
      <c r="K179" t="inlineStr">
        <is>
          <t xml:space="preserve">Debito Automático </t>
        </is>
      </c>
      <c r="L179" t="inlineStr">
        <is>
          <t>Despesas Financeiras</t>
        </is>
      </c>
      <c r="M179" t="inlineStr">
        <is>
          <t>Tarifas Bancárias</t>
        </is>
      </c>
      <c r="O179" t="inlineStr">
        <is>
          <t>Documentação Aprovada</t>
        </is>
      </c>
      <c r="P179" t="inlineStr">
        <is>
          <t>Aprovado Diretoria</t>
        </is>
      </c>
      <c r="Q179" t="inlineStr">
        <is>
          <t>Aprovado Caixa</t>
        </is>
      </c>
      <c r="R179" t="inlineStr">
        <is>
          <t>Pago</t>
        </is>
      </c>
      <c r="S179" t="n">
        <v>226</v>
      </c>
      <c r="T179" t="inlineStr">
        <is>
          <t>The Cavern - Kamino</t>
        </is>
      </c>
    </row>
    <row r="180">
      <c r="A180" t="n">
        <v>208810</v>
      </c>
      <c r="B180" t="n">
        <v>176</v>
      </c>
      <c r="C180" t="inlineStr">
        <is>
          <t>The Cavern</t>
        </is>
      </c>
      <c r="D180" t="inlineStr">
        <is>
          <t>28.811.338 GABRIELLA ABBUD PASSARO - ME</t>
        </is>
      </c>
      <c r="E180" t="n">
        <v>2536.08</v>
      </c>
      <c r="F180" s="27" t="n">
        <v>46076</v>
      </c>
      <c r="G180" s="27" t="n">
        <v>46076</v>
      </c>
      <c r="H180" s="27" t="n">
        <v>46076</v>
      </c>
      <c r="I180" s="27" t="n">
        <v>46057</v>
      </c>
      <c r="J180" s="27" t="n">
        <v>46071</v>
      </c>
      <c r="K180" t="inlineStr">
        <is>
          <t>Transferência Bancária ou Pix</t>
        </is>
      </c>
      <c r="L180" t="inlineStr">
        <is>
          <t>Custo Mercadoria Vendida</t>
        </is>
      </c>
      <c r="M180" t="inlineStr">
        <is>
          <t>Insumos - Bebidas</t>
        </is>
      </c>
      <c r="N180" t="inlineStr">
        <is>
          <t>15</t>
        </is>
      </c>
      <c r="O180" t="inlineStr">
        <is>
          <t>Documentação Aprovada</t>
        </is>
      </c>
      <c r="P180" t="inlineStr">
        <is>
          <t>Aprovado Diretoria</t>
        </is>
      </c>
      <c r="Q180" t="inlineStr">
        <is>
          <t>Aprovado Caixa</t>
        </is>
      </c>
      <c r="R180" t="inlineStr">
        <is>
          <t>Pago</t>
        </is>
      </c>
      <c r="S180" t="n">
        <v>226</v>
      </c>
      <c r="T180" t="inlineStr">
        <is>
          <t>The Cavern - Kamino</t>
        </is>
      </c>
    </row>
    <row r="181">
      <c r="A181" t="n">
        <v>208573</v>
      </c>
      <c r="B181" t="n">
        <v>176</v>
      </c>
      <c r="C181" t="inlineStr">
        <is>
          <t>The Cavern</t>
        </is>
      </c>
      <c r="D181" t="inlineStr">
        <is>
          <t>SPAL INDUSTRIA BRASILEIRA DE BEBIDAS S A</t>
        </is>
      </c>
      <c r="E181" t="n">
        <v>464.95</v>
      </c>
      <c r="F181" s="27" t="n">
        <v>46076</v>
      </c>
      <c r="G181" s="27" t="n">
        <v>46076</v>
      </c>
      <c r="H181" s="27" t="n">
        <v>46076</v>
      </c>
      <c r="I181" s="27" t="n">
        <v>46064</v>
      </c>
      <c r="J181" s="27" t="n">
        <v>46071</v>
      </c>
      <c r="K181" t="inlineStr">
        <is>
          <t>Boleto Bancário</t>
        </is>
      </c>
      <c r="L181" t="inlineStr">
        <is>
          <t>Custo Mercadoria Vendida</t>
        </is>
      </c>
      <c r="M181" t="inlineStr">
        <is>
          <t>Insumos - Bebidas</t>
        </is>
      </c>
      <c r="N181" t="inlineStr">
        <is>
          <t>16431502</t>
        </is>
      </c>
      <c r="O181" t="inlineStr">
        <is>
          <t>Documentação Aprovada</t>
        </is>
      </c>
      <c r="P181" t="inlineStr">
        <is>
          <t>Aprovado Diretoria</t>
        </is>
      </c>
      <c r="Q181" t="inlineStr">
        <is>
          <t>Aprovado Caixa</t>
        </is>
      </c>
      <c r="R181" t="inlineStr">
        <is>
          <t>Pago</t>
        </is>
      </c>
      <c r="S181" t="n">
        <v>226</v>
      </c>
      <c r="T181" t="inlineStr">
        <is>
          <t>The Cavern - Kamino</t>
        </is>
      </c>
    </row>
    <row r="182">
      <c r="A182" t="n">
        <v>210781</v>
      </c>
      <c r="B182" t="n">
        <v>176</v>
      </c>
      <c r="C182" t="inlineStr">
        <is>
          <t>The Cavern</t>
        </is>
      </c>
      <c r="D182" t="inlineStr">
        <is>
          <t xml:space="preserve">KAMINO INSTITUICAO DE PAGAMENTO LTDA </t>
        </is>
      </c>
      <c r="E182" t="n">
        <v>1</v>
      </c>
      <c r="F182" s="27" t="n">
        <v>46076</v>
      </c>
      <c r="G182" s="27" t="n"/>
      <c r="H182" s="27" t="n">
        <v>46076</v>
      </c>
      <c r="I182" s="27" t="n">
        <v>46076</v>
      </c>
      <c r="J182" s="27" t="n"/>
      <c r="K182" t="inlineStr">
        <is>
          <t xml:space="preserve">Debito Automático </t>
        </is>
      </c>
      <c r="L182" t="inlineStr">
        <is>
          <t>Despesas Financeiras</t>
        </is>
      </c>
      <c r="M182" t="inlineStr">
        <is>
          <t>Tarifas Bancárias</t>
        </is>
      </c>
      <c r="O182" t="inlineStr">
        <is>
          <t>Documentação Aprovada</t>
        </is>
      </c>
      <c r="P182" t="inlineStr">
        <is>
          <t>Aprovado Diretoria</t>
        </is>
      </c>
      <c r="Q182" t="inlineStr">
        <is>
          <t>Aprovado Caixa</t>
        </is>
      </c>
      <c r="R182" t="inlineStr">
        <is>
          <t>Pago</t>
        </is>
      </c>
      <c r="S182" t="n">
        <v>226</v>
      </c>
      <c r="T182" t="inlineStr">
        <is>
          <t>The Cavern - Kamino</t>
        </is>
      </c>
    </row>
    <row r="183">
      <c r="A183" t="n">
        <v>206264</v>
      </c>
      <c r="B183" t="n">
        <v>176</v>
      </c>
      <c r="C183" t="inlineStr">
        <is>
          <t>The Cavern</t>
        </is>
      </c>
      <c r="D183" t="inlineStr">
        <is>
          <t xml:space="preserve">DISTRIBUIDORA DE CARNES CANTAREIRA </t>
        </is>
      </c>
      <c r="E183" t="n">
        <v>130.9</v>
      </c>
      <c r="F183" s="27" t="n">
        <v>46076</v>
      </c>
      <c r="G183" s="27" t="n">
        <v>46076</v>
      </c>
      <c r="H183" s="27" t="n">
        <v>46076</v>
      </c>
      <c r="I183" s="27" t="n">
        <v>46062</v>
      </c>
      <c r="J183" s="27" t="n">
        <v>46063</v>
      </c>
      <c r="K183" t="inlineStr">
        <is>
          <t>Boleto Bancário</t>
        </is>
      </c>
      <c r="L183" t="inlineStr">
        <is>
          <t>Custo Mercadoria Vendida</t>
        </is>
      </c>
      <c r="M183" t="inlineStr">
        <is>
          <t>Insumos - Alimentos</t>
        </is>
      </c>
      <c r="N183" t="inlineStr">
        <is>
          <t>49904</t>
        </is>
      </c>
      <c r="O183" t="inlineStr">
        <is>
          <t>Documentação Aprovada</t>
        </is>
      </c>
      <c r="P183" t="inlineStr">
        <is>
          <t>Aprovado Diretoria</t>
        </is>
      </c>
      <c r="Q183" t="inlineStr">
        <is>
          <t>Aprovado Caixa</t>
        </is>
      </c>
      <c r="R183" t="inlineStr">
        <is>
          <t>Pago</t>
        </is>
      </c>
      <c r="S183" t="n">
        <v>226</v>
      </c>
      <c r="T183" t="inlineStr">
        <is>
          <t>The Cavern - Kamino</t>
        </is>
      </c>
    </row>
    <row r="184">
      <c r="A184" t="n">
        <v>209357</v>
      </c>
      <c r="B184" t="n">
        <v>176</v>
      </c>
      <c r="C184" t="inlineStr">
        <is>
          <t>The Cavern</t>
        </is>
      </c>
      <c r="D184" t="inlineStr">
        <is>
          <t>F &amp; C ASSESSORIA CONTABIL LTDA</t>
        </is>
      </c>
      <c r="E184" t="n">
        <v>2000</v>
      </c>
      <c r="F184" s="27" t="n">
        <v>46076</v>
      </c>
      <c r="G184" s="27" t="n">
        <v>46076</v>
      </c>
      <c r="H184" s="27" t="n">
        <v>46076</v>
      </c>
      <c r="I184" s="27" t="n">
        <v>46053</v>
      </c>
      <c r="J184" s="27" t="n">
        <v>46072</v>
      </c>
      <c r="K184" t="inlineStr">
        <is>
          <t>Transferência Bancária ou Pix</t>
        </is>
      </c>
      <c r="L184" t="inlineStr">
        <is>
          <t>Serviços de Terceiros</t>
        </is>
      </c>
      <c r="M184" t="inlineStr">
        <is>
          <t>Assessoria Contabil</t>
        </is>
      </c>
      <c r="N184" t="inlineStr">
        <is>
          <t>492026</t>
        </is>
      </c>
      <c r="O184" t="inlineStr">
        <is>
          <t>Documentação Aprovada</t>
        </is>
      </c>
      <c r="P184" t="inlineStr">
        <is>
          <t>Aprovado Diretoria</t>
        </is>
      </c>
      <c r="Q184" t="inlineStr">
        <is>
          <t>Aprovado Caixa</t>
        </is>
      </c>
      <c r="R184" t="inlineStr">
        <is>
          <t>Pago</t>
        </is>
      </c>
      <c r="S184" t="n">
        <v>226</v>
      </c>
      <c r="T184" t="inlineStr">
        <is>
          <t>The Cavern - Kamino</t>
        </is>
      </c>
    </row>
    <row r="185">
      <c r="A185" t="n">
        <v>203280</v>
      </c>
      <c r="B185" t="n">
        <v>176</v>
      </c>
      <c r="C185" t="inlineStr">
        <is>
          <t>The Cavern</t>
        </is>
      </c>
      <c r="D185" t="inlineStr">
        <is>
          <t xml:space="preserve">HORTIFRUTI DO CHEF LTDA </t>
        </is>
      </c>
      <c r="E185" t="n">
        <v>927.9</v>
      </c>
      <c r="F185" s="27" t="n">
        <v>46076</v>
      </c>
      <c r="G185" s="27" t="n">
        <v>46076</v>
      </c>
      <c r="H185" s="27" t="n">
        <v>46076</v>
      </c>
      <c r="I185" s="27" t="n">
        <v>46048</v>
      </c>
      <c r="J185" s="27" t="n">
        <v>46056</v>
      </c>
      <c r="K185" t="inlineStr">
        <is>
          <t>Boleto Bancário</t>
        </is>
      </c>
      <c r="L185" t="inlineStr">
        <is>
          <t>Custo Mercadoria Vendida</t>
        </is>
      </c>
      <c r="M185" t="inlineStr">
        <is>
          <t>Insumos - Alimentos</t>
        </is>
      </c>
      <c r="N185" t="inlineStr">
        <is>
          <t>28680</t>
        </is>
      </c>
      <c r="O185" t="inlineStr">
        <is>
          <t>Documentação Aprovada</t>
        </is>
      </c>
      <c r="P185" t="inlineStr">
        <is>
          <t>Aprovado Diretoria</t>
        </is>
      </c>
      <c r="Q185" t="inlineStr">
        <is>
          <t>Aprovado Caixa</t>
        </is>
      </c>
      <c r="R185" t="inlineStr">
        <is>
          <t>Pago</t>
        </is>
      </c>
      <c r="S185" t="n">
        <v>226</v>
      </c>
      <c r="T185" t="inlineStr">
        <is>
          <t>The Cavern - Kamino</t>
        </is>
      </c>
    </row>
    <row r="186">
      <c r="A186" t="n">
        <v>198279</v>
      </c>
      <c r="B186" t="n">
        <v>176</v>
      </c>
      <c r="C186" t="inlineStr">
        <is>
          <t>The Cavern</t>
        </is>
      </c>
      <c r="D186" t="inlineStr">
        <is>
          <t>CECILIA TSUYACO ARAKI SILVA LTDA</t>
        </is>
      </c>
      <c r="E186" t="n">
        <v>1331.8</v>
      </c>
      <c r="F186" s="27" t="n">
        <v>46076</v>
      </c>
      <c r="G186" s="27" t="n">
        <v>46076</v>
      </c>
      <c r="H186" s="27" t="n">
        <v>46076</v>
      </c>
      <c r="I186" s="27" t="n">
        <v>46048</v>
      </c>
      <c r="J186" s="27" t="n">
        <v>46049</v>
      </c>
      <c r="K186" t="inlineStr">
        <is>
          <t>Boleto Bancário</t>
        </is>
      </c>
      <c r="L186" t="inlineStr">
        <is>
          <t>Custo Mercadoria Vendida</t>
        </is>
      </c>
      <c r="M186" t="inlineStr">
        <is>
          <t>Insumos - Alimentos</t>
        </is>
      </c>
      <c r="N186" t="inlineStr">
        <is>
          <t>385725</t>
        </is>
      </c>
      <c r="O186" t="inlineStr">
        <is>
          <t>Documentação Aprovada</t>
        </is>
      </c>
      <c r="P186" t="inlineStr">
        <is>
          <t>Aprovado Diretoria</t>
        </is>
      </c>
      <c r="Q186" t="inlineStr">
        <is>
          <t>Aprovado Caixa</t>
        </is>
      </c>
      <c r="R186" t="inlineStr">
        <is>
          <t>Pago</t>
        </is>
      </c>
      <c r="S186" t="n">
        <v>226</v>
      </c>
      <c r="T186" t="inlineStr">
        <is>
          <t>The Cavern - Kamino</t>
        </is>
      </c>
    </row>
    <row r="187">
      <c r="A187" t="n">
        <v>198757</v>
      </c>
      <c r="B187" t="n">
        <v>176</v>
      </c>
      <c r="C187" t="inlineStr">
        <is>
          <t>The Cavern</t>
        </is>
      </c>
      <c r="D187" t="inlineStr">
        <is>
          <t xml:space="preserve">ARENA VIP DISTRIBUIDORA DE BEBIDAS LTDA </t>
        </is>
      </c>
      <c r="E187" t="n">
        <v>810.5</v>
      </c>
      <c r="F187" s="27" t="n">
        <v>46076</v>
      </c>
      <c r="G187" s="27" t="n">
        <v>46076</v>
      </c>
      <c r="H187" s="27" t="n">
        <v>46076</v>
      </c>
      <c r="I187" s="27" t="n">
        <v>46048</v>
      </c>
      <c r="J187" s="27" t="n">
        <v>46050</v>
      </c>
      <c r="K187" t="inlineStr">
        <is>
          <t>Boleto Bancário</t>
        </is>
      </c>
      <c r="L187" t="inlineStr">
        <is>
          <t>Custo Mercadoria Vendida</t>
        </is>
      </c>
      <c r="M187" t="inlineStr">
        <is>
          <t>Insumos - Bebidas</t>
        </is>
      </c>
      <c r="N187" t="inlineStr">
        <is>
          <t>26467</t>
        </is>
      </c>
      <c r="O187" t="inlineStr">
        <is>
          <t>Documentação Aprovada</t>
        </is>
      </c>
      <c r="P187" t="inlineStr">
        <is>
          <t>Aprovado Diretoria</t>
        </is>
      </c>
      <c r="Q187" t="inlineStr">
        <is>
          <t>Aprovado Caixa</t>
        </is>
      </c>
      <c r="R187" t="inlineStr">
        <is>
          <t>Pago</t>
        </is>
      </c>
      <c r="S187" t="n">
        <v>226</v>
      </c>
      <c r="T187" t="inlineStr">
        <is>
          <t>The Cavern - Kamino</t>
        </is>
      </c>
    </row>
    <row r="188">
      <c r="A188" t="n">
        <v>198760</v>
      </c>
      <c r="B188" t="n">
        <v>176</v>
      </c>
      <c r="C188" t="inlineStr">
        <is>
          <t>The Cavern</t>
        </is>
      </c>
      <c r="D188" t="inlineStr">
        <is>
          <t>DTK COMERCIO DE ALIMENTOS LTDA</t>
        </is>
      </c>
      <c r="E188" t="n">
        <v>1717.47</v>
      </c>
      <c r="F188" s="27" t="n">
        <v>46076</v>
      </c>
      <c r="G188" s="27" t="n">
        <v>46076</v>
      </c>
      <c r="H188" s="27" t="n">
        <v>46076</v>
      </c>
      <c r="I188" s="27" t="n">
        <v>46048</v>
      </c>
      <c r="J188" s="27" t="n">
        <v>46050</v>
      </c>
      <c r="K188" t="inlineStr">
        <is>
          <t>Boleto Bancário</t>
        </is>
      </c>
      <c r="L188" t="inlineStr">
        <is>
          <t>Custo Mercadoria Vendida</t>
        </is>
      </c>
      <c r="M188" t="inlineStr">
        <is>
          <t>Insumos - Alimentos</t>
        </is>
      </c>
      <c r="N188" t="inlineStr">
        <is>
          <t>62280</t>
        </is>
      </c>
      <c r="O188" t="inlineStr">
        <is>
          <t>Documentação Aprovada</t>
        </is>
      </c>
      <c r="P188" t="inlineStr">
        <is>
          <t>Aprovado Diretoria</t>
        </is>
      </c>
      <c r="Q188" t="inlineStr">
        <is>
          <t>Aprovado Caixa</t>
        </is>
      </c>
      <c r="R188" t="inlineStr">
        <is>
          <t>Pago</t>
        </is>
      </c>
      <c r="S188" t="n">
        <v>226</v>
      </c>
      <c r="T188" t="inlineStr">
        <is>
          <t>The Cavern - Kamino</t>
        </is>
      </c>
    </row>
    <row r="189">
      <c r="A189" t="n">
        <v>195463</v>
      </c>
      <c r="B189" t="n">
        <v>176</v>
      </c>
      <c r="C189" t="inlineStr">
        <is>
          <t>The Cavern</t>
        </is>
      </c>
      <c r="D189" t="inlineStr">
        <is>
          <t>ANDREIA SANTOS FREITAS DUARTE</t>
        </is>
      </c>
      <c r="E189" t="n">
        <v>417.3</v>
      </c>
      <c r="F189" s="27" t="n">
        <v>46076</v>
      </c>
      <c r="G189" s="27" t="n">
        <v>46076</v>
      </c>
      <c r="H189" s="27" t="n">
        <v>46076</v>
      </c>
      <c r="I189" s="27" t="n">
        <v>46041</v>
      </c>
      <c r="J189" s="27" t="n">
        <v>46044</v>
      </c>
      <c r="K189" t="inlineStr">
        <is>
          <t>Boleto Bancário</t>
        </is>
      </c>
      <c r="L189" t="inlineStr">
        <is>
          <t>Custo Mercadoria Vendida</t>
        </is>
      </c>
      <c r="M189" t="inlineStr">
        <is>
          <t>Insumos - Alimentos</t>
        </is>
      </c>
      <c r="N189" t="inlineStr">
        <is>
          <t>2477</t>
        </is>
      </c>
      <c r="O189" t="inlineStr">
        <is>
          <t>Documentação Aprovada</t>
        </is>
      </c>
      <c r="P189" t="inlineStr">
        <is>
          <t>Aprovado Diretoria</t>
        </is>
      </c>
      <c r="Q189" t="inlineStr">
        <is>
          <t>Aprovado Caixa</t>
        </is>
      </c>
      <c r="R189" t="inlineStr">
        <is>
          <t>Pago</t>
        </is>
      </c>
      <c r="S189" t="n">
        <v>226</v>
      </c>
      <c r="T189" t="inlineStr">
        <is>
          <t>The Cavern - Kamino</t>
        </is>
      </c>
    </row>
    <row r="190">
      <c r="A190" t="n">
        <v>195503</v>
      </c>
      <c r="B190" t="n">
        <v>176</v>
      </c>
      <c r="C190" t="inlineStr">
        <is>
          <t>The Cavern</t>
        </is>
      </c>
      <c r="D190" t="inlineStr">
        <is>
          <t>FGTS</t>
        </is>
      </c>
      <c r="E190" t="n">
        <v>673.0700000000001</v>
      </c>
      <c r="F190" s="27" t="n">
        <v>46073</v>
      </c>
      <c r="G190" s="27" t="n">
        <v>46073</v>
      </c>
      <c r="H190" s="27" t="n">
        <v>46073</v>
      </c>
      <c r="I190" s="27" t="n">
        <v>46023</v>
      </c>
      <c r="J190" s="27" t="n">
        <v>46044</v>
      </c>
      <c r="K190" t="inlineStr">
        <is>
          <t>Transferência Bancária ou Pix</t>
        </is>
      </c>
      <c r="L190" t="inlineStr">
        <is>
          <t>Mão de Obra - Encargos e Provisões</t>
        </is>
      </c>
      <c r="M190" t="inlineStr">
        <is>
          <t xml:space="preserve">  -  FGTS</t>
        </is>
      </c>
      <c r="N190" t="inlineStr">
        <is>
          <t>JAN2026</t>
        </is>
      </c>
      <c r="O190" t="inlineStr">
        <is>
          <t>Documentação Aprovada</t>
        </is>
      </c>
      <c r="P190" t="inlineStr">
        <is>
          <t>Aprovado Diretoria</t>
        </is>
      </c>
      <c r="Q190" t="inlineStr">
        <is>
          <t>Aprovado Caixa</t>
        </is>
      </c>
      <c r="R190" t="inlineStr">
        <is>
          <t>Pago</t>
        </is>
      </c>
      <c r="S190" t="n">
        <v>226</v>
      </c>
      <c r="T190" t="inlineStr">
        <is>
          <t>The Cavern - Kamino</t>
        </is>
      </c>
    </row>
    <row r="191">
      <c r="A191" t="n">
        <v>196995</v>
      </c>
      <c r="B191" t="n">
        <v>176</v>
      </c>
      <c r="C191" t="inlineStr">
        <is>
          <t>The Cavern</t>
        </is>
      </c>
      <c r="D191" t="inlineStr">
        <is>
          <t>WPP COMERCIO DE CARNES LTDA</t>
        </is>
      </c>
      <c r="E191" t="n">
        <v>1209.52</v>
      </c>
      <c r="F191" s="27" t="n">
        <v>46073</v>
      </c>
      <c r="G191" s="27" t="n">
        <v>46073</v>
      </c>
      <c r="H191" s="27" t="n">
        <v>46073</v>
      </c>
      <c r="I191" s="27" t="n">
        <v>46045</v>
      </c>
      <c r="J191" s="27" t="n">
        <v>46045</v>
      </c>
      <c r="K191" t="inlineStr">
        <is>
          <t>Boleto Bancário</t>
        </is>
      </c>
      <c r="L191" t="inlineStr">
        <is>
          <t>Custo Mercadoria Vendida</t>
        </is>
      </c>
      <c r="M191" t="inlineStr">
        <is>
          <t>Insumos - Alimentos</t>
        </is>
      </c>
      <c r="N191" t="inlineStr">
        <is>
          <t>76908</t>
        </is>
      </c>
      <c r="O191" t="inlineStr">
        <is>
          <t>Documentação Aprovada</t>
        </is>
      </c>
      <c r="P191" t="inlineStr">
        <is>
          <t>Aprovado Diretoria</t>
        </is>
      </c>
      <c r="Q191" t="inlineStr">
        <is>
          <t>Aprovado Caixa</t>
        </is>
      </c>
      <c r="R191" t="inlineStr">
        <is>
          <t>Pago</t>
        </is>
      </c>
      <c r="S191" t="n">
        <v>226</v>
      </c>
      <c r="T191" t="inlineStr">
        <is>
          <t>The Cavern - Kamino</t>
        </is>
      </c>
    </row>
    <row r="192">
      <c r="A192" t="n">
        <v>197709</v>
      </c>
      <c r="B192" t="n">
        <v>176</v>
      </c>
      <c r="C192" t="inlineStr">
        <is>
          <t>The Cavern</t>
        </is>
      </c>
      <c r="D192" t="inlineStr">
        <is>
          <t>NOVA COMERCIAL PESCADOS LTDA</t>
        </is>
      </c>
      <c r="E192" t="n">
        <v>1120</v>
      </c>
      <c r="F192" s="27" t="n">
        <v>46073</v>
      </c>
      <c r="G192" s="27" t="n">
        <v>46073</v>
      </c>
      <c r="H192" s="27" t="n">
        <v>46073</v>
      </c>
      <c r="I192" s="27" t="n">
        <v>46045</v>
      </c>
      <c r="J192" s="27" t="n">
        <v>46048</v>
      </c>
      <c r="K192" t="inlineStr">
        <is>
          <t>Boleto Bancário</t>
        </is>
      </c>
      <c r="L192" t="inlineStr">
        <is>
          <t>Custo Mercadoria Vendida</t>
        </is>
      </c>
      <c r="M192" t="inlineStr">
        <is>
          <t>Insumos - Alimentos</t>
        </is>
      </c>
      <c r="N192" t="inlineStr">
        <is>
          <t>30815</t>
        </is>
      </c>
      <c r="O192" t="inlineStr">
        <is>
          <t>Documentação Aprovada</t>
        </is>
      </c>
      <c r="P192" t="inlineStr">
        <is>
          <t>Aprovado Diretoria</t>
        </is>
      </c>
      <c r="Q192" t="inlineStr">
        <is>
          <t>Aprovado Caixa</t>
        </is>
      </c>
      <c r="R192" t="inlineStr">
        <is>
          <t>Pago</t>
        </is>
      </c>
      <c r="S192" t="n">
        <v>226</v>
      </c>
      <c r="T192" t="inlineStr">
        <is>
          <t>The Cavern - Kamino</t>
        </is>
      </c>
    </row>
    <row r="193">
      <c r="A193" t="n">
        <v>197710</v>
      </c>
      <c r="B193" t="n">
        <v>176</v>
      </c>
      <c r="C193" t="inlineStr">
        <is>
          <t>The Cavern</t>
        </is>
      </c>
      <c r="D193" t="inlineStr">
        <is>
          <t>DTK COMERCIO DE ALIMENTOS LTDA</t>
        </is>
      </c>
      <c r="E193" t="n">
        <v>591.75</v>
      </c>
      <c r="F193" s="27" t="n">
        <v>46073</v>
      </c>
      <c r="G193" s="27" t="n">
        <v>46073</v>
      </c>
      <c r="H193" s="27" t="n">
        <v>46073</v>
      </c>
      <c r="I193" s="27" t="n">
        <v>46045</v>
      </c>
      <c r="J193" s="27" t="n">
        <v>46048</v>
      </c>
      <c r="K193" t="inlineStr">
        <is>
          <t>Boleto Bancário</t>
        </is>
      </c>
      <c r="L193" t="inlineStr">
        <is>
          <t>Custo Mercadoria Vendida</t>
        </is>
      </c>
      <c r="M193" t="inlineStr">
        <is>
          <t>Insumos - Alimentos</t>
        </is>
      </c>
      <c r="N193" t="inlineStr">
        <is>
          <t>62151</t>
        </is>
      </c>
      <c r="O193" t="inlineStr">
        <is>
          <t>Documentação Aprovada</t>
        </is>
      </c>
      <c r="P193" t="inlineStr">
        <is>
          <t>Aprovado Diretoria</t>
        </is>
      </c>
      <c r="Q193" t="inlineStr">
        <is>
          <t>Aprovado Caixa</t>
        </is>
      </c>
      <c r="R193" t="inlineStr">
        <is>
          <t>Pago</t>
        </is>
      </c>
      <c r="S193" t="n">
        <v>226</v>
      </c>
      <c r="T193" t="inlineStr">
        <is>
          <t>The Cavern - Kamino</t>
        </is>
      </c>
    </row>
    <row r="194">
      <c r="A194" t="n">
        <v>203661</v>
      </c>
      <c r="B194" t="n">
        <v>176</v>
      </c>
      <c r="C194" t="inlineStr">
        <is>
          <t>The Cavern</t>
        </is>
      </c>
      <c r="D194" t="inlineStr">
        <is>
          <t>DTK COMERCIO DE ALIMENTOS LTDA</t>
        </is>
      </c>
      <c r="E194" t="n">
        <v>115.15</v>
      </c>
      <c r="F194" s="27" t="n">
        <v>46073</v>
      </c>
      <c r="G194" s="27" t="n">
        <v>46073</v>
      </c>
      <c r="H194" s="27" t="n">
        <v>46073</v>
      </c>
      <c r="I194" s="27" t="n">
        <v>46052</v>
      </c>
      <c r="J194" s="27" t="n">
        <v>46057</v>
      </c>
      <c r="K194" t="inlineStr">
        <is>
          <t>Boleto Bancário</t>
        </is>
      </c>
      <c r="L194" t="inlineStr">
        <is>
          <t>Custo Mercadoria Vendida</t>
        </is>
      </c>
      <c r="M194" t="inlineStr">
        <is>
          <t>Insumos - Alimentos</t>
        </is>
      </c>
      <c r="N194" t="inlineStr">
        <is>
          <t>63188</t>
        </is>
      </c>
      <c r="O194" t="inlineStr">
        <is>
          <t>Documentação Aprovada</t>
        </is>
      </c>
      <c r="P194" t="inlineStr">
        <is>
          <t>Aprovado Diretoria</t>
        </is>
      </c>
      <c r="Q194" t="inlineStr">
        <is>
          <t>Aprovado Caixa</t>
        </is>
      </c>
      <c r="R194" t="inlineStr">
        <is>
          <t>Pago</t>
        </is>
      </c>
      <c r="S194" t="n">
        <v>226</v>
      </c>
      <c r="T194" t="inlineStr">
        <is>
          <t>The Cavern - Kamino</t>
        </is>
      </c>
    </row>
    <row r="195">
      <c r="A195" t="n">
        <v>209456</v>
      </c>
      <c r="B195" t="n">
        <v>176</v>
      </c>
      <c r="C195" t="inlineStr">
        <is>
          <t>The Cavern</t>
        </is>
      </c>
      <c r="D195" t="inlineStr">
        <is>
          <t>FUNCIONARIO EXTRA</t>
        </is>
      </c>
      <c r="E195" t="n">
        <v>3946.43</v>
      </c>
      <c r="F195" s="27" t="n">
        <v>46073</v>
      </c>
      <c r="G195" s="27" t="n">
        <v>46073</v>
      </c>
      <c r="H195" s="27" t="n">
        <v>46073</v>
      </c>
      <c r="I195" s="27" t="n">
        <v>46072</v>
      </c>
      <c r="J195" s="27" t="n">
        <v>46072</v>
      </c>
      <c r="K195" t="inlineStr">
        <is>
          <t>Transferência Bancária ou Pix</t>
        </is>
      </c>
      <c r="L195" t="inlineStr">
        <is>
          <t>Mão de Obra - Extra</t>
        </is>
      </c>
      <c r="M195" t="inlineStr">
        <is>
          <t>Mão de Obra Extra</t>
        </is>
      </c>
      <c r="N195" t="inlineStr">
        <is>
          <t>502026</t>
        </is>
      </c>
      <c r="O195" t="inlineStr">
        <is>
          <t>Documentação Aprovada</t>
        </is>
      </c>
      <c r="P195" t="inlineStr">
        <is>
          <t>Aprovado Diretoria</t>
        </is>
      </c>
      <c r="Q195" t="inlineStr">
        <is>
          <t>Aprovado Caixa</t>
        </is>
      </c>
      <c r="R195" t="inlineStr">
        <is>
          <t>Pago</t>
        </is>
      </c>
      <c r="S195" t="n">
        <v>226</v>
      </c>
      <c r="T195" t="inlineStr">
        <is>
          <t>The Cavern - Kamino</t>
        </is>
      </c>
    </row>
    <row r="196">
      <c r="A196" t="n">
        <v>209491</v>
      </c>
      <c r="B196" t="n">
        <v>176</v>
      </c>
      <c r="C196" t="inlineStr">
        <is>
          <t>The Cavern</t>
        </is>
      </c>
      <c r="D196" t="inlineStr">
        <is>
          <t>VAGNER BRANDAO</t>
        </is>
      </c>
      <c r="E196" t="n">
        <v>944.02</v>
      </c>
      <c r="F196" s="27" t="n">
        <v>46073</v>
      </c>
      <c r="G196" s="27" t="n">
        <v>46073</v>
      </c>
      <c r="H196" s="27" t="n">
        <v>46073</v>
      </c>
      <c r="I196" s="27" t="n">
        <v>46068</v>
      </c>
      <c r="J196" s="27" t="n"/>
      <c r="L196" t="inlineStr">
        <is>
          <t>Mão de Obra - Salários</t>
        </is>
      </c>
      <c r="M196" t="inlineStr">
        <is>
          <t>MDO CLT - Salário</t>
        </is>
      </c>
      <c r="O196" t="inlineStr">
        <is>
          <t>Documentação Aprovada</t>
        </is>
      </c>
      <c r="P196" t="inlineStr">
        <is>
          <t>Aprovado Diretoria</t>
        </is>
      </c>
      <c r="Q196" t="inlineStr">
        <is>
          <t>Aprovado Caixa</t>
        </is>
      </c>
      <c r="R196" t="inlineStr">
        <is>
          <t>Pago</t>
        </is>
      </c>
      <c r="S196" t="n">
        <v>226</v>
      </c>
      <c r="T196" t="inlineStr">
        <is>
          <t>The Cavern - Kamino</t>
        </is>
      </c>
    </row>
    <row r="197">
      <c r="A197" t="n">
        <v>209490</v>
      </c>
      <c r="B197" t="n">
        <v>176</v>
      </c>
      <c r="C197" t="inlineStr">
        <is>
          <t>The Cavern</t>
        </is>
      </c>
      <c r="D197" t="inlineStr">
        <is>
          <t>ISMAEL SANTOS SILVA</t>
        </is>
      </c>
      <c r="E197" t="n">
        <v>1027.6</v>
      </c>
      <c r="F197" s="27" t="n">
        <v>46073</v>
      </c>
      <c r="G197" s="27" t="n">
        <v>46073</v>
      </c>
      <c r="H197" s="27" t="n">
        <v>46073</v>
      </c>
      <c r="I197" s="27" t="n">
        <v>46068</v>
      </c>
      <c r="J197" s="27" t="n"/>
      <c r="L197" t="inlineStr">
        <is>
          <t>Mão de Obra - Salários</t>
        </is>
      </c>
      <c r="M197" t="inlineStr">
        <is>
          <t>MDO CLT - Salário</t>
        </is>
      </c>
      <c r="O197" t="inlineStr">
        <is>
          <t>Documentação Aprovada</t>
        </is>
      </c>
      <c r="P197" t="inlineStr">
        <is>
          <t>Aprovado Diretoria</t>
        </is>
      </c>
      <c r="Q197" t="inlineStr">
        <is>
          <t>Aprovado Caixa</t>
        </is>
      </c>
      <c r="R197" t="inlineStr">
        <is>
          <t>Pago</t>
        </is>
      </c>
      <c r="S197" t="n">
        <v>226</v>
      </c>
      <c r="T197" t="inlineStr">
        <is>
          <t>The Cavern - Kamino</t>
        </is>
      </c>
    </row>
    <row r="198">
      <c r="A198" t="n">
        <v>209489</v>
      </c>
      <c r="B198" t="n">
        <v>176</v>
      </c>
      <c r="C198" t="inlineStr">
        <is>
          <t>The Cavern</t>
        </is>
      </c>
      <c r="D198" t="inlineStr">
        <is>
          <t>EMILY RENATA MENDONCA VIEIRA</t>
        </is>
      </c>
      <c r="E198" t="n">
        <v>1000</v>
      </c>
      <c r="F198" s="27" t="n">
        <v>46073</v>
      </c>
      <c r="G198" s="27" t="n">
        <v>46073</v>
      </c>
      <c r="H198" s="27" t="n">
        <v>46073</v>
      </c>
      <c r="I198" s="27" t="n">
        <v>46068</v>
      </c>
      <c r="J198" s="27" t="n"/>
      <c r="L198" t="inlineStr">
        <is>
          <t>Mão de Obra - Salários</t>
        </is>
      </c>
      <c r="M198" t="inlineStr">
        <is>
          <t>MDO CLT - Salário</t>
        </is>
      </c>
      <c r="O198" t="inlineStr">
        <is>
          <t>Documentação Aprovada</t>
        </is>
      </c>
      <c r="P198" t="inlineStr">
        <is>
          <t>Aprovado Diretoria</t>
        </is>
      </c>
      <c r="Q198" t="inlineStr">
        <is>
          <t>Aprovado Caixa</t>
        </is>
      </c>
      <c r="R198" t="inlineStr">
        <is>
          <t>Pago</t>
        </is>
      </c>
      <c r="S198" t="n">
        <v>226</v>
      </c>
      <c r="T198" t="inlineStr">
        <is>
          <t>The Cavern - Kamino</t>
        </is>
      </c>
    </row>
    <row r="199">
      <c r="A199" t="n">
        <v>209488</v>
      </c>
      <c r="B199" t="n">
        <v>176</v>
      </c>
      <c r="C199" t="inlineStr">
        <is>
          <t>The Cavern</t>
        </is>
      </c>
      <c r="D199" t="inlineStr">
        <is>
          <t xml:space="preserve">CARLOS ALBERTO FERREIRA PIMENTEL </t>
        </is>
      </c>
      <c r="E199" t="n">
        <v>1309.9</v>
      </c>
      <c r="F199" s="27" t="n">
        <v>46073</v>
      </c>
      <c r="G199" s="27" t="n">
        <v>46073</v>
      </c>
      <c r="H199" s="27" t="n">
        <v>46073</v>
      </c>
      <c r="I199" s="27" t="n">
        <v>46068</v>
      </c>
      <c r="J199" s="27" t="n"/>
      <c r="L199" t="inlineStr">
        <is>
          <t>Mão de Obra - Salários</t>
        </is>
      </c>
      <c r="M199" t="inlineStr">
        <is>
          <t>MDO CLT - Salário</t>
        </is>
      </c>
      <c r="O199" t="inlineStr">
        <is>
          <t>Documentação Aprovada</t>
        </is>
      </c>
      <c r="P199" t="inlineStr">
        <is>
          <t>Aprovado Diretoria</t>
        </is>
      </c>
      <c r="Q199" t="inlineStr">
        <is>
          <t>Aprovado Caixa</t>
        </is>
      </c>
      <c r="R199" t="inlineStr">
        <is>
          <t>Pago</t>
        </is>
      </c>
      <c r="S199" t="n">
        <v>226</v>
      </c>
      <c r="T199" t="inlineStr">
        <is>
          <t>The Cavern - Kamino</t>
        </is>
      </c>
    </row>
    <row r="200">
      <c r="A200" t="n">
        <v>208844</v>
      </c>
      <c r="B200" t="n">
        <v>176</v>
      </c>
      <c r="C200" t="inlineStr">
        <is>
          <t>The Cavern</t>
        </is>
      </c>
      <c r="D200" t="inlineStr">
        <is>
          <t>CHOOP FAST DISTRIBUIDORA DE BEBIDAS LTDA</t>
        </is>
      </c>
      <c r="E200" t="n">
        <v>0</v>
      </c>
      <c r="F200" s="27" t="n">
        <v>46071</v>
      </c>
      <c r="G200" s="27" t="n">
        <v>46073</v>
      </c>
      <c r="H200" s="27" t="n">
        <v>46073</v>
      </c>
      <c r="I200" s="27" t="n">
        <v>46067</v>
      </c>
      <c r="J200" s="27" t="n">
        <v>46071</v>
      </c>
      <c r="K200" t="inlineStr">
        <is>
          <t xml:space="preserve">Nota Bonificada </t>
        </is>
      </c>
      <c r="L200" t="inlineStr">
        <is>
          <t>Custo Mercadoria Vendida</t>
        </is>
      </c>
      <c r="M200" t="inlineStr">
        <is>
          <t>Insumos - Alimentos</t>
        </is>
      </c>
      <c r="N200" t="inlineStr">
        <is>
          <t>50051</t>
        </is>
      </c>
      <c r="O200" t="inlineStr">
        <is>
          <t>Documentação Aprovada</t>
        </is>
      </c>
      <c r="P200" t="inlineStr">
        <is>
          <t>Aprovado Diretoria</t>
        </is>
      </c>
      <c r="Q200" t="inlineStr">
        <is>
          <t>Aprovado Caixa</t>
        </is>
      </c>
      <c r="R200" t="inlineStr">
        <is>
          <t>Pago</t>
        </is>
      </c>
    </row>
    <row r="201">
      <c r="A201" t="n">
        <v>206333</v>
      </c>
      <c r="B201" t="n">
        <v>176</v>
      </c>
      <c r="C201" t="inlineStr">
        <is>
          <t>The Cavern</t>
        </is>
      </c>
      <c r="D201" t="inlineStr">
        <is>
          <t xml:space="preserve">HNK BR INDUSTRIA DE BEBIDAS </t>
        </is>
      </c>
      <c r="E201" t="n">
        <v>4362.3</v>
      </c>
      <c r="F201" s="27" t="n">
        <v>46073</v>
      </c>
      <c r="G201" s="27" t="n">
        <v>46073</v>
      </c>
      <c r="H201" s="27" t="n">
        <v>46073</v>
      </c>
      <c r="I201" s="27" t="n">
        <v>46052</v>
      </c>
      <c r="J201" s="27" t="n">
        <v>46064</v>
      </c>
      <c r="K201" t="inlineStr">
        <is>
          <t>Boleto Bancário</t>
        </is>
      </c>
      <c r="L201" t="inlineStr">
        <is>
          <t>Custo Mercadoria Vendida</t>
        </is>
      </c>
      <c r="M201" t="inlineStr">
        <is>
          <t>Insumos - Bebidas</t>
        </is>
      </c>
      <c r="N201" t="inlineStr">
        <is>
          <t>149339</t>
        </is>
      </c>
      <c r="O201" t="inlineStr">
        <is>
          <t>Documentação Aprovada</t>
        </is>
      </c>
      <c r="P201" t="inlineStr">
        <is>
          <t>Aprovado Diretoria</t>
        </is>
      </c>
      <c r="Q201" t="inlineStr">
        <is>
          <t>Aprovado Caixa</t>
        </is>
      </c>
      <c r="R201" t="inlineStr">
        <is>
          <t>Pago</t>
        </is>
      </c>
      <c r="S201" t="n">
        <v>226</v>
      </c>
      <c r="T201" t="inlineStr">
        <is>
          <t>The Cavern - Kamino</t>
        </is>
      </c>
    </row>
    <row r="202">
      <c r="A202" t="n">
        <v>207744</v>
      </c>
      <c r="B202" t="n">
        <v>176</v>
      </c>
      <c r="C202" t="inlineStr">
        <is>
          <t>The Cavern</t>
        </is>
      </c>
      <c r="D202" t="inlineStr">
        <is>
          <t>28.811.338 GABRIELLA ABBUD PASSARO - ME</t>
        </is>
      </c>
      <c r="E202" t="n">
        <v>809.9</v>
      </c>
      <c r="F202" s="27" t="n">
        <v>46073</v>
      </c>
      <c r="G202" s="27" t="n">
        <v>46073</v>
      </c>
      <c r="H202" s="27" t="n">
        <v>46073</v>
      </c>
      <c r="I202" s="27" t="n">
        <v>46037</v>
      </c>
      <c r="J202" s="27" t="n">
        <v>46066</v>
      </c>
      <c r="K202" t="inlineStr">
        <is>
          <t>Transferência Bancária ou Pix</t>
        </is>
      </c>
      <c r="L202" t="inlineStr">
        <is>
          <t>Custo Mercadoria Vendida</t>
        </is>
      </c>
      <c r="M202" t="inlineStr">
        <is>
          <t>Insumos - Bebidas</t>
        </is>
      </c>
      <c r="N202" t="inlineStr">
        <is>
          <t>10</t>
        </is>
      </c>
      <c r="O202" t="inlineStr">
        <is>
          <t>Documentação Aprovada</t>
        </is>
      </c>
      <c r="P202" t="inlineStr">
        <is>
          <t>Aprovado Diretoria</t>
        </is>
      </c>
      <c r="Q202" t="inlineStr">
        <is>
          <t>Aprovado Caixa</t>
        </is>
      </c>
      <c r="R202" t="inlineStr">
        <is>
          <t>Pago</t>
        </is>
      </c>
      <c r="S202" t="n">
        <v>226</v>
      </c>
      <c r="T202" t="inlineStr">
        <is>
          <t>The Cavern - Kamino</t>
        </is>
      </c>
    </row>
    <row r="203">
      <c r="A203" t="n">
        <v>210292</v>
      </c>
      <c r="B203" t="n">
        <v>176</v>
      </c>
      <c r="C203" t="inlineStr">
        <is>
          <t>The Cavern</t>
        </is>
      </c>
      <c r="D203" t="inlineStr">
        <is>
          <t xml:space="preserve">KAMINO INSTITUICAO DE PAGAMENTO LTDA </t>
        </is>
      </c>
      <c r="E203" t="n">
        <v>3.5</v>
      </c>
      <c r="F203" s="27" t="n">
        <v>46073</v>
      </c>
      <c r="G203" s="27" t="n"/>
      <c r="H203" s="27" t="n">
        <v>46073</v>
      </c>
      <c r="I203" s="27" t="n">
        <v>46073</v>
      </c>
      <c r="J203" s="27" t="n"/>
      <c r="K203" t="inlineStr">
        <is>
          <t xml:space="preserve">Debito Automático </t>
        </is>
      </c>
      <c r="L203" t="inlineStr">
        <is>
          <t>Despesas Financeiras</t>
        </is>
      </c>
      <c r="M203" t="inlineStr">
        <is>
          <t>Tarifas Bancárias</t>
        </is>
      </c>
      <c r="O203" t="inlineStr">
        <is>
          <t>Documentação Aprovada</t>
        </is>
      </c>
      <c r="P203" t="inlineStr">
        <is>
          <t>Aprovado Diretoria</t>
        </is>
      </c>
      <c r="Q203" t="inlineStr">
        <is>
          <t>Aprovado Caixa</t>
        </is>
      </c>
      <c r="R203" t="inlineStr">
        <is>
          <t>Pago</t>
        </is>
      </c>
      <c r="S203" t="n">
        <v>226</v>
      </c>
      <c r="T203" t="inlineStr">
        <is>
          <t>The Cavern - Kamino</t>
        </is>
      </c>
    </row>
    <row r="204">
      <c r="A204" t="n">
        <v>209618</v>
      </c>
      <c r="B204" t="n">
        <v>176</v>
      </c>
      <c r="C204" t="inlineStr">
        <is>
          <t>The Cavern</t>
        </is>
      </c>
      <c r="D204" t="inlineStr">
        <is>
          <t xml:space="preserve">KAMINO INSTITUICAO DE PAGAMENTO LTDA </t>
        </is>
      </c>
      <c r="E204" t="n">
        <v>1.5</v>
      </c>
      <c r="F204" s="27" t="n">
        <v>46072</v>
      </c>
      <c r="G204" s="27" t="n"/>
      <c r="H204" s="27" t="n">
        <v>46072</v>
      </c>
      <c r="I204" s="27" t="n">
        <v>46072</v>
      </c>
      <c r="J204" s="27" t="n"/>
      <c r="K204" t="inlineStr">
        <is>
          <t xml:space="preserve">Debito Automático </t>
        </is>
      </c>
      <c r="L204" t="inlineStr">
        <is>
          <t>Despesas Financeiras</t>
        </is>
      </c>
      <c r="M204" t="inlineStr">
        <is>
          <t>Tarifas Bancárias</t>
        </is>
      </c>
      <c r="O204" t="inlineStr">
        <is>
          <t>Documentação Aprovada</t>
        </is>
      </c>
      <c r="P204" t="inlineStr">
        <is>
          <t>Aprovado Diretoria</t>
        </is>
      </c>
      <c r="Q204" t="inlineStr">
        <is>
          <t>Aprovado Caixa</t>
        </is>
      </c>
      <c r="R204" t="inlineStr">
        <is>
          <t>Pago</t>
        </is>
      </c>
      <c r="S204" t="n">
        <v>226</v>
      </c>
      <c r="T204" t="inlineStr">
        <is>
          <t>The Cavern - Kamino</t>
        </is>
      </c>
    </row>
    <row r="205">
      <c r="A205" t="n">
        <v>207178</v>
      </c>
      <c r="B205" t="n">
        <v>176</v>
      </c>
      <c r="C205" t="inlineStr">
        <is>
          <t>The Cavern</t>
        </is>
      </c>
      <c r="D205" t="inlineStr">
        <is>
          <t>MAR DIRETO POC COMERCIO DE PEIXES LTDA</t>
        </is>
      </c>
      <c r="E205" t="n">
        <v>1121.25</v>
      </c>
      <c r="F205" s="27" t="n">
        <v>46072</v>
      </c>
      <c r="G205" s="27" t="n">
        <v>46072</v>
      </c>
      <c r="H205" s="27" t="n">
        <v>46072</v>
      </c>
      <c r="I205" s="27" t="n">
        <v>46065</v>
      </c>
      <c r="J205" s="27" t="n">
        <v>46066</v>
      </c>
      <c r="K205" t="inlineStr">
        <is>
          <t>Boleto Bancário</t>
        </is>
      </c>
      <c r="L205" t="inlineStr">
        <is>
          <t>Custo Mercadoria Vendida</t>
        </is>
      </c>
      <c r="M205" t="inlineStr">
        <is>
          <t>Insumos - Alimentos</t>
        </is>
      </c>
      <c r="N205" t="inlineStr">
        <is>
          <t>116995</t>
        </is>
      </c>
      <c r="O205" t="inlineStr">
        <is>
          <t>Documentação Aprovada</t>
        </is>
      </c>
      <c r="P205" t="inlineStr">
        <is>
          <t>Aprovado Diretoria</t>
        </is>
      </c>
      <c r="Q205" t="inlineStr">
        <is>
          <t>Aprovado Caixa</t>
        </is>
      </c>
      <c r="R205" t="inlineStr">
        <is>
          <t>Pago</t>
        </is>
      </c>
      <c r="S205" t="n">
        <v>226</v>
      </c>
      <c r="T205" t="inlineStr">
        <is>
          <t>The Cavern - Kamino</t>
        </is>
      </c>
    </row>
    <row r="206">
      <c r="A206" t="n">
        <v>207175</v>
      </c>
      <c r="B206" t="n">
        <v>176</v>
      </c>
      <c r="C206" t="inlineStr">
        <is>
          <t>The Cavern</t>
        </is>
      </c>
      <c r="D206" t="inlineStr">
        <is>
          <t>WILKIAS HENRIQUE SANTOS DE SOUSA</t>
        </is>
      </c>
      <c r="E206" t="n">
        <v>234.88</v>
      </c>
      <c r="F206" s="27" t="n">
        <v>46072</v>
      </c>
      <c r="G206" s="27" t="n">
        <v>46072</v>
      </c>
      <c r="H206" s="27" t="n">
        <v>46072</v>
      </c>
      <c r="I206" s="27" t="n">
        <v>46054</v>
      </c>
      <c r="J206" s="27" t="n">
        <v>46066</v>
      </c>
      <c r="K206" t="inlineStr">
        <is>
          <t>Transferência Bancária ou Pix</t>
        </is>
      </c>
      <c r="L206" t="inlineStr">
        <is>
          <t>Mão de Obra - Benefícios</t>
        </is>
      </c>
      <c r="M206" t="inlineStr">
        <is>
          <t xml:space="preserve">  -  Vale-transporte</t>
        </is>
      </c>
      <c r="N206" t="inlineStr">
        <is>
          <t>23488 022026</t>
        </is>
      </c>
      <c r="O206" t="inlineStr">
        <is>
          <t>Documentação Aprovada</t>
        </is>
      </c>
      <c r="P206" t="inlineStr">
        <is>
          <t>Aprovado Diretoria</t>
        </is>
      </c>
      <c r="Q206" t="inlineStr">
        <is>
          <t>Aprovado Caixa</t>
        </is>
      </c>
      <c r="R206" t="inlineStr">
        <is>
          <t>Pago</t>
        </is>
      </c>
      <c r="S206" t="n">
        <v>226</v>
      </c>
      <c r="T206" t="inlineStr">
        <is>
          <t>The Cavern - Kamino</t>
        </is>
      </c>
    </row>
    <row r="207">
      <c r="A207" t="n">
        <v>207173</v>
      </c>
      <c r="B207" t="n">
        <v>176</v>
      </c>
      <c r="C207" t="inlineStr">
        <is>
          <t>The Cavern</t>
        </is>
      </c>
      <c r="D207" t="inlineStr">
        <is>
          <t>MARCO OCTAVIO BARBOSA DA SILVA</t>
        </is>
      </c>
      <c r="E207" t="n">
        <v>300.16</v>
      </c>
      <c r="F207" s="27" t="n">
        <v>46072</v>
      </c>
      <c r="G207" s="27" t="n">
        <v>46072</v>
      </c>
      <c r="H207" s="27" t="n">
        <v>46072</v>
      </c>
      <c r="I207" s="27" t="n">
        <v>46054</v>
      </c>
      <c r="J207" s="27" t="n">
        <v>46066</v>
      </c>
      <c r="K207" t="inlineStr">
        <is>
          <t>Transferência Bancária ou Pix</t>
        </is>
      </c>
      <c r="L207" t="inlineStr">
        <is>
          <t>Mão de Obra - Benefícios</t>
        </is>
      </c>
      <c r="M207" t="inlineStr">
        <is>
          <t xml:space="preserve">  -  Vale-transporte</t>
        </is>
      </c>
      <c r="N207" t="inlineStr">
        <is>
          <t>30016 022026</t>
        </is>
      </c>
      <c r="O207" t="inlineStr">
        <is>
          <t>Documentação Aprovada</t>
        </is>
      </c>
      <c r="P207" t="inlineStr">
        <is>
          <t>Aprovado Diretoria</t>
        </is>
      </c>
      <c r="Q207" t="inlineStr">
        <is>
          <t>Aprovado Caixa</t>
        </is>
      </c>
      <c r="R207" t="inlineStr">
        <is>
          <t>Pago</t>
        </is>
      </c>
      <c r="S207" t="n">
        <v>226</v>
      </c>
      <c r="T207" t="inlineStr">
        <is>
          <t>The Cavern - Kamino</t>
        </is>
      </c>
    </row>
    <row r="208">
      <c r="A208" t="n">
        <v>206327</v>
      </c>
      <c r="B208" t="n">
        <v>176</v>
      </c>
      <c r="C208" t="inlineStr">
        <is>
          <t>The Cavern</t>
        </is>
      </c>
      <c r="D208" t="inlineStr">
        <is>
          <t>PSSS LTDA</t>
        </is>
      </c>
      <c r="E208" t="n">
        <v>1927.41</v>
      </c>
      <c r="F208" s="27" t="n">
        <v>46072</v>
      </c>
      <c r="G208" s="27" t="n">
        <v>46072</v>
      </c>
      <c r="H208" s="27" t="n">
        <v>46072</v>
      </c>
      <c r="I208" s="27" t="n">
        <v>46057</v>
      </c>
      <c r="J208" s="27" t="n">
        <v>46064</v>
      </c>
      <c r="K208" t="inlineStr">
        <is>
          <t>Boleto Bancário</t>
        </is>
      </c>
      <c r="L208" t="inlineStr">
        <is>
          <t>Utilidades</t>
        </is>
      </c>
      <c r="M208" t="inlineStr">
        <is>
          <t>Higiene e Limpeza</t>
        </is>
      </c>
      <c r="N208" t="inlineStr">
        <is>
          <t>3090</t>
        </is>
      </c>
      <c r="O208" t="inlineStr">
        <is>
          <t>Documentação Aprovada</t>
        </is>
      </c>
      <c r="P208" t="inlineStr">
        <is>
          <t>Aprovado Diretoria</t>
        </is>
      </c>
      <c r="Q208" t="inlineStr">
        <is>
          <t>Aprovado Caixa</t>
        </is>
      </c>
      <c r="R208" t="inlineStr">
        <is>
          <t>Pago</t>
        </is>
      </c>
      <c r="S208" t="n">
        <v>226</v>
      </c>
      <c r="T208" t="inlineStr">
        <is>
          <t>The Cavern - Kamino</t>
        </is>
      </c>
    </row>
    <row r="209">
      <c r="A209" t="n">
        <v>206212</v>
      </c>
      <c r="B209" t="n">
        <v>176</v>
      </c>
      <c r="C209" t="inlineStr">
        <is>
          <t>The Cavern</t>
        </is>
      </c>
      <c r="D209" t="inlineStr">
        <is>
          <t>ESTAFF SOLUCOES TECNOLOGICAS DE AGENCIAMENTO LTDA</t>
        </is>
      </c>
      <c r="E209" t="n">
        <v>5651.56</v>
      </c>
      <c r="F209" s="27" t="n">
        <v>46071</v>
      </c>
      <c r="G209" s="27" t="n">
        <v>46072</v>
      </c>
      <c r="H209" s="27" t="n">
        <v>46072</v>
      </c>
      <c r="I209" s="27" t="n">
        <v>46061</v>
      </c>
      <c r="J209" s="27" t="n">
        <v>46063</v>
      </c>
      <c r="K209" t="inlineStr">
        <is>
          <t>Boleto Bancário</t>
        </is>
      </c>
      <c r="L209" t="inlineStr">
        <is>
          <t>Mão de Obra - Extra</t>
        </is>
      </c>
      <c r="M209" t="inlineStr">
        <is>
          <t>Mão de Obra Extra</t>
        </is>
      </c>
      <c r="N209" t="inlineStr">
        <is>
          <t>4619118022026</t>
        </is>
      </c>
      <c r="O209" t="inlineStr">
        <is>
          <t>Documentação Aprovada</t>
        </is>
      </c>
      <c r="P209" t="inlineStr">
        <is>
          <t>Aprovado Diretoria</t>
        </is>
      </c>
      <c r="Q209" t="inlineStr">
        <is>
          <t>Aprovado Caixa</t>
        </is>
      </c>
      <c r="R209" t="inlineStr">
        <is>
          <t>Pago</t>
        </is>
      </c>
      <c r="S209" t="n">
        <v>226</v>
      </c>
      <c r="T209" t="inlineStr">
        <is>
          <t>The Cavern - Kamino</t>
        </is>
      </c>
    </row>
    <row r="210">
      <c r="A210" t="n">
        <v>206493</v>
      </c>
      <c r="B210" t="n">
        <v>176</v>
      </c>
      <c r="C210" t="inlineStr">
        <is>
          <t>The Cavern</t>
        </is>
      </c>
      <c r="D210" t="inlineStr">
        <is>
          <t>44182044000155</t>
        </is>
      </c>
      <c r="E210" t="n">
        <v>356.95</v>
      </c>
      <c r="F210" s="27" t="n">
        <v>46072</v>
      </c>
      <c r="G210" s="27" t="n">
        <v>46072</v>
      </c>
      <c r="H210" s="27" t="n">
        <v>46072</v>
      </c>
      <c r="I210" s="27" t="n">
        <v>46023</v>
      </c>
      <c r="J210" s="27" t="n">
        <v>46064</v>
      </c>
      <c r="K210" t="inlineStr">
        <is>
          <t>Transferência Bancária ou Pix</t>
        </is>
      </c>
      <c r="L210" t="inlineStr">
        <is>
          <t>Gorjeta</t>
        </is>
      </c>
      <c r="M210" t="inlineStr">
        <is>
          <t xml:space="preserve">  -  Comissões e Gorjeta</t>
        </is>
      </c>
      <c r="N210" t="inlineStr">
        <is>
          <t>187</t>
        </is>
      </c>
      <c r="O210" t="inlineStr">
        <is>
          <t>Documentação Aprovada</t>
        </is>
      </c>
      <c r="P210" t="inlineStr">
        <is>
          <t>Aprovado Diretoria</t>
        </is>
      </c>
      <c r="Q210" t="inlineStr">
        <is>
          <t>Aprovado Caixa</t>
        </is>
      </c>
      <c r="R210" t="inlineStr">
        <is>
          <t>Pago</t>
        </is>
      </c>
      <c r="S210" t="n">
        <v>226</v>
      </c>
      <c r="T210" t="inlineStr">
        <is>
          <t>The Cavern - Kamino</t>
        </is>
      </c>
    </row>
    <row r="211">
      <c r="A211" t="n">
        <v>195888</v>
      </c>
      <c r="B211" t="n">
        <v>176</v>
      </c>
      <c r="C211" t="inlineStr">
        <is>
          <t>The Cavern</t>
        </is>
      </c>
      <c r="D211" t="inlineStr">
        <is>
          <t>WPP COMERCIO DE CARNES LTDA</t>
        </is>
      </c>
      <c r="E211" t="n">
        <v>1596.65</v>
      </c>
      <c r="F211" s="27" t="n">
        <v>46072</v>
      </c>
      <c r="G211" s="27" t="n">
        <v>46072</v>
      </c>
      <c r="H211" s="27" t="n">
        <v>46072</v>
      </c>
      <c r="I211" s="27" t="n">
        <v>46044</v>
      </c>
      <c r="J211" s="27" t="n">
        <v>46044</v>
      </c>
      <c r="K211" t="inlineStr">
        <is>
          <t>Boleto Bancário</t>
        </is>
      </c>
      <c r="L211" t="inlineStr">
        <is>
          <t>Custo Mercadoria Vendida</t>
        </is>
      </c>
      <c r="M211" t="inlineStr">
        <is>
          <t>Insumos - Alimentos</t>
        </is>
      </c>
      <c r="N211" t="inlineStr">
        <is>
          <t>76878</t>
        </is>
      </c>
      <c r="O211" t="inlineStr">
        <is>
          <t>Documentação Aprovada</t>
        </is>
      </c>
      <c r="P211" t="inlineStr">
        <is>
          <t>Aprovado Diretoria</t>
        </is>
      </c>
      <c r="Q211" t="inlineStr">
        <is>
          <t>Aprovado Caixa</t>
        </is>
      </c>
      <c r="R211" t="inlineStr">
        <is>
          <t>Pago</t>
        </is>
      </c>
      <c r="S211" t="n">
        <v>226</v>
      </c>
      <c r="T211" t="inlineStr">
        <is>
          <t>The Cavern - Kamino</t>
        </is>
      </c>
    </row>
    <row r="212">
      <c r="A212" t="n">
        <v>196775</v>
      </c>
      <c r="B212" t="n">
        <v>176</v>
      </c>
      <c r="C212" t="inlineStr">
        <is>
          <t>The Cavern</t>
        </is>
      </c>
      <c r="D212" t="inlineStr">
        <is>
          <t xml:space="preserve">HORTIFRUTI DO CHEF LTDA </t>
        </is>
      </c>
      <c r="E212" t="n">
        <v>559.63</v>
      </c>
      <c r="F212" s="27" t="n">
        <v>46072</v>
      </c>
      <c r="G212" s="27" t="n">
        <v>46072</v>
      </c>
      <c r="H212" s="27" t="n">
        <v>46072</v>
      </c>
      <c r="I212" s="27" t="n">
        <v>46044</v>
      </c>
      <c r="J212" s="27" t="n">
        <v>46045</v>
      </c>
      <c r="K212" t="inlineStr">
        <is>
          <t>Boleto Bancário</t>
        </is>
      </c>
      <c r="L212" t="inlineStr">
        <is>
          <t>Custo Mercadoria Vendida</t>
        </is>
      </c>
      <c r="M212" t="inlineStr">
        <is>
          <t>Insumos - Alimentos</t>
        </is>
      </c>
      <c r="N212" t="inlineStr">
        <is>
          <t>28613</t>
        </is>
      </c>
      <c r="O212" t="inlineStr">
        <is>
          <t>Documentação Aprovada</t>
        </is>
      </c>
      <c r="P212" t="inlineStr">
        <is>
          <t>Aprovado Diretoria</t>
        </is>
      </c>
      <c r="Q212" t="inlineStr">
        <is>
          <t>Aprovado Caixa</t>
        </is>
      </c>
      <c r="R212" t="inlineStr">
        <is>
          <t>Pago</t>
        </is>
      </c>
      <c r="S212" t="n">
        <v>226</v>
      </c>
      <c r="T212" t="inlineStr">
        <is>
          <t>The Cavern - Kamino</t>
        </is>
      </c>
    </row>
    <row r="213">
      <c r="A213" t="n">
        <v>194105</v>
      </c>
      <c r="B213" t="n">
        <v>176</v>
      </c>
      <c r="C213" t="inlineStr">
        <is>
          <t>The Cavern</t>
        </is>
      </c>
      <c r="D213" t="inlineStr">
        <is>
          <t>WPP COMERCIO DE CARNES LTDA</t>
        </is>
      </c>
      <c r="E213" t="n">
        <v>482.04</v>
      </c>
      <c r="F213" s="27" t="n">
        <v>46069</v>
      </c>
      <c r="G213" s="27" t="n">
        <v>46071</v>
      </c>
      <c r="H213" s="27" t="n">
        <v>46071</v>
      </c>
      <c r="I213" s="27" t="n">
        <v>46041</v>
      </c>
      <c r="J213" s="27" t="n">
        <v>46041</v>
      </c>
      <c r="K213" t="inlineStr">
        <is>
          <t>Boleto Bancário</t>
        </is>
      </c>
      <c r="L213" t="inlineStr">
        <is>
          <t>Custo Mercadoria Vendida</t>
        </is>
      </c>
      <c r="M213" t="inlineStr">
        <is>
          <t>Insumos - Alimentos</t>
        </is>
      </c>
      <c r="N213" t="inlineStr">
        <is>
          <t>76800</t>
        </is>
      </c>
      <c r="O213" t="inlineStr">
        <is>
          <t>Documentação Aprovada</t>
        </is>
      </c>
      <c r="P213" t="inlineStr">
        <is>
          <t>Aprovado Diretoria</t>
        </is>
      </c>
      <c r="Q213" t="inlineStr">
        <is>
          <t>Aprovado Caixa</t>
        </is>
      </c>
      <c r="R213" t="inlineStr">
        <is>
          <t>Pago</t>
        </is>
      </c>
      <c r="S213" t="n">
        <v>226</v>
      </c>
      <c r="T213" t="inlineStr">
        <is>
          <t>The Cavern - Kamino</t>
        </is>
      </c>
    </row>
    <row r="214">
      <c r="A214" t="n">
        <v>193984</v>
      </c>
      <c r="B214" t="n">
        <v>176</v>
      </c>
      <c r="C214" t="inlineStr">
        <is>
          <t>The Cavern</t>
        </is>
      </c>
      <c r="D214" t="inlineStr">
        <is>
          <t>MARIO PEDRO FELICIANO - HORTIFRUTI</t>
        </is>
      </c>
      <c r="E214" t="n">
        <v>141.02</v>
      </c>
      <c r="F214" s="27" t="n">
        <v>46067</v>
      </c>
      <c r="G214" s="27" t="n">
        <v>46071</v>
      </c>
      <c r="H214" s="27" t="n">
        <v>46071</v>
      </c>
      <c r="I214" s="27" t="n">
        <v>46039</v>
      </c>
      <c r="J214" s="27" t="n">
        <v>46041</v>
      </c>
      <c r="K214" t="inlineStr">
        <is>
          <t>Boleto Bancário</t>
        </is>
      </c>
      <c r="L214" t="inlineStr">
        <is>
          <t>Custo Mercadoria Vendida</t>
        </is>
      </c>
      <c r="M214" t="inlineStr">
        <is>
          <t>Insumos - Alimentos</t>
        </is>
      </c>
      <c r="N214" t="inlineStr">
        <is>
          <t>465004</t>
        </is>
      </c>
      <c r="O214" t="inlineStr">
        <is>
          <t>Documentação Aprovada</t>
        </is>
      </c>
      <c r="P214" t="inlineStr">
        <is>
          <t>Aprovado Diretoria</t>
        </is>
      </c>
      <c r="Q214" t="inlineStr">
        <is>
          <t>Aprovado Caixa</t>
        </is>
      </c>
      <c r="R214" t="inlineStr">
        <is>
          <t>Pago</t>
        </is>
      </c>
      <c r="S214" t="n">
        <v>226</v>
      </c>
      <c r="T214" t="inlineStr">
        <is>
          <t>The Cavern - Kamino</t>
        </is>
      </c>
    </row>
    <row r="215">
      <c r="A215" t="n">
        <v>194765</v>
      </c>
      <c r="B215" t="n">
        <v>176</v>
      </c>
      <c r="C215" t="inlineStr">
        <is>
          <t>The Cavern</t>
        </is>
      </c>
      <c r="D215" t="inlineStr">
        <is>
          <t xml:space="preserve">HORTIFRUTI DO CHEF LTDA </t>
        </is>
      </c>
      <c r="E215" t="n">
        <v>145.01</v>
      </c>
      <c r="F215" s="27" t="n">
        <v>46069</v>
      </c>
      <c r="G215" s="27" t="n">
        <v>46071</v>
      </c>
      <c r="H215" s="27" t="n">
        <v>46071</v>
      </c>
      <c r="I215" s="27" t="n">
        <v>46041</v>
      </c>
      <c r="J215" s="27" t="n">
        <v>46043</v>
      </c>
      <c r="K215" t="inlineStr">
        <is>
          <t>Boleto Bancário</t>
        </is>
      </c>
      <c r="L215" t="inlineStr">
        <is>
          <t>Custo Mercadoria Vendida</t>
        </is>
      </c>
      <c r="M215" t="inlineStr">
        <is>
          <t>Insumos - Alimentos</t>
        </is>
      </c>
      <c r="N215" t="inlineStr">
        <is>
          <t>28486</t>
        </is>
      </c>
      <c r="O215" t="inlineStr">
        <is>
          <t>Documentação Aprovada</t>
        </is>
      </c>
      <c r="P215" t="inlineStr">
        <is>
          <t>Aprovado Diretoria</t>
        </is>
      </c>
      <c r="Q215" t="inlineStr">
        <is>
          <t>Aprovado Caixa</t>
        </is>
      </c>
      <c r="R215" t="inlineStr">
        <is>
          <t>Pago</t>
        </is>
      </c>
      <c r="S215" t="n">
        <v>226</v>
      </c>
      <c r="T215" t="inlineStr">
        <is>
          <t>The Cavern - Kamino</t>
        </is>
      </c>
    </row>
    <row r="216">
      <c r="A216" t="n">
        <v>194610</v>
      </c>
      <c r="B216" t="n">
        <v>176</v>
      </c>
      <c r="C216" t="inlineStr">
        <is>
          <t>The Cavern</t>
        </is>
      </c>
      <c r="D216" t="inlineStr">
        <is>
          <t>CALEBE EQUIPAMENTOS INDUSTRIAIS EIRELI</t>
        </is>
      </c>
      <c r="E216" t="n">
        <v>1144.2</v>
      </c>
      <c r="F216" s="27" t="n">
        <v>46069</v>
      </c>
      <c r="G216" s="27" t="n">
        <v>46071</v>
      </c>
      <c r="H216" s="27" t="n">
        <v>46071</v>
      </c>
      <c r="I216" s="27" t="n">
        <v>46037</v>
      </c>
      <c r="J216" s="27" t="n">
        <v>46043</v>
      </c>
      <c r="K216" t="inlineStr">
        <is>
          <t>Boleto Bancário</t>
        </is>
      </c>
      <c r="L216" t="inlineStr">
        <is>
          <t>Utilidades</t>
        </is>
      </c>
      <c r="M216" t="inlineStr">
        <is>
          <t>Utensilios</t>
        </is>
      </c>
      <c r="N216" t="inlineStr">
        <is>
          <t>12473</t>
        </is>
      </c>
      <c r="O216" t="inlineStr">
        <is>
          <t>Documentação Aprovada</t>
        </is>
      </c>
      <c r="P216" t="inlineStr">
        <is>
          <t>Aprovado Diretoria</t>
        </is>
      </c>
      <c r="Q216" t="inlineStr">
        <is>
          <t>Aprovado Caixa</t>
        </is>
      </c>
      <c r="R216" t="inlineStr">
        <is>
          <t>Pago</t>
        </is>
      </c>
      <c r="S216" t="n">
        <v>226</v>
      </c>
      <c r="T216" t="inlineStr">
        <is>
          <t>The Cavern - Kamino</t>
        </is>
      </c>
    </row>
    <row r="217">
      <c r="A217" t="n">
        <v>194688</v>
      </c>
      <c r="B217" t="n">
        <v>176</v>
      </c>
      <c r="C217" t="inlineStr">
        <is>
          <t>The Cavern</t>
        </is>
      </c>
      <c r="D217" t="inlineStr">
        <is>
          <t>WPP COMERCIO DE CARNES LTDA</t>
        </is>
      </c>
      <c r="E217" t="n">
        <v>209.5</v>
      </c>
      <c r="F217" s="27" t="n">
        <v>46070</v>
      </c>
      <c r="G217" s="27" t="n">
        <v>46071</v>
      </c>
      <c r="H217" s="27" t="n">
        <v>46071</v>
      </c>
      <c r="I217" s="27" t="n">
        <v>46042</v>
      </c>
      <c r="J217" s="27" t="n">
        <v>46043</v>
      </c>
      <c r="K217" t="inlineStr">
        <is>
          <t>Boleto Bancário</t>
        </is>
      </c>
      <c r="L217" t="inlineStr">
        <is>
          <t>Custo Mercadoria Vendida</t>
        </is>
      </c>
      <c r="M217" t="inlineStr">
        <is>
          <t>Insumos - Alimentos</t>
        </is>
      </c>
      <c r="N217" t="inlineStr">
        <is>
          <t>76854</t>
        </is>
      </c>
      <c r="O217" t="inlineStr">
        <is>
          <t>Documentação Aprovada</t>
        </is>
      </c>
      <c r="P217" t="inlineStr">
        <is>
          <t>Aprovado Diretoria</t>
        </is>
      </c>
      <c r="Q217" t="inlineStr">
        <is>
          <t>Aprovado Caixa</t>
        </is>
      </c>
      <c r="R217" t="inlineStr">
        <is>
          <t>Pago</t>
        </is>
      </c>
      <c r="S217" t="n">
        <v>226</v>
      </c>
      <c r="T217" t="inlineStr">
        <is>
          <t>The Cavern - Kamino</t>
        </is>
      </c>
    </row>
    <row r="218">
      <c r="A218" t="n">
        <v>194747</v>
      </c>
      <c r="B218" t="n">
        <v>176</v>
      </c>
      <c r="C218" t="inlineStr">
        <is>
          <t>The Cavern</t>
        </is>
      </c>
      <c r="D218" t="inlineStr">
        <is>
          <t xml:space="preserve">ARENA VIP DISTRIBUIDORA DE BEBIDAS LTDA </t>
        </is>
      </c>
      <c r="E218" t="n">
        <v>512.1799999999999</v>
      </c>
      <c r="F218" s="27" t="n">
        <v>46069</v>
      </c>
      <c r="G218" s="27" t="n">
        <v>46071</v>
      </c>
      <c r="H218" s="27" t="n">
        <v>46071</v>
      </c>
      <c r="I218" s="27" t="n">
        <v>46041</v>
      </c>
      <c r="J218" s="27" t="n">
        <v>46043</v>
      </c>
      <c r="K218" t="inlineStr">
        <is>
          <t>Boleto Bancário</t>
        </is>
      </c>
      <c r="L218" t="inlineStr">
        <is>
          <t>Custo Mercadoria Vendida</t>
        </is>
      </c>
      <c r="M218" t="inlineStr">
        <is>
          <t>Insumos - Bebidas</t>
        </is>
      </c>
      <c r="N218" t="inlineStr">
        <is>
          <t>25484</t>
        </is>
      </c>
      <c r="O218" t="inlineStr">
        <is>
          <t>Documentação Aprovada</t>
        </is>
      </c>
      <c r="P218" t="inlineStr">
        <is>
          <t>Aprovado Diretoria</t>
        </is>
      </c>
      <c r="Q218" t="inlineStr">
        <is>
          <t>Aprovado Caixa</t>
        </is>
      </c>
      <c r="R218" t="inlineStr">
        <is>
          <t>Pago</t>
        </is>
      </c>
      <c r="S218" t="n">
        <v>226</v>
      </c>
      <c r="T218" t="inlineStr">
        <is>
          <t>The Cavern - Kamino</t>
        </is>
      </c>
    </row>
    <row r="219">
      <c r="A219" t="n">
        <v>195584</v>
      </c>
      <c r="B219" t="n">
        <v>176</v>
      </c>
      <c r="C219" t="inlineStr">
        <is>
          <t>The Cavern</t>
        </is>
      </c>
      <c r="D219" t="inlineStr">
        <is>
          <t>CECILIA TSUYACO ARAKI SILVA LTDA</t>
        </is>
      </c>
      <c r="E219" t="n">
        <v>36.5</v>
      </c>
      <c r="F219" s="27" t="n">
        <v>46070</v>
      </c>
      <c r="G219" s="27" t="n">
        <v>46071</v>
      </c>
      <c r="H219" s="27" t="n">
        <v>46071</v>
      </c>
      <c r="I219" s="27" t="n">
        <v>46043</v>
      </c>
      <c r="J219" s="27" t="n">
        <v>46044</v>
      </c>
      <c r="K219" t="inlineStr">
        <is>
          <t>Boleto Bancário</t>
        </is>
      </c>
      <c r="L219" t="inlineStr">
        <is>
          <t>Custo Mercadoria Vendida</t>
        </is>
      </c>
      <c r="M219" t="inlineStr">
        <is>
          <t>Insumos - Alimentos</t>
        </is>
      </c>
      <c r="N219" t="inlineStr">
        <is>
          <t>385410</t>
        </is>
      </c>
      <c r="O219" t="inlineStr">
        <is>
          <t>Documentação Aprovada</t>
        </is>
      </c>
      <c r="P219" t="inlineStr">
        <is>
          <t>Aprovado Diretoria</t>
        </is>
      </c>
      <c r="Q219" t="inlineStr">
        <is>
          <t>Aprovado Caixa</t>
        </is>
      </c>
      <c r="R219" t="inlineStr">
        <is>
          <t>Pago</t>
        </is>
      </c>
      <c r="S219" t="n">
        <v>226</v>
      </c>
      <c r="T219" t="inlineStr">
        <is>
          <t>The Cavern - Kamino</t>
        </is>
      </c>
    </row>
    <row r="220">
      <c r="A220" t="n">
        <v>195589</v>
      </c>
      <c r="B220" t="n">
        <v>176</v>
      </c>
      <c r="C220" t="inlineStr">
        <is>
          <t>The Cavern</t>
        </is>
      </c>
      <c r="D220" t="inlineStr">
        <is>
          <t>EMPORIO M&amp;L COMERCIO DE ALIM E BEBIDAS LTDA</t>
        </is>
      </c>
      <c r="E220" t="n">
        <v>537.9</v>
      </c>
      <c r="F220" s="27" t="n">
        <v>46070</v>
      </c>
      <c r="G220" s="27" t="n">
        <v>46071</v>
      </c>
      <c r="H220" s="27" t="n">
        <v>46071</v>
      </c>
      <c r="I220" s="27" t="n">
        <v>46042</v>
      </c>
      <c r="J220" s="27" t="n">
        <v>46044</v>
      </c>
      <c r="K220" t="inlineStr">
        <is>
          <t>Boleto Bancário</t>
        </is>
      </c>
      <c r="L220" t="inlineStr">
        <is>
          <t>Custo Mercadoria Vendida</t>
        </is>
      </c>
      <c r="M220" t="inlineStr">
        <is>
          <t>Insumos - Alimentos</t>
        </is>
      </c>
      <c r="N220" t="inlineStr">
        <is>
          <t>492405</t>
        </is>
      </c>
      <c r="O220" t="inlineStr">
        <is>
          <t>Documentação Aprovada</t>
        </is>
      </c>
      <c r="P220" t="inlineStr">
        <is>
          <t>Aprovado Diretoria</t>
        </is>
      </c>
      <c r="Q220" t="inlineStr">
        <is>
          <t>Aprovado Caixa</t>
        </is>
      </c>
      <c r="R220" t="inlineStr">
        <is>
          <t>Pago</t>
        </is>
      </c>
      <c r="S220" t="n">
        <v>226</v>
      </c>
      <c r="T220" t="inlineStr">
        <is>
          <t>The Cavern - Kamino</t>
        </is>
      </c>
    </row>
    <row r="221">
      <c r="A221" t="n">
        <v>195524</v>
      </c>
      <c r="B221" t="n">
        <v>176</v>
      </c>
      <c r="C221" t="inlineStr">
        <is>
          <t>The Cavern</t>
        </is>
      </c>
      <c r="D221" t="inlineStr">
        <is>
          <t>CECILIA TSUYACO ARAKI SILVA LTDA</t>
        </is>
      </c>
      <c r="E221" t="n">
        <v>227</v>
      </c>
      <c r="F221" s="27" t="n">
        <v>46069</v>
      </c>
      <c r="G221" s="27" t="n">
        <v>46071</v>
      </c>
      <c r="H221" s="27" t="n">
        <v>46071</v>
      </c>
      <c r="I221" s="27" t="n">
        <v>46041</v>
      </c>
      <c r="J221" s="27" t="n">
        <v>46044</v>
      </c>
      <c r="K221" t="inlineStr">
        <is>
          <t>Boleto Bancário</t>
        </is>
      </c>
      <c r="L221" t="inlineStr">
        <is>
          <t>Custo Mercadoria Vendida</t>
        </is>
      </c>
      <c r="M221" t="inlineStr">
        <is>
          <t>Insumos - Alimentos</t>
        </is>
      </c>
      <c r="N221" t="inlineStr">
        <is>
          <t>385316</t>
        </is>
      </c>
      <c r="O221" t="inlineStr">
        <is>
          <t>Documentação Aprovada</t>
        </is>
      </c>
      <c r="P221" t="inlineStr">
        <is>
          <t>Aprovado Diretoria</t>
        </is>
      </c>
      <c r="Q221" t="inlineStr">
        <is>
          <t>Aprovado Caixa</t>
        </is>
      </c>
      <c r="R221" t="inlineStr">
        <is>
          <t>Pago</t>
        </is>
      </c>
      <c r="S221" t="n">
        <v>226</v>
      </c>
      <c r="T221" t="inlineStr">
        <is>
          <t>The Cavern - Kamino</t>
        </is>
      </c>
    </row>
    <row r="222">
      <c r="A222" t="n">
        <v>195530</v>
      </c>
      <c r="B222" t="n">
        <v>176</v>
      </c>
      <c r="C222" t="inlineStr">
        <is>
          <t>The Cavern</t>
        </is>
      </c>
      <c r="D222" t="inlineStr">
        <is>
          <t>DTK COMERCIO DE ALIMENTOS LTDA</t>
        </is>
      </c>
      <c r="E222" t="n">
        <v>234.64</v>
      </c>
      <c r="F222" s="27" t="n">
        <v>46070</v>
      </c>
      <c r="G222" s="27" t="n">
        <v>46071</v>
      </c>
      <c r="H222" s="27" t="n">
        <v>46071</v>
      </c>
      <c r="I222" s="27" t="n">
        <v>46042</v>
      </c>
      <c r="J222" s="27" t="n">
        <v>46044</v>
      </c>
      <c r="K222" t="inlineStr">
        <is>
          <t>Boleto Bancário</t>
        </is>
      </c>
      <c r="L222" t="inlineStr">
        <is>
          <t>Custo Mercadoria Vendida</t>
        </is>
      </c>
      <c r="M222" t="inlineStr">
        <is>
          <t>Insumos - Alimentos</t>
        </is>
      </c>
      <c r="N222" t="inlineStr">
        <is>
          <t>61462</t>
        </is>
      </c>
      <c r="O222" t="inlineStr">
        <is>
          <t>Documentação Aprovada</t>
        </is>
      </c>
      <c r="P222" t="inlineStr">
        <is>
          <t>Aprovado Diretoria</t>
        </is>
      </c>
      <c r="Q222" t="inlineStr">
        <is>
          <t>Aprovado Caixa</t>
        </is>
      </c>
      <c r="R222" t="inlineStr">
        <is>
          <t>Pago</t>
        </is>
      </c>
      <c r="S222" t="n">
        <v>226</v>
      </c>
      <c r="T222" t="inlineStr">
        <is>
          <t>The Cavern - Kamino</t>
        </is>
      </c>
    </row>
    <row r="223">
      <c r="A223" t="n">
        <v>189394</v>
      </c>
      <c r="B223" t="n">
        <v>176</v>
      </c>
      <c r="C223" t="inlineStr">
        <is>
          <t>The Cavern</t>
        </is>
      </c>
      <c r="D223" t="inlineStr">
        <is>
          <t>MARIO PEDRO FELICIANO - HORTIFRUTI</t>
        </is>
      </c>
      <c r="E223" t="n">
        <v>836.8099999999999</v>
      </c>
      <c r="F223" s="27" t="n">
        <v>46069</v>
      </c>
      <c r="G223" s="27" t="n">
        <v>46071</v>
      </c>
      <c r="H223" s="27" t="n">
        <v>46071</v>
      </c>
      <c r="I223" s="27" t="n">
        <v>46028</v>
      </c>
      <c r="J223" s="27" t="n">
        <v>46029</v>
      </c>
      <c r="K223" t="inlineStr">
        <is>
          <t>Boleto Bancário</t>
        </is>
      </c>
      <c r="L223" t="inlineStr">
        <is>
          <t>Custo Mercadoria Vendida</t>
        </is>
      </c>
      <c r="M223" t="inlineStr">
        <is>
          <t>Insumos - Alimentos</t>
        </is>
      </c>
      <c r="N223" t="inlineStr">
        <is>
          <t>463917</t>
        </is>
      </c>
      <c r="O223" t="inlineStr">
        <is>
          <t>Documentação Aprovada</t>
        </is>
      </c>
      <c r="P223" t="inlineStr">
        <is>
          <t>Aprovado Diretoria</t>
        </is>
      </c>
      <c r="Q223" t="inlineStr">
        <is>
          <t>Aprovado Caixa</t>
        </is>
      </c>
      <c r="R223" t="inlineStr">
        <is>
          <t>Pago</t>
        </is>
      </c>
      <c r="S223" t="n">
        <v>226</v>
      </c>
      <c r="T223" t="inlineStr">
        <is>
          <t>The Cavern - Kamino</t>
        </is>
      </c>
    </row>
    <row r="224">
      <c r="A224" t="n">
        <v>206341</v>
      </c>
      <c r="B224" t="n">
        <v>176</v>
      </c>
      <c r="C224" t="inlineStr">
        <is>
          <t>The Cavern</t>
        </is>
      </c>
      <c r="D224" t="inlineStr">
        <is>
          <t>MAR DIRETO POC COMERCIO DE PEIXES LTDA</t>
        </is>
      </c>
      <c r="E224" t="n">
        <v>3770</v>
      </c>
      <c r="F224" s="27" t="n">
        <v>46069</v>
      </c>
      <c r="G224" s="27" t="n">
        <v>46071</v>
      </c>
      <c r="H224" s="27" t="n">
        <v>46071</v>
      </c>
      <c r="I224" s="27" t="n">
        <v>46056</v>
      </c>
      <c r="J224" s="27" t="n">
        <v>46064</v>
      </c>
      <c r="K224" t="inlineStr">
        <is>
          <t>Boleto Bancário</t>
        </is>
      </c>
      <c r="L224" t="inlineStr">
        <is>
          <t>Custo Mercadoria Vendida</t>
        </is>
      </c>
      <c r="M224" t="inlineStr">
        <is>
          <t>Insumos - Alimentos</t>
        </is>
      </c>
      <c r="N224" t="inlineStr">
        <is>
          <t>116347</t>
        </is>
      </c>
      <c r="O224" t="inlineStr">
        <is>
          <t>Documentação Aprovada</t>
        </is>
      </c>
      <c r="P224" t="inlineStr">
        <is>
          <t>Aprovado Diretoria</t>
        </is>
      </c>
      <c r="Q224" t="inlineStr">
        <is>
          <t>Aprovado Caixa</t>
        </is>
      </c>
      <c r="R224" t="inlineStr">
        <is>
          <t>Pago</t>
        </is>
      </c>
      <c r="S224" t="n">
        <v>226</v>
      </c>
      <c r="T224" t="inlineStr">
        <is>
          <t>The Cavern - Kamino</t>
        </is>
      </c>
    </row>
    <row r="225">
      <c r="A225" t="n">
        <v>206331</v>
      </c>
      <c r="B225" t="n">
        <v>176</v>
      </c>
      <c r="C225" t="inlineStr">
        <is>
          <t>The Cavern</t>
        </is>
      </c>
      <c r="D225" t="inlineStr">
        <is>
          <t>INDUSTRIA DE BEBIDAS IGARASSU LTDA</t>
        </is>
      </c>
      <c r="E225" t="n">
        <v>2730.17</v>
      </c>
      <c r="F225" s="27" t="n">
        <v>46069</v>
      </c>
      <c r="G225" s="27" t="n">
        <v>46071</v>
      </c>
      <c r="H225" s="27" t="n">
        <v>46071</v>
      </c>
      <c r="I225" s="27" t="n">
        <v>46052</v>
      </c>
      <c r="J225" s="27" t="n">
        <v>46064</v>
      </c>
      <c r="K225" t="inlineStr">
        <is>
          <t>Boleto Bancário</t>
        </is>
      </c>
      <c r="L225" t="inlineStr">
        <is>
          <t>Custo Mercadoria Vendida</t>
        </is>
      </c>
      <c r="M225" t="inlineStr">
        <is>
          <t>Insumos - Bebidas</t>
        </is>
      </c>
      <c r="N225" t="inlineStr">
        <is>
          <t>67340</t>
        </is>
      </c>
      <c r="O225" t="inlineStr">
        <is>
          <t>Documentação Aprovada</t>
        </is>
      </c>
      <c r="P225" t="inlineStr">
        <is>
          <t>Aprovado Diretoria</t>
        </is>
      </c>
      <c r="Q225" t="inlineStr">
        <is>
          <t>Aprovado Caixa</t>
        </is>
      </c>
      <c r="R225" t="inlineStr">
        <is>
          <t>Pago</t>
        </is>
      </c>
      <c r="S225" t="n">
        <v>226</v>
      </c>
      <c r="T225" t="inlineStr">
        <is>
          <t>The Cavern - Kamino</t>
        </is>
      </c>
    </row>
    <row r="226">
      <c r="A226" t="n">
        <v>206332</v>
      </c>
      <c r="B226" t="n">
        <v>176</v>
      </c>
      <c r="C226" t="inlineStr">
        <is>
          <t>The Cavern</t>
        </is>
      </c>
      <c r="D226" t="inlineStr">
        <is>
          <t xml:space="preserve">HNK BR INDUSTRIA DE BEBIDAS </t>
        </is>
      </c>
      <c r="E226" t="n">
        <v>4067.72</v>
      </c>
      <c r="F226" s="27" t="n">
        <v>46070</v>
      </c>
      <c r="G226" s="27" t="n">
        <v>46071</v>
      </c>
      <c r="H226" s="27" t="n">
        <v>46071</v>
      </c>
      <c r="I226" s="27" t="n">
        <v>46055</v>
      </c>
      <c r="J226" s="27" t="n">
        <v>46064</v>
      </c>
      <c r="K226" t="inlineStr">
        <is>
          <t>Boleto Bancário</t>
        </is>
      </c>
      <c r="L226" t="inlineStr">
        <is>
          <t>Custo Mercadoria Vendida</t>
        </is>
      </c>
      <c r="M226" t="inlineStr">
        <is>
          <t>Insumos - Bebidas</t>
        </is>
      </c>
      <c r="N226" t="inlineStr">
        <is>
          <t>150417</t>
        </is>
      </c>
      <c r="O226" t="inlineStr">
        <is>
          <t>Documentação Aprovada</t>
        </is>
      </c>
      <c r="P226" t="inlineStr">
        <is>
          <t>Aprovado Diretoria</t>
        </is>
      </c>
      <c r="Q226" t="inlineStr">
        <is>
          <t>Aprovado Caixa</t>
        </is>
      </c>
      <c r="R226" t="inlineStr">
        <is>
          <t>Pago</t>
        </is>
      </c>
      <c r="S226" t="n">
        <v>226</v>
      </c>
      <c r="T226" t="inlineStr">
        <is>
          <t>The Cavern - Kamino</t>
        </is>
      </c>
    </row>
    <row r="227">
      <c r="A227" t="n">
        <v>206384</v>
      </c>
      <c r="B227" t="n">
        <v>176</v>
      </c>
      <c r="C227" t="inlineStr">
        <is>
          <t>The Cavern</t>
        </is>
      </c>
      <c r="D227" t="inlineStr">
        <is>
          <t>MAR DIRETO POC COMERCIO DE PEIXES LTDA</t>
        </is>
      </c>
      <c r="E227" t="n">
        <v>1222.5</v>
      </c>
      <c r="F227" s="27" t="n">
        <v>46071</v>
      </c>
      <c r="G227" s="27" t="n">
        <v>46071</v>
      </c>
      <c r="H227" s="27" t="n">
        <v>46071</v>
      </c>
      <c r="I227" s="27" t="n">
        <v>46064</v>
      </c>
      <c r="J227" s="27" t="n">
        <v>46064</v>
      </c>
      <c r="K227" t="inlineStr">
        <is>
          <t>Boleto Bancário</t>
        </is>
      </c>
      <c r="L227" t="inlineStr">
        <is>
          <t>Custo Mercadoria Vendida</t>
        </is>
      </c>
      <c r="M227" t="inlineStr">
        <is>
          <t>Insumos - Alimentos</t>
        </is>
      </c>
      <c r="N227" t="inlineStr">
        <is>
          <t>116929</t>
        </is>
      </c>
      <c r="O227" t="inlineStr">
        <is>
          <t>Documentação Aprovada</t>
        </is>
      </c>
      <c r="P227" t="inlineStr">
        <is>
          <t>Aprovado Diretoria</t>
        </is>
      </c>
      <c r="Q227" t="inlineStr">
        <is>
          <t>Aprovado Caixa</t>
        </is>
      </c>
      <c r="R227" t="inlineStr">
        <is>
          <t>Pago</t>
        </is>
      </c>
      <c r="S227" t="n">
        <v>226</v>
      </c>
      <c r="T227" t="inlineStr">
        <is>
          <t>The Cavern - Kamino</t>
        </is>
      </c>
    </row>
    <row r="228">
      <c r="A228" t="n">
        <v>206337</v>
      </c>
      <c r="B228" t="n">
        <v>176</v>
      </c>
      <c r="C228" t="inlineStr">
        <is>
          <t>The Cavern</t>
        </is>
      </c>
      <c r="D228" t="inlineStr">
        <is>
          <t>PREMIER ALIMENTOS LTDA</t>
        </is>
      </c>
      <c r="E228" t="n">
        <v>1715.98</v>
      </c>
      <c r="F228" s="27" t="n">
        <v>46070</v>
      </c>
      <c r="G228" s="27" t="n">
        <v>46071</v>
      </c>
      <c r="H228" s="27" t="n">
        <v>46071</v>
      </c>
      <c r="I228" s="27" t="n">
        <v>46057</v>
      </c>
      <c r="J228" s="27" t="n">
        <v>46064</v>
      </c>
      <c r="K228" t="inlineStr">
        <is>
          <t>Boleto Bancário</t>
        </is>
      </c>
      <c r="L228" t="inlineStr">
        <is>
          <t>Custo Mercadoria Vendida</t>
        </is>
      </c>
      <c r="M228" t="inlineStr">
        <is>
          <t>Insumos - Alimentos</t>
        </is>
      </c>
      <c r="N228" t="inlineStr">
        <is>
          <t>75941</t>
        </is>
      </c>
      <c r="O228" t="inlineStr">
        <is>
          <t>Documentação Aprovada</t>
        </is>
      </c>
      <c r="P228" t="inlineStr">
        <is>
          <t>Aprovado Diretoria</t>
        </is>
      </c>
      <c r="Q228" t="inlineStr">
        <is>
          <t>Aprovado Caixa</t>
        </is>
      </c>
      <c r="R228" t="inlineStr">
        <is>
          <t>Pago</t>
        </is>
      </c>
      <c r="S228" t="n">
        <v>226</v>
      </c>
      <c r="T228" t="inlineStr">
        <is>
          <t>The Cavern - Kamino</t>
        </is>
      </c>
    </row>
    <row r="229">
      <c r="A229" t="n">
        <v>206784</v>
      </c>
      <c r="B229" t="n">
        <v>176</v>
      </c>
      <c r="C229" t="inlineStr">
        <is>
          <t>The Cavern</t>
        </is>
      </c>
      <c r="D229" t="inlineStr">
        <is>
          <t>COMPANHIA DE GAS DE SAO PAULO</t>
        </is>
      </c>
      <c r="E229" t="n">
        <v>5209.72</v>
      </c>
      <c r="F229" s="27" t="n">
        <v>46071</v>
      </c>
      <c r="G229" s="27" t="n">
        <v>46071</v>
      </c>
      <c r="H229" s="27" t="n">
        <v>46071</v>
      </c>
      <c r="I229" s="27" t="n">
        <v>46033</v>
      </c>
      <c r="J229" s="27" t="n">
        <v>46065</v>
      </c>
      <c r="K229" t="inlineStr">
        <is>
          <t>Boleto Bancário</t>
        </is>
      </c>
      <c r="L229" t="inlineStr">
        <is>
          <t>Utilidades</t>
        </is>
      </c>
      <c r="M229" t="inlineStr">
        <is>
          <t>Gas de Cozinha</t>
        </is>
      </c>
      <c r="N229" t="inlineStr">
        <is>
          <t>3419118022026</t>
        </is>
      </c>
      <c r="O229" t="inlineStr">
        <is>
          <t>Documentação Aprovada</t>
        </is>
      </c>
      <c r="P229" t="inlineStr">
        <is>
          <t>Aprovado Diretoria</t>
        </is>
      </c>
      <c r="Q229" t="inlineStr">
        <is>
          <t>Aprovado Caixa</t>
        </is>
      </c>
      <c r="R229" t="inlineStr">
        <is>
          <t>Pago</t>
        </is>
      </c>
      <c r="S229" t="n">
        <v>226</v>
      </c>
      <c r="T229" t="inlineStr">
        <is>
          <t>The Cavern - Kamino</t>
        </is>
      </c>
    </row>
    <row r="230">
      <c r="A230" t="n">
        <v>206266</v>
      </c>
      <c r="B230" t="n">
        <v>176</v>
      </c>
      <c r="C230" t="inlineStr">
        <is>
          <t>The Cavern</t>
        </is>
      </c>
      <c r="D230" t="inlineStr">
        <is>
          <t>MAR DIRETO POC COMERCIO DE PEIXES LTDA</t>
        </is>
      </c>
      <c r="E230" t="n">
        <v>1121.25</v>
      </c>
      <c r="F230" s="27" t="n">
        <v>46069</v>
      </c>
      <c r="G230" s="27" t="n">
        <v>46071</v>
      </c>
      <c r="H230" s="27" t="n">
        <v>46071</v>
      </c>
      <c r="I230" s="27" t="n">
        <v>46062</v>
      </c>
      <c r="J230" s="27" t="n">
        <v>46063</v>
      </c>
      <c r="K230" t="inlineStr">
        <is>
          <t>Boleto Bancário</t>
        </is>
      </c>
      <c r="L230" t="inlineStr">
        <is>
          <t>Custo Mercadoria Vendida</t>
        </is>
      </c>
      <c r="M230" t="inlineStr">
        <is>
          <t>Insumos - Alimentos</t>
        </is>
      </c>
      <c r="N230" t="inlineStr">
        <is>
          <t>116747</t>
        </is>
      </c>
      <c r="O230" t="inlineStr">
        <is>
          <t>Documentação Aprovada</t>
        </is>
      </c>
      <c r="P230" t="inlineStr">
        <is>
          <t>Aprovado Diretoria</t>
        </is>
      </c>
      <c r="Q230" t="inlineStr">
        <is>
          <t>Aprovado Caixa</t>
        </is>
      </c>
      <c r="R230" t="inlineStr">
        <is>
          <t>Pago</t>
        </is>
      </c>
      <c r="S230" t="n">
        <v>226</v>
      </c>
      <c r="T230" t="inlineStr">
        <is>
          <t>The Cavern - Kamino</t>
        </is>
      </c>
    </row>
    <row r="231">
      <c r="A231" t="n">
        <v>206348</v>
      </c>
      <c r="B231" t="n">
        <v>176</v>
      </c>
      <c r="C231" t="inlineStr">
        <is>
          <t>The Cavern</t>
        </is>
      </c>
      <c r="D231" t="inlineStr">
        <is>
          <t>CHOOP FAST DISTRIBUIDORA DE BEBIDAS LTDA</t>
        </is>
      </c>
      <c r="E231" t="n">
        <v>2565.34</v>
      </c>
      <c r="F231" s="27" t="n">
        <v>46069</v>
      </c>
      <c r="G231" s="27" t="n">
        <v>46071</v>
      </c>
      <c r="H231" s="27" t="n">
        <v>46071</v>
      </c>
      <c r="I231" s="27" t="n">
        <v>46052</v>
      </c>
      <c r="J231" s="27" t="n">
        <v>46064</v>
      </c>
      <c r="K231" t="inlineStr">
        <is>
          <t>Boleto Bancário</t>
        </is>
      </c>
      <c r="L231" t="inlineStr">
        <is>
          <t>Custo Mercadoria Vendida</t>
        </is>
      </c>
      <c r="M231" t="inlineStr">
        <is>
          <t>Insumos - Bebidas</t>
        </is>
      </c>
      <c r="N231" t="inlineStr">
        <is>
          <t>49583</t>
        </is>
      </c>
      <c r="O231" t="inlineStr">
        <is>
          <t>Documentação Aprovada</t>
        </is>
      </c>
      <c r="P231" t="inlineStr">
        <is>
          <t>Aprovado Diretoria</t>
        </is>
      </c>
      <c r="Q231" t="inlineStr">
        <is>
          <t>Aprovado Caixa</t>
        </is>
      </c>
      <c r="R231" t="inlineStr">
        <is>
          <t>Pago</t>
        </is>
      </c>
      <c r="S231" t="n">
        <v>226</v>
      </c>
      <c r="T231" t="inlineStr">
        <is>
          <t>The Cavern - Kamino</t>
        </is>
      </c>
    </row>
    <row r="232">
      <c r="A232" t="n">
        <v>207132</v>
      </c>
      <c r="B232" t="n">
        <v>176</v>
      </c>
      <c r="C232" t="inlineStr">
        <is>
          <t>The Cavern</t>
        </is>
      </c>
      <c r="D232" t="inlineStr">
        <is>
          <t>SALARIOS FUNCIONARIOS EXTRA</t>
        </is>
      </c>
      <c r="E232" t="n">
        <v>327.5</v>
      </c>
      <c r="F232" s="27" t="n">
        <v>46071</v>
      </c>
      <c r="G232" s="27" t="n">
        <v>46071</v>
      </c>
      <c r="H232" s="27" t="n">
        <v>46071</v>
      </c>
      <c r="I232" s="27" t="n">
        <v>46053</v>
      </c>
      <c r="J232" s="27" t="n">
        <v>46066</v>
      </c>
      <c r="K232" t="inlineStr">
        <is>
          <t>Transferência Bancária ou Pix</t>
        </is>
      </c>
      <c r="L232" t="inlineStr">
        <is>
          <t>Mão de Obra - Extra</t>
        </is>
      </c>
      <c r="M232" t="inlineStr">
        <is>
          <t>Mão de Obra Extra</t>
        </is>
      </c>
      <c r="N232" t="inlineStr">
        <is>
          <t>0472026</t>
        </is>
      </c>
      <c r="O232" t="inlineStr">
        <is>
          <t>Documentação Aprovada</t>
        </is>
      </c>
      <c r="P232" t="inlineStr">
        <is>
          <t>Aprovado Diretoria</t>
        </is>
      </c>
      <c r="Q232" t="inlineStr">
        <is>
          <t>Aprovado Caixa</t>
        </is>
      </c>
      <c r="R232" t="inlineStr">
        <is>
          <t>Pago</t>
        </is>
      </c>
      <c r="S232" t="n">
        <v>226</v>
      </c>
      <c r="T232" t="inlineStr">
        <is>
          <t>The Cavern - Kamino</t>
        </is>
      </c>
    </row>
    <row r="233">
      <c r="A233" t="n">
        <v>207833</v>
      </c>
      <c r="B233" t="n">
        <v>176</v>
      </c>
      <c r="C233" t="inlineStr">
        <is>
          <t>The Cavern</t>
        </is>
      </c>
      <c r="D233" t="inlineStr">
        <is>
          <t>SPON DISTRIBUIDORA DE BEBIDAS LTDA</t>
        </is>
      </c>
      <c r="E233" t="n">
        <v>1416.18</v>
      </c>
      <c r="F233" s="27" t="n">
        <v>46069</v>
      </c>
      <c r="G233" s="27" t="n">
        <v>46071</v>
      </c>
      <c r="H233" s="27" t="n">
        <v>46071</v>
      </c>
      <c r="I233" s="27" t="n">
        <v>46058</v>
      </c>
      <c r="J233" s="27" t="n">
        <v>46066</v>
      </c>
      <c r="K233" t="inlineStr">
        <is>
          <t>Boleto Bancário</t>
        </is>
      </c>
      <c r="L233" t="inlineStr">
        <is>
          <t>Custo Mercadoria Vendida</t>
        </is>
      </c>
      <c r="M233" t="inlineStr">
        <is>
          <t>Insumos - Bebidas</t>
        </is>
      </c>
      <c r="N233" t="inlineStr">
        <is>
          <t>153171</t>
        </is>
      </c>
      <c r="O233" t="inlineStr">
        <is>
          <t>Documentação Aprovada</t>
        </is>
      </c>
      <c r="P233" t="inlineStr">
        <is>
          <t>Aprovado Diretoria</t>
        </is>
      </c>
      <c r="Q233" t="inlineStr">
        <is>
          <t>Aprovado Caixa</t>
        </is>
      </c>
      <c r="R233" t="inlineStr">
        <is>
          <t>Pago</t>
        </is>
      </c>
      <c r="S233" t="n">
        <v>226</v>
      </c>
      <c r="T233" t="inlineStr">
        <is>
          <t>The Cavern - Kamino</t>
        </is>
      </c>
    </row>
    <row r="234">
      <c r="A234" t="n">
        <v>209500</v>
      </c>
      <c r="B234" t="n">
        <v>176</v>
      </c>
      <c r="C234" t="inlineStr">
        <is>
          <t>The Cavern</t>
        </is>
      </c>
      <c r="D234" t="inlineStr">
        <is>
          <t xml:space="preserve">KAMINO INSTITUICAO DE PAGAMENTO LTDA </t>
        </is>
      </c>
      <c r="E234" t="n">
        <v>1</v>
      </c>
      <c r="F234" s="27" t="n">
        <v>46071</v>
      </c>
      <c r="G234" s="27" t="n"/>
      <c r="H234" s="27" t="n">
        <v>46071</v>
      </c>
      <c r="I234" s="27" t="n">
        <v>46071</v>
      </c>
      <c r="J234" s="27" t="n"/>
      <c r="K234" t="inlineStr">
        <is>
          <t xml:space="preserve">Debito Automático </t>
        </is>
      </c>
      <c r="L234" t="inlineStr">
        <is>
          <t>Despesas Financeiras</t>
        </is>
      </c>
      <c r="M234" t="inlineStr">
        <is>
          <t>Tarifas Bancárias</t>
        </is>
      </c>
      <c r="O234" t="inlineStr">
        <is>
          <t>Documentação Aprovada</t>
        </is>
      </c>
      <c r="P234" t="inlineStr">
        <is>
          <t>Aprovado Diretoria</t>
        </is>
      </c>
      <c r="Q234" t="inlineStr">
        <is>
          <t>Aprovado Caixa</t>
        </is>
      </c>
      <c r="R234" t="inlineStr">
        <is>
          <t>Pago</t>
        </is>
      </c>
      <c r="S234" t="n">
        <v>226</v>
      </c>
      <c r="T234" t="inlineStr">
        <is>
          <t>The Cavern - Kamino</t>
        </is>
      </c>
    </row>
    <row r="235">
      <c r="A235" t="n">
        <v>203751</v>
      </c>
      <c r="B235" t="n">
        <v>176</v>
      </c>
      <c r="C235" t="inlineStr">
        <is>
          <t>The Cavern</t>
        </is>
      </c>
      <c r="D235" t="inlineStr">
        <is>
          <t xml:space="preserve">LATICINIOS CATUPIRY LTDA </t>
        </is>
      </c>
      <c r="E235" t="n">
        <v>411.24</v>
      </c>
      <c r="F235" s="27" t="n">
        <v>46071</v>
      </c>
      <c r="G235" s="27" t="n">
        <v>46071</v>
      </c>
      <c r="H235" s="27" t="n">
        <v>46071</v>
      </c>
      <c r="I235" s="27" t="n">
        <v>46055</v>
      </c>
      <c r="J235" s="27" t="n">
        <v>46057</v>
      </c>
      <c r="K235" t="inlineStr">
        <is>
          <t>Boleto Bancário</t>
        </is>
      </c>
      <c r="L235" t="inlineStr">
        <is>
          <t>Custo Mercadoria Vendida</t>
        </is>
      </c>
      <c r="M235" t="inlineStr">
        <is>
          <t>Insumos - Alimentos</t>
        </is>
      </c>
      <c r="N235" t="inlineStr">
        <is>
          <t>1850465</t>
        </is>
      </c>
      <c r="O235" t="inlineStr">
        <is>
          <t>Documentação Aprovada</t>
        </is>
      </c>
      <c r="P235" t="inlineStr">
        <is>
          <t>Aprovado Diretoria</t>
        </is>
      </c>
      <c r="Q235" t="inlineStr">
        <is>
          <t>Aprovado Caixa</t>
        </is>
      </c>
      <c r="R235" t="inlineStr">
        <is>
          <t>Pago</t>
        </is>
      </c>
      <c r="S235" t="n">
        <v>226</v>
      </c>
      <c r="T235" t="inlineStr">
        <is>
          <t>The Cavern - Kamino</t>
        </is>
      </c>
    </row>
    <row r="236">
      <c r="A236" t="n">
        <v>201650</v>
      </c>
      <c r="B236" t="n">
        <v>176</v>
      </c>
      <c r="C236" t="inlineStr">
        <is>
          <t>The Cavern</t>
        </is>
      </c>
      <c r="D236" t="inlineStr">
        <is>
          <t>KING COMERCIO E IMPORTACAO DE BEBIDAS LTDA</t>
        </is>
      </c>
      <c r="E236" t="n">
        <v>990.52</v>
      </c>
      <c r="F236" s="27" t="n">
        <v>46070</v>
      </c>
      <c r="G236" s="27" t="n">
        <v>46071</v>
      </c>
      <c r="H236" s="27" t="n">
        <v>46071</v>
      </c>
      <c r="I236" s="27" t="n">
        <v>46049</v>
      </c>
      <c r="J236" s="27" t="n">
        <v>46051</v>
      </c>
      <c r="K236" t="inlineStr">
        <is>
          <t>Boleto Bancário</t>
        </is>
      </c>
      <c r="L236" t="inlineStr">
        <is>
          <t>Custo Mercadoria Vendida</t>
        </is>
      </c>
      <c r="M236" t="inlineStr">
        <is>
          <t>Insumos - Bebidas</t>
        </is>
      </c>
      <c r="N236" t="inlineStr">
        <is>
          <t>125023</t>
        </is>
      </c>
      <c r="O236" t="inlineStr">
        <is>
          <t>Documentação Aprovada</t>
        </is>
      </c>
      <c r="P236" t="inlineStr">
        <is>
          <t>Aprovado Diretoria</t>
        </is>
      </c>
      <c r="Q236" t="inlineStr">
        <is>
          <t>Aprovado Caixa</t>
        </is>
      </c>
      <c r="R236" t="inlineStr">
        <is>
          <t>Pago</t>
        </is>
      </c>
      <c r="S236" t="n">
        <v>226</v>
      </c>
      <c r="T236" t="inlineStr">
        <is>
          <t>The Cavern - Kamino</t>
        </is>
      </c>
    </row>
    <row r="237">
      <c r="A237" t="n">
        <v>203619</v>
      </c>
      <c r="B237" t="n">
        <v>176</v>
      </c>
      <c r="C237" t="inlineStr">
        <is>
          <t>The Cavern</t>
        </is>
      </c>
      <c r="D237" t="inlineStr">
        <is>
          <t>PARAMU COMERCIO E REPRESENTACAO DE PRODUTOS ALIMENTICIOS</t>
        </is>
      </c>
      <c r="E237" t="n">
        <v>947.5</v>
      </c>
      <c r="F237" s="27" t="n">
        <v>46070</v>
      </c>
      <c r="G237" s="27" t="n">
        <v>46071</v>
      </c>
      <c r="H237" s="27" t="n">
        <v>46071</v>
      </c>
      <c r="I237" s="27" t="n">
        <v>46056</v>
      </c>
      <c r="J237" s="27" t="n">
        <v>46057</v>
      </c>
      <c r="K237" t="inlineStr">
        <is>
          <t>Boleto Bancário</t>
        </is>
      </c>
      <c r="L237" t="inlineStr">
        <is>
          <t>Custo Mercadoria Vendida</t>
        </is>
      </c>
      <c r="M237" t="inlineStr">
        <is>
          <t>Insumos - Alimentos</t>
        </is>
      </c>
      <c r="N237" t="inlineStr">
        <is>
          <t>16829</t>
        </is>
      </c>
      <c r="O237" t="inlineStr">
        <is>
          <t>Documentação Aprovada</t>
        </is>
      </c>
      <c r="P237" t="inlineStr">
        <is>
          <t>Aprovado Diretoria</t>
        </is>
      </c>
      <c r="Q237" t="inlineStr">
        <is>
          <t>Aprovado Caixa</t>
        </is>
      </c>
      <c r="R237" t="inlineStr">
        <is>
          <t>Pago</t>
        </is>
      </c>
      <c r="S237" t="n">
        <v>226</v>
      </c>
      <c r="T237" t="inlineStr">
        <is>
          <t>The Cavern - Kamino</t>
        </is>
      </c>
    </row>
    <row r="238">
      <c r="A238" t="n">
        <v>205856</v>
      </c>
      <c r="B238" t="n">
        <v>176</v>
      </c>
      <c r="C238" t="inlineStr">
        <is>
          <t>The Cavern</t>
        </is>
      </c>
      <c r="D238" t="inlineStr">
        <is>
          <t>SPAL INDUSTRIA BRASILEIRA DE BEBIDAS S A</t>
        </is>
      </c>
      <c r="E238" t="n">
        <v>1007.38</v>
      </c>
      <c r="F238" s="27" t="n">
        <v>46071</v>
      </c>
      <c r="G238" s="27" t="n">
        <v>46071</v>
      </c>
      <c r="H238" s="27" t="n">
        <v>46071</v>
      </c>
      <c r="I238" s="27" t="n">
        <v>46056</v>
      </c>
      <c r="J238" s="27" t="n">
        <v>46062</v>
      </c>
      <c r="K238" t="inlineStr">
        <is>
          <t>Boleto Bancário</t>
        </is>
      </c>
      <c r="L238" t="inlineStr">
        <is>
          <t>Custo Mercadoria Vendida</t>
        </is>
      </c>
      <c r="M238" t="inlineStr">
        <is>
          <t>Insumos - Bebidas</t>
        </is>
      </c>
      <c r="N238" t="inlineStr">
        <is>
          <t>16413035</t>
        </is>
      </c>
      <c r="O238" t="inlineStr">
        <is>
          <t>Documentação Aprovada</t>
        </is>
      </c>
      <c r="P238" t="inlineStr">
        <is>
          <t>Aprovado Diretoria</t>
        </is>
      </c>
      <c r="Q238" t="inlineStr">
        <is>
          <t>Aprovado Caixa</t>
        </is>
      </c>
      <c r="R238" t="inlineStr">
        <is>
          <t>Pago</t>
        </is>
      </c>
      <c r="S238" t="n">
        <v>226</v>
      </c>
      <c r="T238" t="inlineStr">
        <is>
          <t>The Cavern - Kamino</t>
        </is>
      </c>
    </row>
    <row r="239">
      <c r="A239" t="n">
        <v>205859</v>
      </c>
      <c r="B239" t="n">
        <v>176</v>
      </c>
      <c r="C239" t="inlineStr">
        <is>
          <t>The Cavern</t>
        </is>
      </c>
      <c r="D239" t="inlineStr">
        <is>
          <t xml:space="preserve">MS FRANGOS LTDA </t>
        </is>
      </c>
      <c r="E239" t="n">
        <v>689.58</v>
      </c>
      <c r="F239" s="27" t="n">
        <v>46071</v>
      </c>
      <c r="G239" s="27" t="n">
        <v>46071</v>
      </c>
      <c r="H239" s="27" t="n">
        <v>46071</v>
      </c>
      <c r="I239" s="27" t="n">
        <v>46056</v>
      </c>
      <c r="J239" s="27" t="n">
        <v>46062</v>
      </c>
      <c r="K239" t="inlineStr">
        <is>
          <t>Boleto Bancário</t>
        </is>
      </c>
      <c r="L239" t="inlineStr">
        <is>
          <t>Custo Mercadoria Vendida</t>
        </is>
      </c>
      <c r="M239" t="inlineStr">
        <is>
          <t>Insumos - Alimentos</t>
        </is>
      </c>
      <c r="N239" t="inlineStr">
        <is>
          <t>5588</t>
        </is>
      </c>
      <c r="O239" t="inlineStr">
        <is>
          <t>Documentação Aprovada</t>
        </is>
      </c>
      <c r="P239" t="inlineStr">
        <is>
          <t>Aprovado Diretoria</t>
        </is>
      </c>
      <c r="Q239" t="inlineStr">
        <is>
          <t>Aprovado Caixa</t>
        </is>
      </c>
      <c r="R239" t="inlineStr">
        <is>
          <t>Pago</t>
        </is>
      </c>
      <c r="S239" t="n">
        <v>226</v>
      </c>
      <c r="T239" t="inlineStr">
        <is>
          <t>The Cavern - Kamino</t>
        </is>
      </c>
    </row>
    <row r="240">
      <c r="A240" t="n">
        <v>205676</v>
      </c>
      <c r="B240" t="n">
        <v>176</v>
      </c>
      <c r="C240" t="inlineStr">
        <is>
          <t>The Cavern</t>
        </is>
      </c>
      <c r="D240" t="inlineStr">
        <is>
          <t>PAULO SERGIO LOPES MARTINS DE FREITAS</t>
        </is>
      </c>
      <c r="E240" t="n">
        <v>6600</v>
      </c>
      <c r="F240" s="27" t="n">
        <v>46063</v>
      </c>
      <c r="G240" s="27" t="n">
        <v>46066</v>
      </c>
      <c r="H240" s="27" t="n">
        <v>46066</v>
      </c>
      <c r="I240" s="27" t="n">
        <v>46023</v>
      </c>
      <c r="J240" s="27" t="n">
        <v>46059</v>
      </c>
      <c r="K240" t="inlineStr">
        <is>
          <t>Transferência Bancária ou Pix</t>
        </is>
      </c>
      <c r="L240" t="inlineStr">
        <is>
          <t>Mão de Obra - PJ</t>
        </is>
      </c>
      <c r="M240" t="inlineStr">
        <is>
          <t>MDO PJ Fixo</t>
        </is>
      </c>
      <c r="N240" t="inlineStr">
        <is>
          <t>188</t>
        </is>
      </c>
      <c r="O240" t="inlineStr">
        <is>
          <t>Documentação Aprovada</t>
        </is>
      </c>
      <c r="P240" t="inlineStr">
        <is>
          <t>Aprovado Diretoria</t>
        </is>
      </c>
      <c r="Q240" t="inlineStr">
        <is>
          <t>Aprovado Caixa</t>
        </is>
      </c>
      <c r="R240" t="inlineStr">
        <is>
          <t>Pago</t>
        </is>
      </c>
      <c r="S240" t="n">
        <v>226</v>
      </c>
      <c r="T240" t="inlineStr">
        <is>
          <t>The Cavern - Kamino</t>
        </is>
      </c>
    </row>
    <row r="241">
      <c r="A241" t="n">
        <v>203720</v>
      </c>
      <c r="B241" t="n">
        <v>176</v>
      </c>
      <c r="C241" t="inlineStr">
        <is>
          <t>The Cavern</t>
        </is>
      </c>
      <c r="D241" t="inlineStr">
        <is>
          <t>LA CHICA LTDA</t>
        </is>
      </c>
      <c r="E241" t="n">
        <v>1765.94</v>
      </c>
      <c r="F241" s="27" t="n">
        <v>46066</v>
      </c>
      <c r="G241" s="27" t="n">
        <v>46066</v>
      </c>
      <c r="H241" s="27" t="n">
        <v>46066</v>
      </c>
      <c r="I241" s="27" t="n">
        <v>46052</v>
      </c>
      <c r="J241" s="27" t="n">
        <v>46057</v>
      </c>
      <c r="K241" t="inlineStr">
        <is>
          <t>Boleto Bancário</t>
        </is>
      </c>
      <c r="L241" t="inlineStr">
        <is>
          <t>Custo Mercadoria Vendida</t>
        </is>
      </c>
      <c r="M241" t="inlineStr">
        <is>
          <t>Insumos - Alimentos</t>
        </is>
      </c>
      <c r="N241" t="inlineStr">
        <is>
          <t>1468</t>
        </is>
      </c>
      <c r="O241" t="inlineStr">
        <is>
          <t>Documentação Aprovada</t>
        </is>
      </c>
      <c r="P241" t="inlineStr">
        <is>
          <t>Aprovado Diretoria</t>
        </is>
      </c>
      <c r="Q241" t="inlineStr">
        <is>
          <t>Aprovado Caixa</t>
        </is>
      </c>
      <c r="R241" t="inlineStr">
        <is>
          <t>Pago</t>
        </is>
      </c>
      <c r="S241" t="n">
        <v>226</v>
      </c>
      <c r="T241" t="inlineStr">
        <is>
          <t>The Cavern - Kamino</t>
        </is>
      </c>
    </row>
    <row r="242">
      <c r="A242" t="n">
        <v>194103</v>
      </c>
      <c r="B242" t="n">
        <v>176</v>
      </c>
      <c r="C242" t="inlineStr">
        <is>
          <t>The Cavern</t>
        </is>
      </c>
      <c r="D242" t="inlineStr">
        <is>
          <t>LEVITARE - INDUSTRIA E COMERCIO DE LATICINIOS LTDA</t>
        </is>
      </c>
      <c r="E242" t="n">
        <v>346.8</v>
      </c>
      <c r="F242" s="27" t="n">
        <v>46066</v>
      </c>
      <c r="G242" s="27" t="n">
        <v>46066</v>
      </c>
      <c r="H242" s="27" t="n">
        <v>46066</v>
      </c>
      <c r="I242" s="27" t="n">
        <v>46038</v>
      </c>
      <c r="J242" s="27" t="n">
        <v>46041</v>
      </c>
      <c r="K242" t="inlineStr">
        <is>
          <t>Boleto Bancário</t>
        </is>
      </c>
      <c r="L242" t="inlineStr">
        <is>
          <t>Custo Mercadoria Vendida</t>
        </is>
      </c>
      <c r="M242" t="inlineStr">
        <is>
          <t>Insumos - Alimentos</t>
        </is>
      </c>
      <c r="N242" t="inlineStr">
        <is>
          <t>279715</t>
        </is>
      </c>
      <c r="O242" t="inlineStr">
        <is>
          <t>Documentação Aprovada</t>
        </is>
      </c>
      <c r="P242" t="inlineStr">
        <is>
          <t>Aprovado Diretoria</t>
        </is>
      </c>
      <c r="Q242" t="inlineStr">
        <is>
          <t>Aprovado Caixa</t>
        </is>
      </c>
      <c r="R242" t="inlineStr">
        <is>
          <t>Pago</t>
        </is>
      </c>
      <c r="S242" t="n">
        <v>226</v>
      </c>
      <c r="T242" t="inlineStr">
        <is>
          <t>The Cavern - Kamino</t>
        </is>
      </c>
    </row>
    <row r="243">
      <c r="A243" t="n">
        <v>193982</v>
      </c>
      <c r="B243" t="n">
        <v>176</v>
      </c>
      <c r="C243" t="inlineStr">
        <is>
          <t>The Cavern</t>
        </is>
      </c>
      <c r="D243" t="inlineStr">
        <is>
          <t>CECILIA TSUYACO ARAKI SILVA LTDA</t>
        </is>
      </c>
      <c r="E243" t="n">
        <v>405.75</v>
      </c>
      <c r="F243" s="27" t="n">
        <v>46066</v>
      </c>
      <c r="G243" s="27" t="n">
        <v>46066</v>
      </c>
      <c r="H243" s="27" t="n">
        <v>46066</v>
      </c>
      <c r="I243" s="27" t="n">
        <v>46038</v>
      </c>
      <c r="J243" s="27" t="n">
        <v>46041</v>
      </c>
      <c r="K243" t="inlineStr">
        <is>
          <t>Boleto Bancário</t>
        </is>
      </c>
      <c r="L243" t="inlineStr">
        <is>
          <t>Custo Mercadoria Vendida</t>
        </is>
      </c>
      <c r="M243" t="inlineStr">
        <is>
          <t>Insumos - Alimentos</t>
        </is>
      </c>
      <c r="N243" t="inlineStr">
        <is>
          <t>385196</t>
        </is>
      </c>
      <c r="O243" t="inlineStr">
        <is>
          <t>Documentação Aprovada</t>
        </is>
      </c>
      <c r="P243" t="inlineStr">
        <is>
          <t>Aprovado Diretoria</t>
        </is>
      </c>
      <c r="Q243" t="inlineStr">
        <is>
          <t>Aprovado Caixa</t>
        </is>
      </c>
      <c r="R243" t="inlineStr">
        <is>
          <t>Pago</t>
        </is>
      </c>
      <c r="S243" t="n">
        <v>226</v>
      </c>
      <c r="T243" t="inlineStr">
        <is>
          <t>The Cavern - Kamino</t>
        </is>
      </c>
    </row>
    <row r="244">
      <c r="A244" t="n">
        <v>193983</v>
      </c>
      <c r="B244" t="n">
        <v>176</v>
      </c>
      <c r="C244" t="inlineStr">
        <is>
          <t>The Cavern</t>
        </is>
      </c>
      <c r="D244" t="inlineStr">
        <is>
          <t xml:space="preserve">HORTIFRUTI DO CHEF LTDA </t>
        </is>
      </c>
      <c r="E244" t="n">
        <v>162.51</v>
      </c>
      <c r="F244" s="27" t="n">
        <v>46066</v>
      </c>
      <c r="G244" s="27" t="n">
        <v>46066</v>
      </c>
      <c r="H244" s="27" t="n">
        <v>46066</v>
      </c>
      <c r="I244" s="27" t="n">
        <v>46038</v>
      </c>
      <c r="J244" s="27" t="n">
        <v>46041</v>
      </c>
      <c r="K244" t="inlineStr">
        <is>
          <t>Boleto Bancário</t>
        </is>
      </c>
      <c r="L244" t="inlineStr">
        <is>
          <t>Custo Mercadoria Vendida</t>
        </is>
      </c>
      <c r="M244" t="inlineStr">
        <is>
          <t>Insumos - Alimentos</t>
        </is>
      </c>
      <c r="N244" t="inlineStr">
        <is>
          <t>28465</t>
        </is>
      </c>
      <c r="O244" t="inlineStr">
        <is>
          <t>Documentação Aprovada</t>
        </is>
      </c>
      <c r="P244" t="inlineStr">
        <is>
          <t>Aprovado Diretoria</t>
        </is>
      </c>
      <c r="Q244" t="inlineStr">
        <is>
          <t>Aprovado Caixa</t>
        </is>
      </c>
      <c r="R244" t="inlineStr">
        <is>
          <t>Pago</t>
        </is>
      </c>
      <c r="S244" t="n">
        <v>226</v>
      </c>
      <c r="T244" t="inlineStr">
        <is>
          <t>The Cavern - Kamino</t>
        </is>
      </c>
    </row>
    <row r="245">
      <c r="A245" t="n">
        <v>193988</v>
      </c>
      <c r="B245" t="n">
        <v>176</v>
      </c>
      <c r="C245" t="inlineStr">
        <is>
          <t>The Cavern</t>
        </is>
      </c>
      <c r="D245" t="inlineStr">
        <is>
          <t>CECILIA TSUYACO ARAKI SILVA LTDA</t>
        </is>
      </c>
      <c r="E245" t="n">
        <v>266.4</v>
      </c>
      <c r="F245" s="27" t="n">
        <v>46066</v>
      </c>
      <c r="G245" s="27" t="n">
        <v>46066</v>
      </c>
      <c r="H245" s="27" t="n">
        <v>46066</v>
      </c>
      <c r="I245" s="27" t="n">
        <v>46038</v>
      </c>
      <c r="J245" s="27" t="n">
        <v>46041</v>
      </c>
      <c r="K245" t="inlineStr">
        <is>
          <t>Boleto Bancário</t>
        </is>
      </c>
      <c r="L245" t="inlineStr">
        <is>
          <t>Custo Mercadoria Vendida</t>
        </is>
      </c>
      <c r="M245" t="inlineStr">
        <is>
          <t>Insumos - Alimentos</t>
        </is>
      </c>
      <c r="N245" t="inlineStr">
        <is>
          <t>385222</t>
        </is>
      </c>
      <c r="O245" t="inlineStr">
        <is>
          <t>Documentação Aprovada</t>
        </is>
      </c>
      <c r="P245" t="inlineStr">
        <is>
          <t>Aprovado Diretoria</t>
        </is>
      </c>
      <c r="Q245" t="inlineStr">
        <is>
          <t>Aprovado Caixa</t>
        </is>
      </c>
      <c r="R245" t="inlineStr">
        <is>
          <t>Pago</t>
        </is>
      </c>
      <c r="S245" t="n">
        <v>226</v>
      </c>
      <c r="T245" t="inlineStr">
        <is>
          <t>The Cavern - Kamino</t>
        </is>
      </c>
    </row>
    <row r="246">
      <c r="A246" t="n">
        <v>196999</v>
      </c>
      <c r="B246" t="n">
        <v>176</v>
      </c>
      <c r="C246" t="inlineStr">
        <is>
          <t>The Cavern</t>
        </is>
      </c>
      <c r="D246" t="inlineStr">
        <is>
          <t>30.365.122 HIDEKI HENRIQUE KAWAMOTO</t>
        </is>
      </c>
      <c r="E246" t="n">
        <v>240</v>
      </c>
      <c r="F246" s="27" t="n">
        <v>46066</v>
      </c>
      <c r="G246" s="27" t="n">
        <v>46066</v>
      </c>
      <c r="H246" s="27" t="n">
        <v>46066</v>
      </c>
      <c r="I246" s="27" t="n">
        <v>46045</v>
      </c>
      <c r="J246" s="27" t="n">
        <v>46045</v>
      </c>
      <c r="K246" t="inlineStr">
        <is>
          <t>Boleto Bancário</t>
        </is>
      </c>
      <c r="L246" t="inlineStr">
        <is>
          <t>Custo Mercadoria Vendida</t>
        </is>
      </c>
      <c r="M246" t="inlineStr">
        <is>
          <t>Insumos - Alimentos</t>
        </is>
      </c>
      <c r="N246" t="inlineStr">
        <is>
          <t>1713</t>
        </is>
      </c>
      <c r="O246" t="inlineStr">
        <is>
          <t>Documentação Aprovada</t>
        </is>
      </c>
      <c r="P246" t="inlineStr">
        <is>
          <t>Aprovado Diretoria</t>
        </is>
      </c>
      <c r="Q246" t="inlineStr">
        <is>
          <t>Aprovado Caixa</t>
        </is>
      </c>
      <c r="R246" t="inlineStr">
        <is>
          <t>Pago</t>
        </is>
      </c>
      <c r="S246" t="n">
        <v>226</v>
      </c>
      <c r="T246" t="inlineStr">
        <is>
          <t>The Cavern - Kamino</t>
        </is>
      </c>
    </row>
    <row r="247">
      <c r="A247" t="n">
        <v>184461</v>
      </c>
      <c r="B247" t="n">
        <v>176</v>
      </c>
      <c r="C247" t="inlineStr">
        <is>
          <t>The Cavern</t>
        </is>
      </c>
      <c r="D247" t="inlineStr">
        <is>
          <t>EMPORIO M&amp;L COMERCIO DE ALIM E BEBIDAS LTDA</t>
        </is>
      </c>
      <c r="E247" t="n">
        <v>1035.25</v>
      </c>
      <c r="F247" s="27" t="n">
        <v>46038</v>
      </c>
      <c r="G247" s="27" t="n">
        <v>46066</v>
      </c>
      <c r="H247" s="27" t="n">
        <v>46066</v>
      </c>
      <c r="I247" s="27" t="n">
        <v>46008</v>
      </c>
      <c r="J247" s="27" t="n">
        <v>46009</v>
      </c>
      <c r="K247" t="inlineStr">
        <is>
          <t>Boleto Bancário</t>
        </is>
      </c>
      <c r="L247" t="inlineStr">
        <is>
          <t>Custo Mercadoria Vendida</t>
        </is>
      </c>
      <c r="M247" t="inlineStr">
        <is>
          <t>Insumos - Alimentos</t>
        </is>
      </c>
      <c r="N247" t="inlineStr">
        <is>
          <t>487662</t>
        </is>
      </c>
      <c r="O247" t="inlineStr">
        <is>
          <t>Documentação Aprovada</t>
        </is>
      </c>
      <c r="P247" t="inlineStr">
        <is>
          <t>Aprovado Diretoria</t>
        </is>
      </c>
      <c r="Q247" t="inlineStr">
        <is>
          <t>Aprovado Caixa</t>
        </is>
      </c>
      <c r="R247" t="inlineStr">
        <is>
          <t>Pago</t>
        </is>
      </c>
      <c r="S247" t="n">
        <v>226</v>
      </c>
      <c r="T247" t="inlineStr">
        <is>
          <t>The Cavern - Kamino</t>
        </is>
      </c>
    </row>
    <row r="248">
      <c r="A248" t="n">
        <v>178703</v>
      </c>
      <c r="B248" t="n">
        <v>176</v>
      </c>
      <c r="C248" t="inlineStr">
        <is>
          <t>The Cavern</t>
        </is>
      </c>
      <c r="D248" t="inlineStr">
        <is>
          <t>EMPORIO M&amp;L COMERCIO DE ALIM E BEBIDAS LTDA</t>
        </is>
      </c>
      <c r="E248" t="n">
        <v>2379.82</v>
      </c>
      <c r="F248" s="27" t="n">
        <v>46014</v>
      </c>
      <c r="G248" s="27" t="n">
        <v>46066</v>
      </c>
      <c r="H248" s="27" t="n">
        <v>46066</v>
      </c>
      <c r="I248" s="27" t="n">
        <v>45986</v>
      </c>
      <c r="J248" s="27" t="n">
        <v>45989</v>
      </c>
      <c r="K248" t="inlineStr">
        <is>
          <t>Boleto Bancário</t>
        </is>
      </c>
      <c r="L248" t="inlineStr">
        <is>
          <t>Custo Mercadoria Vendida</t>
        </is>
      </c>
      <c r="M248" t="inlineStr">
        <is>
          <t>Insumos - Alimentos</t>
        </is>
      </c>
      <c r="N248" t="inlineStr">
        <is>
          <t>483165</t>
        </is>
      </c>
      <c r="O248" t="inlineStr">
        <is>
          <t>Documentação Aprovada</t>
        </is>
      </c>
      <c r="P248" t="inlineStr">
        <is>
          <t>Aprovado Diretoria</t>
        </is>
      </c>
      <c r="Q248" t="inlineStr">
        <is>
          <t>Aprovado Caixa</t>
        </is>
      </c>
      <c r="R248" t="inlineStr">
        <is>
          <t>Pago</t>
        </is>
      </c>
      <c r="S248" t="n">
        <v>226</v>
      </c>
      <c r="T248" t="inlineStr">
        <is>
          <t>The Cavern - Kamino</t>
        </is>
      </c>
    </row>
    <row r="249">
      <c r="A249" t="n">
        <v>211626</v>
      </c>
      <c r="B249" t="n">
        <v>176</v>
      </c>
      <c r="C249" t="inlineStr">
        <is>
          <t>The Cavern</t>
        </is>
      </c>
      <c r="D249" t="inlineStr">
        <is>
          <t xml:space="preserve">KAMINO INSTITUICAO DE PAGAMENTO LTDA </t>
        </is>
      </c>
      <c r="E249" t="n">
        <v>0.5</v>
      </c>
      <c r="F249" s="27" t="n">
        <v>46066</v>
      </c>
      <c r="G249" s="27" t="n"/>
      <c r="H249" s="27" t="n">
        <v>46066</v>
      </c>
      <c r="I249" s="27" t="n">
        <v>46066</v>
      </c>
      <c r="J249" s="27" t="n"/>
      <c r="K249" t="inlineStr">
        <is>
          <t xml:space="preserve">Debito Automático </t>
        </is>
      </c>
      <c r="L249" t="inlineStr">
        <is>
          <t>Despesas Financeiras</t>
        </is>
      </c>
      <c r="M249" t="inlineStr">
        <is>
          <t>Tarifas Bancárias</t>
        </is>
      </c>
      <c r="O249" t="inlineStr">
        <is>
          <t>Documentação Aprovada</t>
        </is>
      </c>
      <c r="P249" t="inlineStr">
        <is>
          <t>Aprovado Diretoria</t>
        </is>
      </c>
      <c r="Q249" t="inlineStr">
        <is>
          <t>Aprovado Caixa</t>
        </is>
      </c>
      <c r="R249" t="inlineStr">
        <is>
          <t>Pago</t>
        </is>
      </c>
      <c r="S249" t="n">
        <v>226</v>
      </c>
      <c r="T249" t="inlineStr">
        <is>
          <t>The Cavern - Kamino</t>
        </is>
      </c>
    </row>
    <row r="250">
      <c r="A250" t="n">
        <v>207345</v>
      </c>
      <c r="B250" t="n">
        <v>176</v>
      </c>
      <c r="C250" t="inlineStr">
        <is>
          <t>The Cavern</t>
        </is>
      </c>
      <c r="D250" t="inlineStr">
        <is>
          <t xml:space="preserve">WEW IMPORTACAO E EXPORTACAO LTDA </t>
        </is>
      </c>
      <c r="E250" t="n">
        <v>945</v>
      </c>
      <c r="F250" s="27" t="n">
        <v>46066</v>
      </c>
      <c r="G250" s="27" t="n">
        <v>46076</v>
      </c>
      <c r="H250" s="27" t="n">
        <v>46066</v>
      </c>
      <c r="I250" s="27" t="n">
        <v>46059</v>
      </c>
      <c r="J250" s="27" t="n">
        <v>46066</v>
      </c>
      <c r="K250" t="inlineStr">
        <is>
          <t>Transferência Bancária ou Pix</t>
        </is>
      </c>
      <c r="L250" t="inlineStr">
        <is>
          <t>Custo Mercadoria Vendida</t>
        </is>
      </c>
      <c r="M250" t="inlineStr">
        <is>
          <t>Insumos - Alimentos</t>
        </is>
      </c>
      <c r="N250" t="inlineStr">
        <is>
          <t>494864</t>
        </is>
      </c>
      <c r="O250" t="inlineStr">
        <is>
          <t>Documentação Aprovada</t>
        </is>
      </c>
      <c r="P250" t="inlineStr">
        <is>
          <t>Aprovado Diretoria</t>
        </is>
      </c>
      <c r="Q250" t="inlineStr">
        <is>
          <t>Aprovado Caixa</t>
        </is>
      </c>
      <c r="R250" t="inlineStr">
        <is>
          <t>Pago</t>
        </is>
      </c>
      <c r="S250" t="n">
        <v>226</v>
      </c>
      <c r="T250" t="inlineStr">
        <is>
          <t>The Cavern - Kamino</t>
        </is>
      </c>
    </row>
    <row r="251">
      <c r="A251" t="n">
        <v>206259</v>
      </c>
      <c r="B251" t="n">
        <v>176</v>
      </c>
      <c r="C251" t="inlineStr">
        <is>
          <t>The Cavern</t>
        </is>
      </c>
      <c r="D251" t="inlineStr">
        <is>
          <t>41986900000137</t>
        </is>
      </c>
      <c r="E251" t="n">
        <v>280</v>
      </c>
      <c r="F251" s="27" t="n">
        <v>46066</v>
      </c>
      <c r="G251" s="27" t="n">
        <v>46066</v>
      </c>
      <c r="H251" s="27" t="n">
        <v>46066</v>
      </c>
      <c r="I251" s="27" t="n">
        <v>46023</v>
      </c>
      <c r="J251" s="27" t="n">
        <v>46063</v>
      </c>
      <c r="K251" t="inlineStr">
        <is>
          <t>Transferência Bancária ou Pix</t>
        </is>
      </c>
      <c r="L251" t="inlineStr">
        <is>
          <t>Mão de Obra - PJ</t>
        </is>
      </c>
      <c r="M251" t="inlineStr">
        <is>
          <t>MDO PJ Fixo</t>
        </is>
      </c>
      <c r="N251" t="inlineStr">
        <is>
          <t>3</t>
        </is>
      </c>
      <c r="O251" t="inlineStr">
        <is>
          <t>Documentação Aprovada</t>
        </is>
      </c>
      <c r="P251" t="inlineStr">
        <is>
          <t>Aprovado Diretoria</t>
        </is>
      </c>
      <c r="Q251" t="inlineStr">
        <is>
          <t>Aprovado Caixa</t>
        </is>
      </c>
      <c r="R251" t="inlineStr">
        <is>
          <t>Pago</t>
        </is>
      </c>
      <c r="S251" t="n">
        <v>226</v>
      </c>
      <c r="T251" t="inlineStr">
        <is>
          <t>The Cavern - Kamino</t>
        </is>
      </c>
    </row>
    <row r="252">
      <c r="A252" t="n">
        <v>206258</v>
      </c>
      <c r="B252" t="n">
        <v>176</v>
      </c>
      <c r="C252" t="inlineStr">
        <is>
          <t>The Cavern</t>
        </is>
      </c>
      <c r="D252" t="inlineStr">
        <is>
          <t xml:space="preserve"> LORRAN GALDINO DA  SILVA</t>
        </is>
      </c>
      <c r="E252" t="n">
        <v>739.41</v>
      </c>
      <c r="F252" s="27" t="n">
        <v>46066</v>
      </c>
      <c r="G252" s="27" t="n">
        <v>46066</v>
      </c>
      <c r="H252" s="27" t="n">
        <v>46066</v>
      </c>
      <c r="I252" s="27" t="n">
        <v>46023</v>
      </c>
      <c r="J252" s="27" t="n">
        <v>46063</v>
      </c>
      <c r="K252" t="inlineStr">
        <is>
          <t>Transferência Bancária ou Pix</t>
        </is>
      </c>
      <c r="L252" t="inlineStr">
        <is>
          <t>Gorjeta</t>
        </is>
      </c>
      <c r="M252" t="inlineStr">
        <is>
          <t xml:space="preserve">  -  Comissões e Gorjeta</t>
        </is>
      </c>
      <c r="N252" t="inlineStr">
        <is>
          <t>4</t>
        </is>
      </c>
      <c r="O252" t="inlineStr">
        <is>
          <t>Documentação Aprovada</t>
        </is>
      </c>
      <c r="P252" t="inlineStr">
        <is>
          <t>Aprovado Diretoria</t>
        </is>
      </c>
      <c r="Q252" t="inlineStr">
        <is>
          <t>Aprovado Caixa</t>
        </is>
      </c>
      <c r="R252" t="inlineStr">
        <is>
          <t>Pago</t>
        </is>
      </c>
      <c r="S252" t="n">
        <v>226</v>
      </c>
      <c r="T252" t="inlineStr">
        <is>
          <t>The Cavern - Kamino</t>
        </is>
      </c>
    </row>
    <row r="253">
      <c r="A253" t="n">
        <v>206260</v>
      </c>
      <c r="B253" t="n">
        <v>176</v>
      </c>
      <c r="C253" t="inlineStr">
        <is>
          <t>The Cavern</t>
        </is>
      </c>
      <c r="D253" t="inlineStr">
        <is>
          <t>41986900000137</t>
        </is>
      </c>
      <c r="E253" t="n">
        <v>127.48</v>
      </c>
      <c r="F253" s="27" t="n">
        <v>46066</v>
      </c>
      <c r="G253" s="27" t="n">
        <v>46066</v>
      </c>
      <c r="H253" s="27" t="n">
        <v>46066</v>
      </c>
      <c r="I253" s="27" t="n">
        <v>46023</v>
      </c>
      <c r="J253" s="27" t="n">
        <v>46063</v>
      </c>
      <c r="K253" t="inlineStr">
        <is>
          <t>Transferência Bancária ou Pix</t>
        </is>
      </c>
      <c r="L253" t="inlineStr">
        <is>
          <t>Gorjeta</t>
        </is>
      </c>
      <c r="M253" t="inlineStr">
        <is>
          <t xml:space="preserve">  -  Comissões e Gorjeta</t>
        </is>
      </c>
      <c r="N253" t="inlineStr">
        <is>
          <t>4</t>
        </is>
      </c>
      <c r="O253" t="inlineStr">
        <is>
          <t>Documentação Aprovada</t>
        </is>
      </c>
      <c r="P253" t="inlineStr">
        <is>
          <t>Aprovado Diretoria</t>
        </is>
      </c>
      <c r="Q253" t="inlineStr">
        <is>
          <t>Aprovado Caixa</t>
        </is>
      </c>
      <c r="R253" t="inlineStr">
        <is>
          <t>Pago</t>
        </is>
      </c>
      <c r="S253" t="n">
        <v>226</v>
      </c>
      <c r="T253" t="inlineStr">
        <is>
          <t>The Cavern - Kamino</t>
        </is>
      </c>
    </row>
    <row r="254">
      <c r="A254" t="n">
        <v>206257</v>
      </c>
      <c r="B254" t="n">
        <v>176</v>
      </c>
      <c r="C254" t="inlineStr">
        <is>
          <t>The Cavern</t>
        </is>
      </c>
      <c r="D254" t="inlineStr">
        <is>
          <t>PAULO SERGIO LOPES MARTINS DE FREITAS</t>
        </is>
      </c>
      <c r="E254" t="n">
        <v>831.13</v>
      </c>
      <c r="F254" s="27" t="n">
        <v>46066</v>
      </c>
      <c r="G254" s="27" t="n">
        <v>46066</v>
      </c>
      <c r="H254" s="27" t="n">
        <v>46066</v>
      </c>
      <c r="I254" s="27" t="n">
        <v>46023</v>
      </c>
      <c r="J254" s="27" t="n">
        <v>46063</v>
      </c>
      <c r="K254" t="inlineStr">
        <is>
          <t>Transferência Bancária ou Pix</t>
        </is>
      </c>
      <c r="L254" t="inlineStr">
        <is>
          <t>Gorjeta</t>
        </is>
      </c>
      <c r="M254" t="inlineStr">
        <is>
          <t xml:space="preserve">  -  Comissões e Gorjeta</t>
        </is>
      </c>
      <c r="N254" t="inlineStr">
        <is>
          <t>189</t>
        </is>
      </c>
      <c r="O254" t="inlineStr">
        <is>
          <t>Documentação Aprovada</t>
        </is>
      </c>
      <c r="P254" t="inlineStr">
        <is>
          <t>Aprovado Diretoria</t>
        </is>
      </c>
      <c r="Q254" t="inlineStr">
        <is>
          <t>Aprovado Caixa</t>
        </is>
      </c>
      <c r="R254" t="inlineStr">
        <is>
          <t>Pago</t>
        </is>
      </c>
      <c r="S254" t="n">
        <v>226</v>
      </c>
      <c r="T254" t="inlineStr">
        <is>
          <t>The Cavern - Kamino</t>
        </is>
      </c>
    </row>
    <row r="255">
      <c r="A255" t="n">
        <v>206625</v>
      </c>
      <c r="B255" t="n">
        <v>176</v>
      </c>
      <c r="C255" t="inlineStr">
        <is>
          <t>The Cavern</t>
        </is>
      </c>
      <c r="D255" t="inlineStr">
        <is>
          <t>NICOLE SOUZA VIEIRA</t>
        </is>
      </c>
      <c r="E255" t="n">
        <v>375.2</v>
      </c>
      <c r="F255" s="27" t="n">
        <v>46066</v>
      </c>
      <c r="G255" s="27" t="n">
        <v>46066</v>
      </c>
      <c r="H255" s="27" t="n">
        <v>46066</v>
      </c>
      <c r="I255" s="27" t="n">
        <v>46054</v>
      </c>
      <c r="J255" s="27" t="n">
        <v>46065</v>
      </c>
      <c r="K255" t="inlineStr">
        <is>
          <t>Transferência Bancária ou Pix</t>
        </is>
      </c>
      <c r="L255" t="inlineStr">
        <is>
          <t>Mão de Obra - Benefícios</t>
        </is>
      </c>
      <c r="M255" t="inlineStr">
        <is>
          <t xml:space="preserve">  -  Vale-transporte</t>
        </is>
      </c>
      <c r="N255" t="inlineStr">
        <is>
          <t>37520 022026</t>
        </is>
      </c>
      <c r="O255" t="inlineStr">
        <is>
          <t>Documentação Aprovada</t>
        </is>
      </c>
      <c r="P255" t="inlineStr">
        <is>
          <t>Aprovado Diretoria</t>
        </is>
      </c>
      <c r="Q255" t="inlineStr">
        <is>
          <t>Aprovado Caixa</t>
        </is>
      </c>
      <c r="R255" t="inlineStr">
        <is>
          <t>Pago</t>
        </is>
      </c>
      <c r="S255" t="n">
        <v>226</v>
      </c>
      <c r="T255" t="inlineStr">
        <is>
          <t>The Cavern - Kamino</t>
        </is>
      </c>
    </row>
    <row r="256">
      <c r="A256" t="n">
        <v>206491</v>
      </c>
      <c r="B256" t="n">
        <v>176</v>
      </c>
      <c r="C256" t="inlineStr">
        <is>
          <t>The Cavern</t>
        </is>
      </c>
      <c r="D256" t="inlineStr">
        <is>
          <t>64222231000122</t>
        </is>
      </c>
      <c r="E256" t="n">
        <v>356.95</v>
      </c>
      <c r="F256" s="27" t="n">
        <v>46066</v>
      </c>
      <c r="G256" s="27" t="n">
        <v>46066</v>
      </c>
      <c r="H256" s="27" t="n">
        <v>46066</v>
      </c>
      <c r="I256" s="27" t="n">
        <v>46023</v>
      </c>
      <c r="J256" s="27" t="n">
        <v>46064</v>
      </c>
      <c r="K256" t="inlineStr">
        <is>
          <t>Transferência Bancária ou Pix</t>
        </is>
      </c>
      <c r="L256" t="inlineStr">
        <is>
          <t>Gorjeta</t>
        </is>
      </c>
      <c r="M256" t="inlineStr">
        <is>
          <t xml:space="preserve">  -  Comissões e Gorjeta</t>
        </is>
      </c>
      <c r="N256" t="inlineStr">
        <is>
          <t>3</t>
        </is>
      </c>
      <c r="O256" t="inlineStr">
        <is>
          <t>Documentação Aprovada</t>
        </is>
      </c>
      <c r="P256" t="inlineStr">
        <is>
          <t>Aprovado Diretoria</t>
        </is>
      </c>
      <c r="Q256" t="inlineStr">
        <is>
          <t>Aprovado Caixa</t>
        </is>
      </c>
      <c r="R256" t="inlineStr">
        <is>
          <t>Pago</t>
        </is>
      </c>
      <c r="S256" t="n">
        <v>226</v>
      </c>
      <c r="T256" t="inlineStr">
        <is>
          <t>The Cavern - Kamino</t>
        </is>
      </c>
    </row>
    <row r="257">
      <c r="A257" t="n">
        <v>206486</v>
      </c>
      <c r="B257" t="n">
        <v>176</v>
      </c>
      <c r="C257" t="inlineStr">
        <is>
          <t>The Cavern</t>
        </is>
      </c>
      <c r="D257" t="inlineStr">
        <is>
          <t>53664219000151</t>
        </is>
      </c>
      <c r="E257" t="n">
        <v>478.81</v>
      </c>
      <c r="F257" s="27" t="n">
        <v>46066</v>
      </c>
      <c r="G257" s="27" t="n">
        <v>46066</v>
      </c>
      <c r="H257" s="27" t="n">
        <v>46066</v>
      </c>
      <c r="I257" s="27" t="n">
        <v>46023</v>
      </c>
      <c r="J257" s="27" t="n">
        <v>46064</v>
      </c>
      <c r="K257" t="inlineStr">
        <is>
          <t>Transferência Bancária ou Pix</t>
        </is>
      </c>
      <c r="L257" t="inlineStr">
        <is>
          <t>Gorjeta</t>
        </is>
      </c>
      <c r="M257" t="inlineStr">
        <is>
          <t xml:space="preserve">  -  Comissões e Gorjeta</t>
        </is>
      </c>
      <c r="N257" t="inlineStr">
        <is>
          <t>3</t>
        </is>
      </c>
      <c r="O257" t="inlineStr">
        <is>
          <t>Documentação Aprovada</t>
        </is>
      </c>
      <c r="P257" t="inlineStr">
        <is>
          <t>Aprovado Diretoria</t>
        </is>
      </c>
      <c r="Q257" t="inlineStr">
        <is>
          <t>Aprovado Caixa</t>
        </is>
      </c>
      <c r="R257" t="inlineStr">
        <is>
          <t>Pago</t>
        </is>
      </c>
      <c r="S257" t="n">
        <v>226</v>
      </c>
      <c r="T257" t="inlineStr">
        <is>
          <t>The Cavern - Kamino</t>
        </is>
      </c>
    </row>
    <row r="258">
      <c r="A258" t="n">
        <v>206496</v>
      </c>
      <c r="B258" t="n">
        <v>176</v>
      </c>
      <c r="C258" t="inlineStr">
        <is>
          <t>The Cavern</t>
        </is>
      </c>
      <c r="D258" t="inlineStr">
        <is>
          <t>LEONARDO TADEU MASSONI BILESCHY</t>
        </is>
      </c>
      <c r="E258" t="n">
        <v>771.41</v>
      </c>
      <c r="F258" s="27" t="n">
        <v>46066</v>
      </c>
      <c r="G258" s="27" t="n">
        <v>46066</v>
      </c>
      <c r="H258" s="27" t="n">
        <v>46066</v>
      </c>
      <c r="I258" s="27" t="n">
        <v>46023</v>
      </c>
      <c r="J258" s="27" t="n">
        <v>46064</v>
      </c>
      <c r="K258" t="inlineStr">
        <is>
          <t>Transferência Bancária ou Pix</t>
        </is>
      </c>
      <c r="L258" t="inlineStr">
        <is>
          <t>Gorjeta</t>
        </is>
      </c>
      <c r="M258" t="inlineStr">
        <is>
          <t xml:space="preserve">  -  Comissões e Gorjeta</t>
        </is>
      </c>
      <c r="N258" t="inlineStr">
        <is>
          <t>53</t>
        </is>
      </c>
      <c r="O258" t="inlineStr">
        <is>
          <t>Documentação Aprovada</t>
        </is>
      </c>
      <c r="P258" t="inlineStr">
        <is>
          <t>Aprovado Diretoria</t>
        </is>
      </c>
      <c r="Q258" t="inlineStr">
        <is>
          <t>Aprovado Caixa</t>
        </is>
      </c>
      <c r="R258" t="inlineStr">
        <is>
          <t>Pago</t>
        </is>
      </c>
      <c r="S258" t="n">
        <v>226</v>
      </c>
      <c r="T258" t="inlineStr">
        <is>
          <t>The Cavern - Kamino</t>
        </is>
      </c>
    </row>
    <row r="259">
      <c r="A259" t="n">
        <v>193697</v>
      </c>
      <c r="B259" t="n">
        <v>176</v>
      </c>
      <c r="C259" t="inlineStr">
        <is>
          <t>The Cavern</t>
        </is>
      </c>
      <c r="D259" t="inlineStr">
        <is>
          <t>WPP COMERCIO DE CARNES LTDA</t>
        </is>
      </c>
      <c r="E259" t="n">
        <v>871.52</v>
      </c>
      <c r="F259" s="27" t="n">
        <v>46065</v>
      </c>
      <c r="G259" s="27" t="n">
        <v>46065</v>
      </c>
      <c r="H259" s="27" t="n">
        <v>46065</v>
      </c>
      <c r="I259" s="27" t="n">
        <v>46037</v>
      </c>
      <c r="J259" s="27" t="n">
        <v>46038</v>
      </c>
      <c r="K259" t="inlineStr">
        <is>
          <t>Boleto Bancário</t>
        </is>
      </c>
      <c r="L259" t="inlineStr">
        <is>
          <t>Custo Mercadoria Vendida</t>
        </is>
      </c>
      <c r="M259" t="inlineStr">
        <is>
          <t>Insumos - Alimentos</t>
        </is>
      </c>
      <c r="N259" t="inlineStr">
        <is>
          <t>76747</t>
        </is>
      </c>
      <c r="O259" t="inlineStr">
        <is>
          <t>Documentação Aprovada</t>
        </is>
      </c>
      <c r="P259" t="inlineStr">
        <is>
          <t>Aprovado Diretoria</t>
        </is>
      </c>
      <c r="Q259" t="inlineStr">
        <is>
          <t>Aprovado Caixa</t>
        </is>
      </c>
      <c r="R259" t="inlineStr">
        <is>
          <t>Pago</t>
        </is>
      </c>
      <c r="S259" t="n">
        <v>226</v>
      </c>
      <c r="T259" t="inlineStr">
        <is>
          <t>The Cavern - Kamino</t>
        </is>
      </c>
    </row>
    <row r="260">
      <c r="A260" t="n">
        <v>193723</v>
      </c>
      <c r="B260" t="n">
        <v>176</v>
      </c>
      <c r="C260" t="inlineStr">
        <is>
          <t>The Cavern</t>
        </is>
      </c>
      <c r="D260" t="inlineStr">
        <is>
          <t>B.B DISTRIBUIDORA DE CARNES LTDA</t>
        </is>
      </c>
      <c r="E260" t="n">
        <v>798</v>
      </c>
      <c r="F260" s="27" t="n">
        <v>46065</v>
      </c>
      <c r="G260" s="27" t="n">
        <v>46065</v>
      </c>
      <c r="H260" s="27" t="n">
        <v>46065</v>
      </c>
      <c r="I260" s="27" t="n">
        <v>46037</v>
      </c>
      <c r="J260" s="27" t="n">
        <v>46038</v>
      </c>
      <c r="K260" t="inlineStr">
        <is>
          <t>Boleto Bancário</t>
        </is>
      </c>
      <c r="L260" t="inlineStr">
        <is>
          <t>Custo Mercadoria Vendida</t>
        </is>
      </c>
      <c r="M260" t="inlineStr">
        <is>
          <t>Insumos - Alimentos</t>
        </is>
      </c>
      <c r="N260" t="inlineStr">
        <is>
          <t>412288</t>
        </is>
      </c>
      <c r="O260" t="inlineStr">
        <is>
          <t>Documentação Aprovada</t>
        </is>
      </c>
      <c r="P260" t="inlineStr">
        <is>
          <t>Aprovado Diretoria</t>
        </is>
      </c>
      <c r="Q260" t="inlineStr">
        <is>
          <t>Aprovado Caixa</t>
        </is>
      </c>
      <c r="R260" t="inlineStr">
        <is>
          <t>Pago</t>
        </is>
      </c>
      <c r="S260" t="n">
        <v>226</v>
      </c>
      <c r="T260" t="inlineStr">
        <is>
          <t>The Cavern - Kamino</t>
        </is>
      </c>
    </row>
    <row r="261">
      <c r="A261" t="n">
        <v>215425</v>
      </c>
      <c r="B261" t="n">
        <v>176</v>
      </c>
      <c r="C261" t="inlineStr">
        <is>
          <t>The Cavern</t>
        </is>
      </c>
      <c r="D261" t="inlineStr">
        <is>
          <t>VERO SA</t>
        </is>
      </c>
      <c r="E261" t="n">
        <v>246</v>
      </c>
      <c r="F261" s="27" t="n">
        <v>46091</v>
      </c>
      <c r="G261" s="27" t="n">
        <v>46092</v>
      </c>
      <c r="H261" s="27" t="n">
        <v>46065</v>
      </c>
      <c r="I261" s="27" t="n">
        <v>46065</v>
      </c>
      <c r="J261" s="27" t="n">
        <v>46091</v>
      </c>
      <c r="K261" t="inlineStr">
        <is>
          <t>Transferência Bancária ou Pix</t>
        </is>
      </c>
      <c r="L261" t="inlineStr">
        <is>
          <t>Informática e TI</t>
        </is>
      </c>
      <c r="M261" t="inlineStr">
        <is>
          <t>Internet</t>
        </is>
      </c>
      <c r="N261" t="inlineStr">
        <is>
          <t>12022026</t>
        </is>
      </c>
      <c r="O261" t="inlineStr">
        <is>
          <t>Documentação Aprovada</t>
        </is>
      </c>
      <c r="P261" t="inlineStr">
        <is>
          <t>Aprovado Diretoria</t>
        </is>
      </c>
      <c r="Q261" t="inlineStr">
        <is>
          <t>Aprovado Caixa</t>
        </is>
      </c>
      <c r="R261" t="inlineStr">
        <is>
          <t>Pago</t>
        </is>
      </c>
      <c r="S261" t="n">
        <v>226</v>
      </c>
      <c r="T261" t="inlineStr">
        <is>
          <t>The Cavern - Kamino</t>
        </is>
      </c>
    </row>
    <row r="262">
      <c r="A262" t="n">
        <v>204279</v>
      </c>
      <c r="B262" t="n">
        <v>176</v>
      </c>
      <c r="C262" t="inlineStr">
        <is>
          <t>The Cavern</t>
        </is>
      </c>
      <c r="D262" t="inlineStr">
        <is>
          <t>63925816000146 PJ</t>
        </is>
      </c>
      <c r="E262" t="n">
        <v>3500</v>
      </c>
      <c r="F262" s="27" t="n">
        <v>46063</v>
      </c>
      <c r="G262" s="27" t="n">
        <v>46064</v>
      </c>
      <c r="H262" s="27" t="n">
        <v>46064</v>
      </c>
      <c r="I262" s="27" t="n">
        <v>46023</v>
      </c>
      <c r="J262" s="27" t="n">
        <v>46057</v>
      </c>
      <c r="K262" t="inlineStr">
        <is>
          <t>Transferência Bancária ou Pix</t>
        </is>
      </c>
      <c r="L262" t="inlineStr">
        <is>
          <t>Mão de Obra - PJ</t>
        </is>
      </c>
      <c r="M262" t="inlineStr">
        <is>
          <t>MDO PJ Fixo</t>
        </is>
      </c>
      <c r="N262" t="inlineStr">
        <is>
          <t>2</t>
        </is>
      </c>
      <c r="O262" t="inlineStr">
        <is>
          <t>Documentação Aprovada</t>
        </is>
      </c>
      <c r="P262" t="inlineStr">
        <is>
          <t>Aprovado Diretoria</t>
        </is>
      </c>
      <c r="Q262" t="inlineStr">
        <is>
          <t>Aprovado Caixa</t>
        </is>
      </c>
      <c r="R262" t="inlineStr">
        <is>
          <t>Pago</t>
        </is>
      </c>
      <c r="S262" t="n">
        <v>226</v>
      </c>
      <c r="T262" t="inlineStr">
        <is>
          <t>The Cavern - Kamino</t>
        </is>
      </c>
    </row>
    <row r="263">
      <c r="A263" t="n">
        <v>205675</v>
      </c>
      <c r="B263" t="n">
        <v>176</v>
      </c>
      <c r="C263" t="inlineStr">
        <is>
          <t>The Cavern</t>
        </is>
      </c>
      <c r="D263" t="inlineStr">
        <is>
          <t xml:space="preserve"> LORRAN GALDINO DA  SILVA</t>
        </is>
      </c>
      <c r="E263" t="n">
        <v>4000</v>
      </c>
      <c r="F263" s="27" t="n">
        <v>46063</v>
      </c>
      <c r="G263" s="27" t="n">
        <v>46064</v>
      </c>
      <c r="H263" s="27" t="n">
        <v>46064</v>
      </c>
      <c r="I263" s="27" t="n">
        <v>46023</v>
      </c>
      <c r="J263" s="27" t="n">
        <v>46059</v>
      </c>
      <c r="K263" t="inlineStr">
        <is>
          <t>Transferência Bancária ou Pix</t>
        </is>
      </c>
      <c r="L263" t="inlineStr">
        <is>
          <t>Mão de Obra - PJ</t>
        </is>
      </c>
      <c r="M263" t="inlineStr">
        <is>
          <t>MDO PJ Fixo</t>
        </is>
      </c>
      <c r="N263" t="inlineStr">
        <is>
          <t>1</t>
        </is>
      </c>
      <c r="O263" t="inlineStr">
        <is>
          <t>Documentação Aprovada</t>
        </is>
      </c>
      <c r="P263" t="inlineStr">
        <is>
          <t>Aprovado Diretoria</t>
        </is>
      </c>
      <c r="Q263" t="inlineStr">
        <is>
          <t>Aprovado Caixa</t>
        </is>
      </c>
      <c r="R263" t="inlineStr">
        <is>
          <t>Pago</t>
        </is>
      </c>
      <c r="S263" t="n">
        <v>226</v>
      </c>
      <c r="T263" t="inlineStr">
        <is>
          <t>The Cavern - Kamino</t>
        </is>
      </c>
    </row>
    <row r="264">
      <c r="A264" t="n">
        <v>205677</v>
      </c>
      <c r="B264" t="n">
        <v>176</v>
      </c>
      <c r="C264" t="inlineStr">
        <is>
          <t>The Cavern</t>
        </is>
      </c>
      <c r="D264" t="inlineStr">
        <is>
          <t>41986900000137</t>
        </is>
      </c>
      <c r="E264" t="n">
        <v>2100</v>
      </c>
      <c r="F264" s="27" t="n">
        <v>46063</v>
      </c>
      <c r="G264" s="27" t="n">
        <v>46064</v>
      </c>
      <c r="H264" s="27" t="n">
        <v>46064</v>
      </c>
      <c r="I264" s="27" t="n">
        <v>46023</v>
      </c>
      <c r="J264" s="27" t="n">
        <v>46059</v>
      </c>
      <c r="K264" t="inlineStr">
        <is>
          <t>Transferência Bancária ou Pix</t>
        </is>
      </c>
      <c r="L264" t="inlineStr">
        <is>
          <t>Mão de Obra - PJ</t>
        </is>
      </c>
      <c r="M264" t="inlineStr">
        <is>
          <t>MDO PJ Fixo</t>
        </is>
      </c>
      <c r="N264" t="inlineStr">
        <is>
          <t>1</t>
        </is>
      </c>
      <c r="O264" t="inlineStr">
        <is>
          <t>Documentação Aprovada</t>
        </is>
      </c>
      <c r="P264" t="inlineStr">
        <is>
          <t>Aprovado Diretoria</t>
        </is>
      </c>
      <c r="Q264" t="inlineStr">
        <is>
          <t>Aprovado Caixa</t>
        </is>
      </c>
      <c r="R264" t="inlineStr">
        <is>
          <t>Pago</t>
        </is>
      </c>
      <c r="S264" t="n">
        <v>226</v>
      </c>
      <c r="T264" t="inlineStr">
        <is>
          <t>The Cavern - Kamino</t>
        </is>
      </c>
    </row>
    <row r="265">
      <c r="A265" t="n">
        <v>205686</v>
      </c>
      <c r="B265" t="n">
        <v>176</v>
      </c>
      <c r="C265" t="inlineStr">
        <is>
          <t>The Cavern</t>
        </is>
      </c>
      <c r="D265" t="inlineStr">
        <is>
          <t>64222231000122</t>
        </is>
      </c>
      <c r="E265" t="n">
        <v>3640</v>
      </c>
      <c r="F265" s="27" t="n">
        <v>46063</v>
      </c>
      <c r="G265" s="27" t="n">
        <v>46064</v>
      </c>
      <c r="H265" s="27" t="n">
        <v>46064</v>
      </c>
      <c r="I265" s="27" t="n">
        <v>46023</v>
      </c>
      <c r="J265" s="27" t="n">
        <v>46059</v>
      </c>
      <c r="K265" t="inlineStr">
        <is>
          <t>Transferência Bancária ou Pix</t>
        </is>
      </c>
      <c r="L265" t="inlineStr">
        <is>
          <t>Mão de Obra - PJ</t>
        </is>
      </c>
      <c r="M265" t="inlineStr">
        <is>
          <t>MDO PJ Fixo</t>
        </is>
      </c>
      <c r="N265" t="inlineStr">
        <is>
          <t>2</t>
        </is>
      </c>
      <c r="O265" t="inlineStr">
        <is>
          <t>Documentação Aprovada</t>
        </is>
      </c>
      <c r="P265" t="inlineStr">
        <is>
          <t>Aprovado Diretoria</t>
        </is>
      </c>
      <c r="Q265" t="inlineStr">
        <is>
          <t>Aprovado Caixa</t>
        </is>
      </c>
      <c r="R265" t="inlineStr">
        <is>
          <t>Pago</t>
        </is>
      </c>
      <c r="S265" t="n">
        <v>226</v>
      </c>
      <c r="T265" t="inlineStr">
        <is>
          <t>The Cavern - Kamino</t>
        </is>
      </c>
    </row>
    <row r="266">
      <c r="A266" t="n">
        <v>205688</v>
      </c>
      <c r="B266" t="n">
        <v>176</v>
      </c>
      <c r="C266" t="inlineStr">
        <is>
          <t>The Cavern</t>
        </is>
      </c>
      <c r="D266" t="inlineStr">
        <is>
          <t>44182044000155</t>
        </is>
      </c>
      <c r="E266" t="n">
        <v>3640</v>
      </c>
      <c r="F266" s="27" t="n">
        <v>46063</v>
      </c>
      <c r="G266" s="27" t="n">
        <v>46064</v>
      </c>
      <c r="H266" s="27" t="n">
        <v>46064</v>
      </c>
      <c r="I266" s="27" t="n">
        <v>46023</v>
      </c>
      <c r="J266" s="27" t="n">
        <v>46059</v>
      </c>
      <c r="K266" t="inlineStr">
        <is>
          <t>Transferência Bancária ou Pix</t>
        </is>
      </c>
      <c r="L266" t="inlineStr">
        <is>
          <t>Mão de Obra - PJ</t>
        </is>
      </c>
      <c r="M266" t="inlineStr">
        <is>
          <t>MDO PJ Fixo</t>
        </is>
      </c>
      <c r="N266" t="inlineStr">
        <is>
          <t>186</t>
        </is>
      </c>
      <c r="O266" t="inlineStr">
        <is>
          <t>Documentação Aprovada</t>
        </is>
      </c>
      <c r="P266" t="inlineStr">
        <is>
          <t>Aprovado Diretoria</t>
        </is>
      </c>
      <c r="Q266" t="inlineStr">
        <is>
          <t>Aprovado Caixa</t>
        </is>
      </c>
      <c r="R266" t="inlineStr">
        <is>
          <t>Pago</t>
        </is>
      </c>
      <c r="S266" t="n">
        <v>226</v>
      </c>
      <c r="T266" t="inlineStr">
        <is>
          <t>The Cavern - Kamino</t>
        </is>
      </c>
    </row>
    <row r="267">
      <c r="A267" t="n">
        <v>205690</v>
      </c>
      <c r="B267" t="n">
        <v>176</v>
      </c>
      <c r="C267" t="inlineStr">
        <is>
          <t>The Cavern</t>
        </is>
      </c>
      <c r="D267" t="inlineStr">
        <is>
          <t>53664219000151</t>
        </is>
      </c>
      <c r="E267" t="n">
        <v>6500</v>
      </c>
      <c r="F267" s="27" t="n">
        <v>46063</v>
      </c>
      <c r="G267" s="27" t="n">
        <v>46064</v>
      </c>
      <c r="H267" s="27" t="n">
        <v>46064</v>
      </c>
      <c r="I267" s="27" t="n">
        <v>46023</v>
      </c>
      <c r="J267" s="27" t="n">
        <v>46059</v>
      </c>
      <c r="K267" t="inlineStr">
        <is>
          <t>Transferência Bancária ou Pix</t>
        </is>
      </c>
      <c r="L267" t="inlineStr">
        <is>
          <t>Mão de Obra - PJ</t>
        </is>
      </c>
      <c r="M267" t="inlineStr">
        <is>
          <t>MDO PJ Fixo</t>
        </is>
      </c>
      <c r="N267" t="inlineStr">
        <is>
          <t>2</t>
        </is>
      </c>
      <c r="O267" t="inlineStr">
        <is>
          <t>Documentação Aprovada</t>
        </is>
      </c>
      <c r="P267" t="inlineStr">
        <is>
          <t>Aprovado Diretoria</t>
        </is>
      </c>
      <c r="Q267" t="inlineStr">
        <is>
          <t>Aprovado Caixa</t>
        </is>
      </c>
      <c r="R267" t="inlineStr">
        <is>
          <t>Pago</t>
        </is>
      </c>
      <c r="S267" t="n">
        <v>226</v>
      </c>
      <c r="T267" t="inlineStr">
        <is>
          <t>The Cavern - Kamino</t>
        </is>
      </c>
    </row>
    <row r="268">
      <c r="A268" t="n">
        <v>205702</v>
      </c>
      <c r="B268" t="n">
        <v>176</v>
      </c>
      <c r="C268" t="inlineStr">
        <is>
          <t>The Cavern</t>
        </is>
      </c>
      <c r="D268" t="inlineStr">
        <is>
          <t>LEONARDO TADEU MASSONI BILESCHY</t>
        </is>
      </c>
      <c r="E268" t="n">
        <v>4800</v>
      </c>
      <c r="F268" s="27" t="n">
        <v>46063</v>
      </c>
      <c r="G268" s="27" t="n">
        <v>46064</v>
      </c>
      <c r="H268" s="27" t="n">
        <v>46064</v>
      </c>
      <c r="I268" s="27" t="n">
        <v>46023</v>
      </c>
      <c r="J268" s="27" t="n">
        <v>46059</v>
      </c>
      <c r="K268" t="inlineStr">
        <is>
          <t>Transferência Bancária ou Pix</t>
        </is>
      </c>
      <c r="L268" t="inlineStr">
        <is>
          <t>Mão de Obra - PJ</t>
        </is>
      </c>
      <c r="M268" t="inlineStr">
        <is>
          <t>MDO PJ Fixo</t>
        </is>
      </c>
      <c r="N268" t="inlineStr">
        <is>
          <t>52</t>
        </is>
      </c>
      <c r="O268" t="inlineStr">
        <is>
          <t>Documentação Aprovada</t>
        </is>
      </c>
      <c r="P268" t="inlineStr">
        <is>
          <t>Aprovado Diretoria</t>
        </is>
      </c>
      <c r="Q268" t="inlineStr">
        <is>
          <t>Aprovado Caixa</t>
        </is>
      </c>
      <c r="R268" t="inlineStr">
        <is>
          <t>Pago</t>
        </is>
      </c>
      <c r="S268" t="n">
        <v>226</v>
      </c>
      <c r="T268" t="inlineStr">
        <is>
          <t>The Cavern - Kamino</t>
        </is>
      </c>
    </row>
    <row r="269">
      <c r="A269" t="n">
        <v>202034</v>
      </c>
      <c r="B269" t="n">
        <v>176</v>
      </c>
      <c r="C269" t="inlineStr">
        <is>
          <t>The Cavern</t>
        </is>
      </c>
      <c r="D269" t="inlineStr">
        <is>
          <t xml:space="preserve">MS FRANGOS LTDA </t>
        </is>
      </c>
      <c r="E269" t="n">
        <v>69.23999999999999</v>
      </c>
      <c r="F269" s="27" t="n">
        <v>46064</v>
      </c>
      <c r="G269" s="27" t="n">
        <v>46063</v>
      </c>
      <c r="H269" s="27" t="n">
        <v>46063</v>
      </c>
      <c r="I269" s="27" t="n">
        <v>46049</v>
      </c>
      <c r="J269" s="27" t="n">
        <v>46051</v>
      </c>
      <c r="K269" t="inlineStr">
        <is>
          <t>Boleto Bancário</t>
        </is>
      </c>
      <c r="L269" t="inlineStr">
        <is>
          <t>Custo Mercadoria Vendida</t>
        </is>
      </c>
      <c r="M269" t="inlineStr">
        <is>
          <t>Insumos - Alimentos</t>
        </is>
      </c>
      <c r="N269" t="inlineStr">
        <is>
          <t>5483</t>
        </is>
      </c>
      <c r="O269" t="inlineStr">
        <is>
          <t>Documentação Aprovada</t>
        </is>
      </c>
      <c r="P269" t="inlineStr">
        <is>
          <t>Aprovado Diretoria</t>
        </is>
      </c>
      <c r="Q269" t="inlineStr">
        <is>
          <t>Aprovado Caixa</t>
        </is>
      </c>
      <c r="R269" t="inlineStr">
        <is>
          <t>Pago</t>
        </is>
      </c>
      <c r="S269" t="n">
        <v>226</v>
      </c>
      <c r="T269" t="inlineStr">
        <is>
          <t>The Cavern - Kamino</t>
        </is>
      </c>
    </row>
    <row r="270">
      <c r="A270" t="n">
        <v>202427</v>
      </c>
      <c r="B270" t="n">
        <v>176</v>
      </c>
      <c r="C270" t="inlineStr">
        <is>
          <t>The Cavern</t>
        </is>
      </c>
      <c r="D270" t="inlineStr">
        <is>
          <t>FABIAN MATIAS MAGIOLA MAESO</t>
        </is>
      </c>
      <c r="E270" t="n">
        <v>258.29</v>
      </c>
      <c r="F270" s="27" t="n">
        <v>46063</v>
      </c>
      <c r="G270" s="27" t="n">
        <v>46063</v>
      </c>
      <c r="H270" s="27" t="n">
        <v>46063</v>
      </c>
      <c r="I270" s="27" t="n">
        <v>46023</v>
      </c>
      <c r="J270" s="27" t="n">
        <v>46051</v>
      </c>
      <c r="K270" t="inlineStr">
        <is>
          <t>Transferência Bancária ou Pix</t>
        </is>
      </c>
      <c r="L270" t="inlineStr">
        <is>
          <t>Mão de Obra - Encargos e Provisões</t>
        </is>
      </c>
      <c r="M270" t="inlineStr">
        <is>
          <t xml:space="preserve">  -  Multa Rescisória</t>
        </is>
      </c>
      <c r="N270" t="inlineStr">
        <is>
          <t>25829 012026</t>
        </is>
      </c>
      <c r="O270" t="inlineStr">
        <is>
          <t>Documentação Aprovada</t>
        </is>
      </c>
      <c r="P270" t="inlineStr">
        <is>
          <t>Aprovado Diretoria</t>
        </is>
      </c>
      <c r="Q270" t="inlineStr">
        <is>
          <t>Aprovado Caixa</t>
        </is>
      </c>
      <c r="R270" t="inlineStr">
        <is>
          <t>Pago</t>
        </is>
      </c>
      <c r="S270" t="n">
        <v>226</v>
      </c>
      <c r="T270" t="inlineStr">
        <is>
          <t>The Cavern - Kamino</t>
        </is>
      </c>
    </row>
    <row r="271">
      <c r="A271" t="n">
        <v>202719</v>
      </c>
      <c r="B271" t="n">
        <v>176</v>
      </c>
      <c r="C271" t="inlineStr">
        <is>
          <t>The Cavern</t>
        </is>
      </c>
      <c r="D271" t="inlineStr">
        <is>
          <t>LEVITARE - INDUSTRIA E COMERCIO DE LATICINIOS LTDA</t>
        </is>
      </c>
      <c r="E271" t="n">
        <v>501.54</v>
      </c>
      <c r="F271" s="27" t="n">
        <v>46064</v>
      </c>
      <c r="G271" s="27" t="n">
        <v>46063</v>
      </c>
      <c r="H271" s="27" t="n">
        <v>46063</v>
      </c>
      <c r="I271" s="27" t="n">
        <v>46036</v>
      </c>
      <c r="J271" s="27" t="n">
        <v>46052</v>
      </c>
      <c r="K271" t="inlineStr">
        <is>
          <t>Boleto Bancário</t>
        </is>
      </c>
      <c r="L271" t="inlineStr">
        <is>
          <t>Custo Mercadoria Vendida</t>
        </is>
      </c>
      <c r="M271" t="inlineStr">
        <is>
          <t>Insumos - Alimentos</t>
        </is>
      </c>
      <c r="N271" t="inlineStr">
        <is>
          <t>279253</t>
        </is>
      </c>
      <c r="O271" t="inlineStr">
        <is>
          <t>Documentação Aprovada</t>
        </is>
      </c>
      <c r="P271" t="inlineStr">
        <is>
          <t>Aprovado Diretoria</t>
        </is>
      </c>
      <c r="Q271" t="inlineStr">
        <is>
          <t>Aprovado Caixa</t>
        </is>
      </c>
      <c r="R271" t="inlineStr">
        <is>
          <t>Pago</t>
        </is>
      </c>
      <c r="S271" t="n">
        <v>226</v>
      </c>
      <c r="T271" t="inlineStr">
        <is>
          <t>The Cavern - Kamino</t>
        </is>
      </c>
    </row>
    <row r="272">
      <c r="A272" t="n">
        <v>202915</v>
      </c>
      <c r="B272" t="n">
        <v>176</v>
      </c>
      <c r="C272" t="inlineStr">
        <is>
          <t>The Cavern</t>
        </is>
      </c>
      <c r="D272" t="inlineStr">
        <is>
          <t xml:space="preserve">MS FRANGOS LTDA </t>
        </is>
      </c>
      <c r="E272" t="n">
        <v>363.22</v>
      </c>
      <c r="F272" s="27" t="n">
        <v>46064</v>
      </c>
      <c r="G272" s="27" t="n">
        <v>46063</v>
      </c>
      <c r="H272" s="27" t="n">
        <v>46063</v>
      </c>
      <c r="I272" s="27" t="n">
        <v>46049</v>
      </c>
      <c r="J272" s="27" t="n">
        <v>46053</v>
      </c>
      <c r="K272" t="inlineStr">
        <is>
          <t>Boleto Bancário</t>
        </is>
      </c>
      <c r="L272" t="inlineStr">
        <is>
          <t>Custo Mercadoria Vendida</t>
        </is>
      </c>
      <c r="M272" t="inlineStr">
        <is>
          <t>Insumos - Alimentos</t>
        </is>
      </c>
      <c r="N272" t="inlineStr">
        <is>
          <t>5482</t>
        </is>
      </c>
      <c r="O272" t="inlineStr">
        <is>
          <t>Documentação Aprovada</t>
        </is>
      </c>
      <c r="P272" t="inlineStr">
        <is>
          <t>Aprovado Diretoria</t>
        </is>
      </c>
      <c r="Q272" t="inlineStr">
        <is>
          <t>Aprovado Caixa</t>
        </is>
      </c>
      <c r="R272" t="inlineStr">
        <is>
          <t>Pago</t>
        </is>
      </c>
      <c r="S272" t="n">
        <v>226</v>
      </c>
      <c r="T272" t="inlineStr">
        <is>
          <t>The Cavern - Kamino</t>
        </is>
      </c>
    </row>
    <row r="273">
      <c r="A273" t="n">
        <v>203451</v>
      </c>
      <c r="B273" t="n">
        <v>176</v>
      </c>
      <c r="C273" t="inlineStr">
        <is>
          <t>The Cavern</t>
        </is>
      </c>
      <c r="D273" t="inlineStr">
        <is>
          <t>MAIKI SOUZA CHAVES</t>
        </is>
      </c>
      <c r="E273" t="n">
        <v>431.48</v>
      </c>
      <c r="F273" s="27" t="n">
        <v>46063</v>
      </c>
      <c r="G273" s="27" t="n">
        <v>46063</v>
      </c>
      <c r="H273" s="27" t="n">
        <v>46063</v>
      </c>
      <c r="I273" s="27" t="n">
        <v>46054</v>
      </c>
      <c r="J273" s="27" t="n">
        <v>46056</v>
      </c>
      <c r="K273" t="inlineStr">
        <is>
          <t>Transferência Bancária ou Pix</t>
        </is>
      </c>
      <c r="L273" t="inlineStr">
        <is>
          <t>Mão de Obra - Benefícios</t>
        </is>
      </c>
      <c r="M273" t="inlineStr">
        <is>
          <t xml:space="preserve">  -  Vale-transporte</t>
        </is>
      </c>
      <c r="N273" t="inlineStr">
        <is>
          <t>43148 022026</t>
        </is>
      </c>
      <c r="O273" t="inlineStr">
        <is>
          <t>Documentação Aprovada</t>
        </is>
      </c>
      <c r="P273" t="inlineStr">
        <is>
          <t>Aprovado Diretoria</t>
        </is>
      </c>
      <c r="Q273" t="inlineStr">
        <is>
          <t>Aprovado Caixa</t>
        </is>
      </c>
      <c r="R273" t="inlineStr">
        <is>
          <t>Pago</t>
        </is>
      </c>
      <c r="S273" t="n">
        <v>226</v>
      </c>
      <c r="T273" t="inlineStr">
        <is>
          <t>The Cavern - Kamino</t>
        </is>
      </c>
    </row>
    <row r="274">
      <c r="A274" t="n">
        <v>203415</v>
      </c>
      <c r="B274" t="n">
        <v>176</v>
      </c>
      <c r="C274" t="inlineStr">
        <is>
          <t>The Cavern</t>
        </is>
      </c>
      <c r="D274" t="inlineStr">
        <is>
          <t xml:space="preserve">SABRINA MOURA DE SOUSA </t>
        </is>
      </c>
      <c r="E274" t="n">
        <v>248.4</v>
      </c>
      <c r="F274" s="27" t="n">
        <v>46063</v>
      </c>
      <c r="G274" s="27" t="n">
        <v>46063</v>
      </c>
      <c r="H274" s="27" t="n">
        <v>46063</v>
      </c>
      <c r="I274" s="27" t="n">
        <v>46054</v>
      </c>
      <c r="J274" s="27" t="n">
        <v>46056</v>
      </c>
      <c r="K274" t="inlineStr">
        <is>
          <t>Transferência Bancária ou Pix</t>
        </is>
      </c>
      <c r="L274" t="inlineStr">
        <is>
          <t>Mão de Obra - Benefícios</t>
        </is>
      </c>
      <c r="M274" t="inlineStr">
        <is>
          <t xml:space="preserve">  -  Vale-transporte</t>
        </is>
      </c>
      <c r="N274" t="inlineStr">
        <is>
          <t>24840 022026</t>
        </is>
      </c>
      <c r="O274" t="inlineStr">
        <is>
          <t>Documentação Aprovada</t>
        </is>
      </c>
      <c r="P274" t="inlineStr">
        <is>
          <t>Aprovado Diretoria</t>
        </is>
      </c>
      <c r="Q274" t="inlineStr">
        <is>
          <t>Aprovado Caixa</t>
        </is>
      </c>
      <c r="R274" t="inlineStr">
        <is>
          <t>Pago</t>
        </is>
      </c>
      <c r="S274" t="n">
        <v>226</v>
      </c>
      <c r="T274" t="inlineStr">
        <is>
          <t>The Cavern - Kamino</t>
        </is>
      </c>
    </row>
    <row r="275">
      <c r="A275" t="n">
        <v>193798</v>
      </c>
      <c r="B275" t="n">
        <v>176</v>
      </c>
      <c r="C275" t="inlineStr">
        <is>
          <t>The Cavern</t>
        </is>
      </c>
      <c r="D275" t="inlineStr">
        <is>
          <t>B.B DISTRIBUIDORA DE CARNES LTDA</t>
        </is>
      </c>
      <c r="E275" t="n">
        <v>862.92</v>
      </c>
      <c r="F275" s="27" t="n">
        <v>46064</v>
      </c>
      <c r="G275" s="27" t="n">
        <v>46063</v>
      </c>
      <c r="H275" s="27" t="n">
        <v>46063</v>
      </c>
      <c r="I275" s="27" t="n">
        <v>46036</v>
      </c>
      <c r="J275" s="27" t="n">
        <v>46038</v>
      </c>
      <c r="K275" t="inlineStr">
        <is>
          <t>Boleto Bancário</t>
        </is>
      </c>
      <c r="L275" t="inlineStr">
        <is>
          <t>Custo Mercadoria Vendida</t>
        </is>
      </c>
      <c r="M275" t="inlineStr">
        <is>
          <t>Insumos - Alimentos</t>
        </is>
      </c>
      <c r="N275" t="inlineStr">
        <is>
          <t>412159</t>
        </is>
      </c>
      <c r="O275" t="inlineStr">
        <is>
          <t>Documentação Aprovada</t>
        </is>
      </c>
      <c r="P275" t="inlineStr">
        <is>
          <t>Aprovado Diretoria</t>
        </is>
      </c>
      <c r="Q275" t="inlineStr">
        <is>
          <t>Aprovado Caixa</t>
        </is>
      </c>
      <c r="R275" t="inlineStr">
        <is>
          <t>Pago</t>
        </is>
      </c>
      <c r="S275" t="n">
        <v>226</v>
      </c>
      <c r="T275" t="inlineStr">
        <is>
          <t>The Cavern - Kamino</t>
        </is>
      </c>
    </row>
    <row r="276">
      <c r="A276" t="n">
        <v>194102</v>
      </c>
      <c r="B276" t="n">
        <v>176</v>
      </c>
      <c r="C276" t="inlineStr">
        <is>
          <t>The Cavern</t>
        </is>
      </c>
      <c r="D276" t="inlineStr">
        <is>
          <t>30.365.122 HIDEKI HENRIQUE KAWAMOTO</t>
        </is>
      </c>
      <c r="E276" t="n">
        <v>275</v>
      </c>
      <c r="F276" s="27" t="n">
        <v>46064</v>
      </c>
      <c r="G276" s="27" t="n">
        <v>46063</v>
      </c>
      <c r="H276" s="27" t="n">
        <v>46063</v>
      </c>
      <c r="I276" s="27" t="n">
        <v>46039</v>
      </c>
      <c r="J276" s="27" t="n">
        <v>46041</v>
      </c>
      <c r="K276" t="inlineStr">
        <is>
          <t>Boleto Bancário</t>
        </is>
      </c>
      <c r="L276" t="inlineStr">
        <is>
          <t>Custo Mercadoria Vendida</t>
        </is>
      </c>
      <c r="M276" t="inlineStr">
        <is>
          <t>Insumos - Alimentos</t>
        </is>
      </c>
      <c r="N276" t="inlineStr">
        <is>
          <t>1707</t>
        </is>
      </c>
      <c r="O276" t="inlineStr">
        <is>
          <t>Documentação Aprovada</t>
        </is>
      </c>
      <c r="P276" t="inlineStr">
        <is>
          <t>Aprovado Diretoria</t>
        </is>
      </c>
      <c r="Q276" t="inlineStr">
        <is>
          <t>Aprovado Caixa</t>
        </is>
      </c>
      <c r="R276" t="inlineStr">
        <is>
          <t>Pago</t>
        </is>
      </c>
      <c r="S276" t="n">
        <v>226</v>
      </c>
      <c r="T276" t="inlineStr">
        <is>
          <t>The Cavern - Kamino</t>
        </is>
      </c>
    </row>
    <row r="277">
      <c r="A277" t="n">
        <v>194671</v>
      </c>
      <c r="B277" t="n">
        <v>176</v>
      </c>
      <c r="C277" t="inlineStr">
        <is>
          <t>The Cavern</t>
        </is>
      </c>
      <c r="D277" t="inlineStr">
        <is>
          <t>PROAUTO INDUSTRIA QUIMICA EIRELI</t>
        </is>
      </c>
      <c r="E277" t="n">
        <v>603.73</v>
      </c>
      <c r="F277" s="27" t="n">
        <v>46064</v>
      </c>
      <c r="G277" s="27" t="n">
        <v>46063</v>
      </c>
      <c r="H277" s="27" t="n">
        <v>46063</v>
      </c>
      <c r="I277" s="27" t="n">
        <v>46043</v>
      </c>
      <c r="J277" s="27" t="n">
        <v>46043</v>
      </c>
      <c r="K277" t="inlineStr">
        <is>
          <t>Boleto Bancário</t>
        </is>
      </c>
      <c r="L277" t="inlineStr">
        <is>
          <t>Utilidades</t>
        </is>
      </c>
      <c r="M277" t="inlineStr">
        <is>
          <t>Higiene e Limpeza</t>
        </is>
      </c>
      <c r="N277" t="inlineStr">
        <is>
          <t>150549</t>
        </is>
      </c>
      <c r="O277" t="inlineStr">
        <is>
          <t>Documentação Aprovada</t>
        </is>
      </c>
      <c r="P277" t="inlineStr">
        <is>
          <t>Aprovado Diretoria</t>
        </is>
      </c>
      <c r="Q277" t="inlineStr">
        <is>
          <t>Aprovado Caixa</t>
        </is>
      </c>
      <c r="R277" t="inlineStr">
        <is>
          <t>Pago</t>
        </is>
      </c>
      <c r="S277" t="n">
        <v>226</v>
      </c>
      <c r="T277" t="inlineStr">
        <is>
          <t>The Cavern - Kamino</t>
        </is>
      </c>
    </row>
    <row r="278">
      <c r="A278" t="n">
        <v>192497</v>
      </c>
      <c r="B278" t="n">
        <v>176</v>
      </c>
      <c r="C278" t="inlineStr">
        <is>
          <t>The Cavern</t>
        </is>
      </c>
      <c r="D278" t="inlineStr">
        <is>
          <t>WPP COMERCIO DE CARNES LTDA</t>
        </is>
      </c>
      <c r="E278" t="n">
        <v>662.72</v>
      </c>
      <c r="F278" s="27" t="n">
        <v>46064</v>
      </c>
      <c r="G278" s="27" t="n">
        <v>46063</v>
      </c>
      <c r="H278" s="27" t="n">
        <v>46063</v>
      </c>
      <c r="I278" s="27" t="n">
        <v>46036</v>
      </c>
      <c r="J278" s="27" t="n">
        <v>46036</v>
      </c>
      <c r="K278" t="inlineStr">
        <is>
          <t>Boleto Bancário</t>
        </is>
      </c>
      <c r="L278" t="inlineStr">
        <is>
          <t>Custo Mercadoria Vendida</t>
        </is>
      </c>
      <c r="M278" t="inlineStr">
        <is>
          <t>Insumos - Alimentos</t>
        </is>
      </c>
      <c r="N278" t="inlineStr">
        <is>
          <t>76711</t>
        </is>
      </c>
      <c r="O278" t="inlineStr">
        <is>
          <t>Documentação Aprovada</t>
        </is>
      </c>
      <c r="P278" t="inlineStr">
        <is>
          <t>Aprovado Diretoria</t>
        </is>
      </c>
      <c r="Q278" t="inlineStr">
        <is>
          <t>Aprovado Caixa</t>
        </is>
      </c>
      <c r="R278" t="inlineStr">
        <is>
          <t>Pago</t>
        </is>
      </c>
      <c r="S278" t="n">
        <v>226</v>
      </c>
      <c r="T278" t="inlineStr">
        <is>
          <t>The Cavern - Kamino</t>
        </is>
      </c>
    </row>
    <row r="279">
      <c r="A279" t="n">
        <v>192310</v>
      </c>
      <c r="B279" t="n">
        <v>176</v>
      </c>
      <c r="C279" t="inlineStr">
        <is>
          <t>The Cavern</t>
        </is>
      </c>
      <c r="D279" t="inlineStr">
        <is>
          <t xml:space="preserve">HORTIFRUTI DO CHEF LTDA </t>
        </is>
      </c>
      <c r="E279" t="n">
        <v>542.45</v>
      </c>
      <c r="F279" s="27" t="n">
        <v>46063</v>
      </c>
      <c r="G279" s="27" t="n">
        <v>46063</v>
      </c>
      <c r="H279" s="27" t="n">
        <v>46063</v>
      </c>
      <c r="I279" s="27" t="n">
        <v>46035</v>
      </c>
      <c r="J279" s="27" t="n">
        <v>46036</v>
      </c>
      <c r="K279" t="inlineStr">
        <is>
          <t>Boleto Bancário</t>
        </is>
      </c>
      <c r="L279" t="inlineStr">
        <is>
          <t>Custo Mercadoria Vendida</t>
        </is>
      </c>
      <c r="M279" t="inlineStr">
        <is>
          <t>Insumos - Alimentos</t>
        </is>
      </c>
      <c r="N279" t="inlineStr">
        <is>
          <t>28389</t>
        </is>
      </c>
      <c r="O279" t="inlineStr">
        <is>
          <t>Documentação Aprovada</t>
        </is>
      </c>
      <c r="P279" t="inlineStr">
        <is>
          <t>Aprovado Diretoria</t>
        </is>
      </c>
      <c r="Q279" t="inlineStr">
        <is>
          <t>Aprovado Caixa</t>
        </is>
      </c>
      <c r="R279" t="inlineStr">
        <is>
          <t>Pago</t>
        </is>
      </c>
      <c r="S279" t="n">
        <v>226</v>
      </c>
      <c r="T279" t="inlineStr">
        <is>
          <t>The Cavern - Kamino</t>
        </is>
      </c>
    </row>
    <row r="280">
      <c r="A280" t="n">
        <v>192369</v>
      </c>
      <c r="B280" t="n">
        <v>176</v>
      </c>
      <c r="C280" t="inlineStr">
        <is>
          <t>The Cavern</t>
        </is>
      </c>
      <c r="D280" t="inlineStr">
        <is>
          <t>EMPORIO M&amp;L COMERCIO DE ALIM E BEBIDAS LTDA</t>
        </is>
      </c>
      <c r="E280" t="n">
        <v>1909.18</v>
      </c>
      <c r="F280" s="27" t="n">
        <v>46063</v>
      </c>
      <c r="G280" s="27" t="n">
        <v>46063</v>
      </c>
      <c r="H280" s="27" t="n">
        <v>46063</v>
      </c>
      <c r="I280" s="27" t="n">
        <v>46035</v>
      </c>
      <c r="J280" s="27" t="n">
        <v>46036</v>
      </c>
      <c r="K280" t="inlineStr">
        <is>
          <t>Boleto Bancário</t>
        </is>
      </c>
      <c r="L280" t="inlineStr">
        <is>
          <t>Custo Mercadoria Vendida</t>
        </is>
      </c>
      <c r="M280" t="inlineStr">
        <is>
          <t>Insumos - Alimentos</t>
        </is>
      </c>
      <c r="N280" t="inlineStr">
        <is>
          <t>491225</t>
        </is>
      </c>
      <c r="O280" t="inlineStr">
        <is>
          <t>Documentação Aprovada</t>
        </is>
      </c>
      <c r="P280" t="inlineStr">
        <is>
          <t>Aprovado Diretoria</t>
        </is>
      </c>
      <c r="Q280" t="inlineStr">
        <is>
          <t>Aprovado Caixa</t>
        </is>
      </c>
      <c r="R280" t="inlineStr">
        <is>
          <t>Pago</t>
        </is>
      </c>
      <c r="S280" t="n">
        <v>226</v>
      </c>
      <c r="T280" t="inlineStr">
        <is>
          <t>The Cavern - Kamino</t>
        </is>
      </c>
    </row>
    <row r="281">
      <c r="A281" t="n">
        <v>192249</v>
      </c>
      <c r="B281" t="n">
        <v>176</v>
      </c>
      <c r="C281" t="inlineStr">
        <is>
          <t>The Cavern</t>
        </is>
      </c>
      <c r="D281" t="inlineStr">
        <is>
          <t>CECILIA TSUYACO ARAKI SILVA LTDA</t>
        </is>
      </c>
      <c r="E281" t="n">
        <v>810</v>
      </c>
      <c r="F281" s="27" t="n">
        <v>46063</v>
      </c>
      <c r="G281" s="27" t="n">
        <v>46063</v>
      </c>
      <c r="H281" s="27" t="n">
        <v>46063</v>
      </c>
      <c r="I281" s="27" t="n">
        <v>46035</v>
      </c>
      <c r="J281" s="27" t="n">
        <v>46036</v>
      </c>
      <c r="K281" t="inlineStr">
        <is>
          <t>Boleto Bancário</t>
        </is>
      </c>
      <c r="L281" t="inlineStr">
        <is>
          <t>Custo Mercadoria Vendida</t>
        </is>
      </c>
      <c r="M281" t="inlineStr">
        <is>
          <t>Insumos - Alimentos</t>
        </is>
      </c>
      <c r="N281" t="inlineStr">
        <is>
          <t>384985</t>
        </is>
      </c>
      <c r="O281" t="inlineStr">
        <is>
          <t>Documentação Aprovada</t>
        </is>
      </c>
      <c r="P281" t="inlineStr">
        <is>
          <t>Aprovado Diretoria</t>
        </is>
      </c>
      <c r="Q281" t="inlineStr">
        <is>
          <t>Aprovado Caixa</t>
        </is>
      </c>
      <c r="R281" t="inlineStr">
        <is>
          <t>Pago</t>
        </is>
      </c>
      <c r="S281" t="n">
        <v>226</v>
      </c>
      <c r="T281" t="inlineStr">
        <is>
          <t>The Cavern - Kamino</t>
        </is>
      </c>
    </row>
    <row r="282">
      <c r="A282" t="n">
        <v>192296</v>
      </c>
      <c r="B282" t="n">
        <v>176</v>
      </c>
      <c r="C282" t="inlineStr">
        <is>
          <t>The Cavern</t>
        </is>
      </c>
      <c r="D282" t="inlineStr">
        <is>
          <t>MARIO PEDRO FELICIANO - HORTIFRUTI</t>
        </is>
      </c>
      <c r="E282" t="n">
        <v>689.85</v>
      </c>
      <c r="F282" s="27" t="n">
        <v>46063</v>
      </c>
      <c r="G282" s="27" t="n">
        <v>46063</v>
      </c>
      <c r="H282" s="27" t="n">
        <v>46063</v>
      </c>
      <c r="I282" s="27" t="n">
        <v>46035</v>
      </c>
      <c r="J282" s="27" t="n">
        <v>46036</v>
      </c>
      <c r="K282" t="inlineStr">
        <is>
          <t>Boleto Bancário</t>
        </is>
      </c>
      <c r="L282" t="inlineStr">
        <is>
          <t>Custo Mercadoria Vendida</t>
        </is>
      </c>
      <c r="M282" t="inlineStr">
        <is>
          <t>Insumos - Alimentos</t>
        </is>
      </c>
      <c r="N282" t="inlineStr">
        <is>
          <t>464591</t>
        </is>
      </c>
      <c r="O282" t="inlineStr">
        <is>
          <t>Documentação Aprovada</t>
        </is>
      </c>
      <c r="P282" t="inlineStr">
        <is>
          <t>Aprovado Diretoria</t>
        </is>
      </c>
      <c r="Q282" t="inlineStr">
        <is>
          <t>Aprovado Caixa</t>
        </is>
      </c>
      <c r="R282" t="inlineStr">
        <is>
          <t>Pago</t>
        </is>
      </c>
      <c r="S282" t="n">
        <v>226</v>
      </c>
      <c r="T282" t="inlineStr">
        <is>
          <t>The Cavern - Kamino</t>
        </is>
      </c>
    </row>
    <row r="283">
      <c r="A283" t="n">
        <v>192422</v>
      </c>
      <c r="B283" t="n">
        <v>176</v>
      </c>
      <c r="C283" t="inlineStr">
        <is>
          <t>The Cavern</t>
        </is>
      </c>
      <c r="D283" t="inlineStr">
        <is>
          <t>NOVA COMERCIAL PESCADOS LTDA</t>
        </is>
      </c>
      <c r="E283" t="n">
        <v>3734.8</v>
      </c>
      <c r="F283" s="27" t="n">
        <v>46064</v>
      </c>
      <c r="G283" s="27" t="n">
        <v>46063</v>
      </c>
      <c r="H283" s="27" t="n">
        <v>46063</v>
      </c>
      <c r="I283" s="27" t="n">
        <v>46036</v>
      </c>
      <c r="J283" s="27" t="n">
        <v>46036</v>
      </c>
      <c r="K283" t="inlineStr">
        <is>
          <t>Boleto Bancário</t>
        </is>
      </c>
      <c r="L283" t="inlineStr">
        <is>
          <t>Custo Mercadoria Vendida</t>
        </is>
      </c>
      <c r="M283" t="inlineStr">
        <is>
          <t>Insumos - Alimentos</t>
        </is>
      </c>
      <c r="N283" t="inlineStr">
        <is>
          <t>30593</t>
        </is>
      </c>
      <c r="O283" t="inlineStr">
        <is>
          <t>Documentação Aprovada</t>
        </is>
      </c>
      <c r="P283" t="inlineStr">
        <is>
          <t>Aprovado Diretoria</t>
        </is>
      </c>
      <c r="Q283" t="inlineStr">
        <is>
          <t>Aprovado Caixa</t>
        </is>
      </c>
      <c r="R283" t="inlineStr">
        <is>
          <t>Pago</t>
        </is>
      </c>
      <c r="S283" t="n">
        <v>226</v>
      </c>
      <c r="T283" t="inlineStr">
        <is>
          <t>The Cavern - Kamino</t>
        </is>
      </c>
    </row>
    <row r="284">
      <c r="A284" t="n">
        <v>191580</v>
      </c>
      <c r="B284" t="n">
        <v>176</v>
      </c>
      <c r="C284" t="inlineStr">
        <is>
          <t>The Cavern</t>
        </is>
      </c>
      <c r="D284" t="inlineStr">
        <is>
          <t>CECILIA TSUYACO ARAKI SILVA LTDA</t>
        </is>
      </c>
      <c r="E284" t="n">
        <v>559</v>
      </c>
      <c r="F284" s="27" t="n">
        <v>46062</v>
      </c>
      <c r="G284" s="27" t="n">
        <v>46062</v>
      </c>
      <c r="H284" s="27" t="n">
        <v>46062</v>
      </c>
      <c r="I284" s="27" t="n">
        <v>46034</v>
      </c>
      <c r="J284" s="27" t="n">
        <v>46035</v>
      </c>
      <c r="K284" t="inlineStr">
        <is>
          <t>Boleto Bancário</t>
        </is>
      </c>
      <c r="L284" t="inlineStr">
        <is>
          <t>Custo Mercadoria Vendida</t>
        </is>
      </c>
      <c r="M284" t="inlineStr">
        <is>
          <t>Insumos - Alimentos</t>
        </is>
      </c>
      <c r="N284" t="inlineStr">
        <is>
          <t>384896</t>
        </is>
      </c>
      <c r="O284" t="inlineStr">
        <is>
          <t>Documentação Aprovada</t>
        </is>
      </c>
      <c r="P284" t="inlineStr">
        <is>
          <t>Aprovado Diretoria</t>
        </is>
      </c>
      <c r="Q284" t="inlineStr">
        <is>
          <t>Aprovado Caixa</t>
        </is>
      </c>
      <c r="R284" t="inlineStr">
        <is>
          <t>Pago</t>
        </is>
      </c>
      <c r="S284" t="n">
        <v>226</v>
      </c>
      <c r="T284" t="inlineStr">
        <is>
          <t>The Cavern - Kamino</t>
        </is>
      </c>
    </row>
    <row r="285">
      <c r="A285" t="n">
        <v>206629</v>
      </c>
      <c r="B285" t="n">
        <v>176</v>
      </c>
      <c r="C285" t="inlineStr">
        <is>
          <t>The Cavern</t>
        </is>
      </c>
      <c r="D285" t="inlineStr">
        <is>
          <t>FUNCIONARIO EXTRA</t>
        </is>
      </c>
      <c r="E285" t="n">
        <v>31156.99</v>
      </c>
      <c r="F285" s="27" t="n">
        <v>46065</v>
      </c>
      <c r="G285" s="27" t="n">
        <v>46062</v>
      </c>
      <c r="H285" s="27" t="n">
        <v>46062</v>
      </c>
      <c r="I285" s="27" t="n">
        <v>46052</v>
      </c>
      <c r="J285" s="27" t="n">
        <v>46052</v>
      </c>
      <c r="K285" t="inlineStr">
        <is>
          <t>Transferência Bancária ou Pix</t>
        </is>
      </c>
      <c r="L285" t="inlineStr">
        <is>
          <t>Mão de Obra - Extra</t>
        </is>
      </c>
      <c r="M285" t="inlineStr">
        <is>
          <t>Mão de Obra Extra</t>
        </is>
      </c>
      <c r="N285" t="inlineStr">
        <is>
          <t>202601</t>
        </is>
      </c>
      <c r="O285" t="inlineStr">
        <is>
          <t>Documentação Aprovada</t>
        </is>
      </c>
      <c r="P285" t="inlineStr">
        <is>
          <t>Aprovado Diretoria</t>
        </is>
      </c>
      <c r="Q285" t="inlineStr">
        <is>
          <t>Aprovado Caixa</t>
        </is>
      </c>
      <c r="R285" t="inlineStr">
        <is>
          <t>Pago</t>
        </is>
      </c>
    </row>
    <row r="286">
      <c r="A286" t="n">
        <v>207136</v>
      </c>
      <c r="B286" t="n">
        <v>176</v>
      </c>
      <c r="C286" t="inlineStr">
        <is>
          <t>The Cavern</t>
        </is>
      </c>
      <c r="D286" t="inlineStr">
        <is>
          <t>FUNCIONARIO EXTRA</t>
        </is>
      </c>
      <c r="E286" t="n">
        <v>3550</v>
      </c>
      <c r="F286" s="27" t="n">
        <v>46066</v>
      </c>
      <c r="G286" s="27" t="n">
        <v>46071</v>
      </c>
      <c r="H286" s="27" t="n">
        <v>46062</v>
      </c>
      <c r="I286" s="27" t="n">
        <v>46066</v>
      </c>
      <c r="J286" s="27" t="n">
        <v>46066</v>
      </c>
      <c r="K286" t="inlineStr">
        <is>
          <t>Transferência Bancária ou Pix</t>
        </is>
      </c>
      <c r="L286" t="inlineStr">
        <is>
          <t>Mão de Obra - Extra</t>
        </is>
      </c>
      <c r="M286" t="inlineStr">
        <is>
          <t>Mão de Obra Extra</t>
        </is>
      </c>
      <c r="N286" t="inlineStr">
        <is>
          <t>09022026</t>
        </is>
      </c>
      <c r="O286" t="inlineStr">
        <is>
          <t>Documentação Aprovada</t>
        </is>
      </c>
      <c r="P286" t="inlineStr">
        <is>
          <t>Aprovado Diretoria</t>
        </is>
      </c>
      <c r="Q286" t="inlineStr">
        <is>
          <t>Aprovado Caixa</t>
        </is>
      </c>
      <c r="R286" t="inlineStr">
        <is>
          <t>Pago</t>
        </is>
      </c>
      <c r="S286" t="n">
        <v>226</v>
      </c>
      <c r="T286" t="inlineStr">
        <is>
          <t>The Cavern - Kamino</t>
        </is>
      </c>
    </row>
    <row r="287">
      <c r="A287" t="n">
        <v>194715</v>
      </c>
      <c r="B287" t="n">
        <v>176</v>
      </c>
      <c r="C287" t="inlineStr">
        <is>
          <t>The Cavern</t>
        </is>
      </c>
      <c r="D287" t="inlineStr">
        <is>
          <t>KING COMERCIO E IMPORTACAO DE BEBIDAS LTDA</t>
        </is>
      </c>
      <c r="E287" t="n">
        <v>478.48</v>
      </c>
      <c r="F287" s="27" t="n">
        <v>46062</v>
      </c>
      <c r="G287" s="27" t="n">
        <v>46062</v>
      </c>
      <c r="H287" s="27" t="n">
        <v>46062</v>
      </c>
      <c r="I287" s="27" t="n">
        <v>46041</v>
      </c>
      <c r="J287" s="27" t="n">
        <v>46043</v>
      </c>
      <c r="K287" t="inlineStr">
        <is>
          <t>Boleto Bancário</t>
        </is>
      </c>
      <c r="L287" t="inlineStr">
        <is>
          <t>Custo Mercadoria Vendida</t>
        </is>
      </c>
      <c r="M287" t="inlineStr">
        <is>
          <t>Insumos - Bebidas</t>
        </is>
      </c>
      <c r="N287" t="inlineStr">
        <is>
          <t>124868</t>
        </is>
      </c>
      <c r="O287" t="inlineStr">
        <is>
          <t>Documentação Aprovada</t>
        </is>
      </c>
      <c r="P287" t="inlineStr">
        <is>
          <t>Aprovado Diretoria</t>
        </is>
      </c>
      <c r="Q287" t="inlineStr">
        <is>
          <t>Aprovado Caixa</t>
        </is>
      </c>
      <c r="R287" t="inlineStr">
        <is>
          <t>Pago</t>
        </is>
      </c>
      <c r="S287" t="n">
        <v>226</v>
      </c>
      <c r="T287" t="inlineStr">
        <is>
          <t>The Cavern - Kamino</t>
        </is>
      </c>
    </row>
    <row r="288">
      <c r="A288" t="n">
        <v>197000</v>
      </c>
      <c r="B288" t="n">
        <v>176</v>
      </c>
      <c r="C288" t="inlineStr">
        <is>
          <t>The Cavern</t>
        </is>
      </c>
      <c r="D288" t="inlineStr">
        <is>
          <t>PSSS LTDA</t>
        </is>
      </c>
      <c r="E288" t="n">
        <v>1529.88</v>
      </c>
      <c r="F288" s="27" t="n">
        <v>46060</v>
      </c>
      <c r="G288" s="27" t="n">
        <v>46062</v>
      </c>
      <c r="H288" s="27" t="n">
        <v>46062</v>
      </c>
      <c r="I288" s="27" t="n">
        <v>46045</v>
      </c>
      <c r="J288" s="27" t="n">
        <v>46045</v>
      </c>
      <c r="K288" t="inlineStr">
        <is>
          <t>Boleto Bancário</t>
        </is>
      </c>
      <c r="L288" t="inlineStr">
        <is>
          <t>Utilidades</t>
        </is>
      </c>
      <c r="M288" t="inlineStr">
        <is>
          <t>Higiene e Limpeza</t>
        </is>
      </c>
      <c r="N288" t="inlineStr">
        <is>
          <t>3006</t>
        </is>
      </c>
      <c r="O288" t="inlineStr">
        <is>
          <t>Documentação Aprovada</t>
        </is>
      </c>
      <c r="P288" t="inlineStr">
        <is>
          <t>Aprovado Diretoria</t>
        </is>
      </c>
      <c r="Q288" t="inlineStr">
        <is>
          <t>Aprovado Caixa</t>
        </is>
      </c>
      <c r="R288" t="inlineStr">
        <is>
          <t>Pago</t>
        </is>
      </c>
      <c r="S288" t="n">
        <v>226</v>
      </c>
      <c r="T288" t="inlineStr">
        <is>
          <t>The Cavern - Kamino</t>
        </is>
      </c>
    </row>
    <row r="289">
      <c r="A289" t="n">
        <v>198209</v>
      </c>
      <c r="B289" t="n">
        <v>176</v>
      </c>
      <c r="C289" t="inlineStr">
        <is>
          <t>The Cavern</t>
        </is>
      </c>
      <c r="D289" t="inlineStr">
        <is>
          <t>LATICINIOS PIRAMIDE LTDA</t>
        </is>
      </c>
      <c r="E289" t="n">
        <v>250.17</v>
      </c>
      <c r="F289" s="27" t="n">
        <v>46062</v>
      </c>
      <c r="G289" s="27" t="n">
        <v>46062</v>
      </c>
      <c r="H289" s="27" t="n">
        <v>46062</v>
      </c>
      <c r="I289" s="27" t="n">
        <v>46048</v>
      </c>
      <c r="J289" s="27" t="n">
        <v>46049</v>
      </c>
      <c r="K289" t="inlineStr">
        <is>
          <t>Boleto Bancário</t>
        </is>
      </c>
      <c r="L289" t="inlineStr">
        <is>
          <t>Custo Mercadoria Vendida</t>
        </is>
      </c>
      <c r="M289" t="inlineStr">
        <is>
          <t>Insumos - Alimentos</t>
        </is>
      </c>
      <c r="N289" t="inlineStr">
        <is>
          <t>81291</t>
        </is>
      </c>
      <c r="O289" t="inlineStr">
        <is>
          <t>Documentação Aprovada</t>
        </is>
      </c>
      <c r="P289" t="inlineStr">
        <is>
          <t>Aprovado Diretoria</t>
        </is>
      </c>
      <c r="Q289" t="inlineStr">
        <is>
          <t>Aprovado Caixa</t>
        </is>
      </c>
      <c r="R289" t="inlineStr">
        <is>
          <t>Pago</t>
        </is>
      </c>
      <c r="S289" t="n">
        <v>226</v>
      </c>
      <c r="T289" t="inlineStr">
        <is>
          <t>The Cavern - Kamino</t>
        </is>
      </c>
    </row>
    <row r="290">
      <c r="A290" t="n">
        <v>205272</v>
      </c>
      <c r="B290" t="n">
        <v>176</v>
      </c>
      <c r="C290" t="inlineStr">
        <is>
          <t>The Cavern</t>
        </is>
      </c>
      <c r="D290" t="inlineStr">
        <is>
          <t>VIRTUAL MARKET SERVICOS ELETRONICOS LTDA</t>
        </is>
      </c>
      <c r="E290" t="n">
        <v>329.9</v>
      </c>
      <c r="F290" s="27" t="n">
        <v>46062</v>
      </c>
      <c r="G290" s="27" t="n">
        <v>46062</v>
      </c>
      <c r="H290" s="27" t="n">
        <v>46062</v>
      </c>
      <c r="I290" s="27" t="n">
        <v>46059</v>
      </c>
      <c r="J290" s="27" t="n">
        <v>46059</v>
      </c>
      <c r="K290" t="inlineStr">
        <is>
          <t>Boleto Bancário</t>
        </is>
      </c>
      <c r="L290" t="inlineStr">
        <is>
          <t>Informática e TI</t>
        </is>
      </c>
      <c r="M290" t="inlineStr">
        <is>
          <t>Sistemas Gerais - Operacionais</t>
        </is>
      </c>
      <c r="N290" t="inlineStr">
        <is>
          <t>1483</t>
        </is>
      </c>
      <c r="O290" t="inlineStr">
        <is>
          <t>Documentação Aprovada</t>
        </is>
      </c>
      <c r="P290" t="inlineStr">
        <is>
          <t>Aprovado Diretoria</t>
        </is>
      </c>
      <c r="Q290" t="inlineStr">
        <is>
          <t>Aprovado Caixa</t>
        </is>
      </c>
      <c r="R290" t="inlineStr">
        <is>
          <t>Pago</t>
        </is>
      </c>
      <c r="S290" t="n">
        <v>226</v>
      </c>
      <c r="T290" t="inlineStr">
        <is>
          <t>The Cavern - Kamino</t>
        </is>
      </c>
    </row>
    <row r="291">
      <c r="A291" t="n">
        <v>205648</v>
      </c>
      <c r="B291" t="n">
        <v>176</v>
      </c>
      <c r="C291" t="inlineStr">
        <is>
          <t>The Cavern</t>
        </is>
      </c>
      <c r="D291" t="inlineStr">
        <is>
          <t>ISMAEL SANTOS SILVA</t>
        </is>
      </c>
      <c r="E291" t="n">
        <v>1801.41</v>
      </c>
      <c r="F291" s="27" t="n">
        <v>46059</v>
      </c>
      <c r="G291" s="27" t="n">
        <v>46059</v>
      </c>
      <c r="H291" s="27" t="n">
        <v>46059</v>
      </c>
      <c r="I291" s="27" t="n">
        <v>46052</v>
      </c>
      <c r="J291" s="27" t="n"/>
      <c r="L291" t="inlineStr">
        <is>
          <t>Mão de Obra - Salários</t>
        </is>
      </c>
      <c r="M291" t="inlineStr">
        <is>
          <t>MDO CLT - Salário</t>
        </is>
      </c>
      <c r="O291" t="inlineStr">
        <is>
          <t>Documentação Aprovada</t>
        </is>
      </c>
      <c r="P291" t="inlineStr">
        <is>
          <t>Aprovado Diretoria</t>
        </is>
      </c>
      <c r="Q291" t="inlineStr">
        <is>
          <t>Aprovado Caixa</t>
        </is>
      </c>
      <c r="R291" t="inlineStr">
        <is>
          <t>Pago</t>
        </is>
      </c>
      <c r="S291" t="n">
        <v>226</v>
      </c>
      <c r="T291" t="inlineStr">
        <is>
          <t>The Cavern - Kamino</t>
        </is>
      </c>
    </row>
    <row r="292">
      <c r="A292" t="n">
        <v>205600</v>
      </c>
      <c r="B292" t="n">
        <v>176</v>
      </c>
      <c r="C292" t="inlineStr">
        <is>
          <t>The Cavern</t>
        </is>
      </c>
      <c r="D292" t="inlineStr">
        <is>
          <t>VALE TRANSPORTE</t>
        </is>
      </c>
      <c r="E292" t="n">
        <v>318</v>
      </c>
      <c r="F292" s="27" t="n">
        <v>46059</v>
      </c>
      <c r="G292" s="27" t="n">
        <v>46059</v>
      </c>
      <c r="H292" s="27" t="n">
        <v>46059</v>
      </c>
      <c r="I292" s="27" t="n">
        <v>46059</v>
      </c>
      <c r="J292" s="27" t="n">
        <v>46059</v>
      </c>
      <c r="K292" t="inlineStr">
        <is>
          <t>Transferência Bancária ou Pix</t>
        </is>
      </c>
      <c r="L292" t="inlineStr">
        <is>
          <t>Mão de Obra - Benefícios</t>
        </is>
      </c>
      <c r="M292" t="inlineStr">
        <is>
          <t xml:space="preserve">  -  Vale-transporte</t>
        </is>
      </c>
      <c r="N292" t="inlineStr">
        <is>
          <t>332026</t>
        </is>
      </c>
      <c r="O292" t="inlineStr">
        <is>
          <t>Documentação Aprovada</t>
        </is>
      </c>
      <c r="P292" t="inlineStr">
        <is>
          <t>Aprovado Diretoria</t>
        </is>
      </c>
      <c r="Q292" t="inlineStr">
        <is>
          <t>Aprovado Caixa</t>
        </is>
      </c>
      <c r="R292" t="inlineStr">
        <is>
          <t>Pago</t>
        </is>
      </c>
      <c r="S292" t="n">
        <v>226</v>
      </c>
      <c r="T292" t="inlineStr">
        <is>
          <t>The Cavern - Kamino</t>
        </is>
      </c>
    </row>
    <row r="293">
      <c r="A293" t="n">
        <v>205646</v>
      </c>
      <c r="B293" t="n">
        <v>176</v>
      </c>
      <c r="C293" t="inlineStr">
        <is>
          <t>The Cavern</t>
        </is>
      </c>
      <c r="D293" t="inlineStr">
        <is>
          <t xml:space="preserve">CARLOS ALBERTO FERREIRA PIMENTEL </t>
        </is>
      </c>
      <c r="E293" t="n">
        <v>2044.74</v>
      </c>
      <c r="F293" s="27" t="n">
        <v>46059</v>
      </c>
      <c r="G293" s="27" t="n">
        <v>46059</v>
      </c>
      <c r="H293" s="27" t="n">
        <v>46059</v>
      </c>
      <c r="I293" s="27" t="n">
        <v>46052</v>
      </c>
      <c r="J293" s="27" t="n"/>
      <c r="L293" t="inlineStr">
        <is>
          <t>Mão de Obra - Salários</t>
        </is>
      </c>
      <c r="M293" t="inlineStr">
        <is>
          <t>MDO CLT - Salário</t>
        </is>
      </c>
      <c r="O293" t="inlineStr">
        <is>
          <t>Documentação Aprovada</t>
        </is>
      </c>
      <c r="P293" t="inlineStr">
        <is>
          <t>Aprovado Diretoria</t>
        </is>
      </c>
      <c r="Q293" t="inlineStr">
        <is>
          <t>Aprovado Caixa</t>
        </is>
      </c>
      <c r="R293" t="inlineStr">
        <is>
          <t>Pago</t>
        </is>
      </c>
      <c r="S293" t="n">
        <v>226</v>
      </c>
      <c r="T293" t="inlineStr">
        <is>
          <t>The Cavern - Kamino</t>
        </is>
      </c>
    </row>
    <row r="294">
      <c r="A294" t="n">
        <v>205590</v>
      </c>
      <c r="B294" t="n">
        <v>176</v>
      </c>
      <c r="C294" t="inlineStr">
        <is>
          <t>The Cavern</t>
        </is>
      </c>
      <c r="D294" t="inlineStr">
        <is>
          <t>VALE TRANSPORTE</t>
        </is>
      </c>
      <c r="E294" t="n">
        <v>450.24</v>
      </c>
      <c r="F294" s="27" t="n">
        <v>46059</v>
      </c>
      <c r="G294" s="27" t="n">
        <v>46059</v>
      </c>
      <c r="H294" s="27" t="n">
        <v>46059</v>
      </c>
      <c r="I294" s="27" t="n">
        <v>46059</v>
      </c>
      <c r="J294" s="27" t="n">
        <v>46059</v>
      </c>
      <c r="K294" t="inlineStr">
        <is>
          <t>Transferência Bancária ou Pix</t>
        </is>
      </c>
      <c r="L294" t="inlineStr">
        <is>
          <t>Mão de Obra - Benefícios</t>
        </is>
      </c>
      <c r="M294" t="inlineStr">
        <is>
          <t xml:space="preserve">  -  Vale-transporte</t>
        </is>
      </c>
      <c r="N294" t="inlineStr">
        <is>
          <t>322026</t>
        </is>
      </c>
      <c r="O294" t="inlineStr">
        <is>
          <t>Documentação Aprovada</t>
        </is>
      </c>
      <c r="P294" t="inlineStr">
        <is>
          <t>Aprovado Diretoria</t>
        </is>
      </c>
      <c r="Q294" t="inlineStr">
        <is>
          <t>Aprovado Caixa</t>
        </is>
      </c>
      <c r="R294" t="inlineStr">
        <is>
          <t>Pago</t>
        </is>
      </c>
      <c r="S294" t="n">
        <v>226</v>
      </c>
      <c r="T294" t="inlineStr">
        <is>
          <t>The Cavern - Kamino</t>
        </is>
      </c>
    </row>
    <row r="295">
      <c r="A295" t="n">
        <v>205720</v>
      </c>
      <c r="B295" t="n">
        <v>176</v>
      </c>
      <c r="C295" t="inlineStr">
        <is>
          <t>The Cavern</t>
        </is>
      </c>
      <c r="D295" t="inlineStr">
        <is>
          <t>Potencial Servicos Tecnicos</t>
        </is>
      </c>
      <c r="E295" t="n">
        <v>9500</v>
      </c>
      <c r="F295" s="27" t="n">
        <v>46059</v>
      </c>
      <c r="G295" s="27" t="n">
        <v>46059</v>
      </c>
      <c r="H295" s="27" t="n">
        <v>46059</v>
      </c>
      <c r="I295" s="27" t="n">
        <v>46059</v>
      </c>
      <c r="J295" s="27" t="n">
        <v>46059</v>
      </c>
      <c r="K295" t="inlineStr">
        <is>
          <t>Transferência Bancária ou Pix</t>
        </is>
      </c>
      <c r="L295" t="inlineStr">
        <is>
          <t>Manutenção</t>
        </is>
      </c>
      <c r="M295" t="inlineStr">
        <is>
          <t>Manutenção Predial</t>
        </is>
      </c>
      <c r="N295" t="inlineStr">
        <is>
          <t>20260206</t>
        </is>
      </c>
      <c r="O295" t="inlineStr">
        <is>
          <t>Documentação Aprovada</t>
        </is>
      </c>
      <c r="P295" t="inlineStr">
        <is>
          <t>Aprovado Diretoria</t>
        </is>
      </c>
      <c r="Q295" t="inlineStr">
        <is>
          <t>Aprovado Caixa</t>
        </is>
      </c>
      <c r="R295" t="inlineStr">
        <is>
          <t>Pago</t>
        </is>
      </c>
      <c r="S295" t="n">
        <v>226</v>
      </c>
      <c r="T295" t="inlineStr">
        <is>
          <t>The Cavern - Kamino</t>
        </is>
      </c>
    </row>
    <row r="296">
      <c r="A296" t="n">
        <v>205711</v>
      </c>
      <c r="B296" t="n">
        <v>176</v>
      </c>
      <c r="C296" t="inlineStr">
        <is>
          <t>The Cavern</t>
        </is>
      </c>
      <c r="D296" t="inlineStr">
        <is>
          <t>HARMAN DO BRASIL INDUSTRIA ELETRONICA E PARTICIPACOES LTDA</t>
        </is>
      </c>
      <c r="E296" t="n">
        <v>12682.32</v>
      </c>
      <c r="F296" s="27" t="n">
        <v>46059</v>
      </c>
      <c r="G296" s="27" t="n">
        <v>46059</v>
      </c>
      <c r="H296" s="27" t="n">
        <v>46059</v>
      </c>
      <c r="I296" s="27" t="n">
        <v>46059</v>
      </c>
      <c r="J296" s="27" t="n">
        <v>46059</v>
      </c>
      <c r="K296" t="inlineStr">
        <is>
          <t>Boleto Bancário</t>
        </is>
      </c>
      <c r="L296" t="inlineStr">
        <is>
          <t>Locação de Equipamentos</t>
        </is>
      </c>
      <c r="M296" t="inlineStr">
        <is>
          <t>Locação de Utensílios</t>
        </is>
      </c>
      <c r="N296" t="inlineStr">
        <is>
          <t>2694</t>
        </is>
      </c>
      <c r="O296" t="inlineStr">
        <is>
          <t>Documentação Aprovada</t>
        </is>
      </c>
      <c r="P296" t="inlineStr">
        <is>
          <t>Aprovado Diretoria</t>
        </is>
      </c>
      <c r="Q296" t="inlineStr">
        <is>
          <t>Aprovado Caixa</t>
        </is>
      </c>
      <c r="R296" t="inlineStr">
        <is>
          <t>Pago</t>
        </is>
      </c>
      <c r="S296" t="n">
        <v>226</v>
      </c>
      <c r="T296" t="inlineStr">
        <is>
          <t>The Cavern - Kamino</t>
        </is>
      </c>
    </row>
    <row r="297">
      <c r="A297" t="n">
        <v>205647</v>
      </c>
      <c r="B297" t="n">
        <v>176</v>
      </c>
      <c r="C297" t="inlineStr">
        <is>
          <t>The Cavern</t>
        </is>
      </c>
      <c r="D297" t="inlineStr">
        <is>
          <t>EMILY RENATA MENDONCA VIEIRA</t>
        </is>
      </c>
      <c r="E297" t="n">
        <v>1270.71</v>
      </c>
      <c r="F297" s="27" t="n">
        <v>46059</v>
      </c>
      <c r="G297" s="27" t="n">
        <v>46059</v>
      </c>
      <c r="H297" s="27" t="n">
        <v>46059</v>
      </c>
      <c r="I297" s="27" t="n">
        <v>46052</v>
      </c>
      <c r="J297" s="27" t="n"/>
      <c r="L297" t="inlineStr">
        <is>
          <t>Mão de Obra - Salários</t>
        </is>
      </c>
      <c r="M297" t="inlineStr">
        <is>
          <t>MDO CLT - Salário</t>
        </is>
      </c>
      <c r="O297" t="inlineStr">
        <is>
          <t>Documentação Aprovada</t>
        </is>
      </c>
      <c r="P297" t="inlineStr">
        <is>
          <t>Aprovado Diretoria</t>
        </is>
      </c>
      <c r="Q297" t="inlineStr">
        <is>
          <t>Aprovado Caixa</t>
        </is>
      </c>
      <c r="R297" t="inlineStr">
        <is>
          <t>Pago</t>
        </is>
      </c>
      <c r="S297" t="n">
        <v>226</v>
      </c>
      <c r="T297" t="inlineStr">
        <is>
          <t>The Cavern - Kamino</t>
        </is>
      </c>
    </row>
    <row r="298">
      <c r="A298" t="n">
        <v>205649</v>
      </c>
      <c r="B298" t="n">
        <v>176</v>
      </c>
      <c r="C298" t="inlineStr">
        <is>
          <t>The Cavern</t>
        </is>
      </c>
      <c r="D298" t="inlineStr">
        <is>
          <t>VAGNER BRANDAO</t>
        </is>
      </c>
      <c r="E298" t="n">
        <v>1528.84</v>
      </c>
      <c r="F298" s="27" t="n">
        <v>46059</v>
      </c>
      <c r="G298" s="27" t="n">
        <v>46059</v>
      </c>
      <c r="H298" s="27" t="n">
        <v>46059</v>
      </c>
      <c r="I298" s="27" t="n">
        <v>46052</v>
      </c>
      <c r="J298" s="27" t="n"/>
      <c r="L298" t="inlineStr">
        <is>
          <t>Mão de Obra - Salários</t>
        </is>
      </c>
      <c r="M298" t="inlineStr">
        <is>
          <t>MDO CLT - Salário</t>
        </is>
      </c>
      <c r="O298" t="inlineStr">
        <is>
          <t>Documentação Aprovada</t>
        </is>
      </c>
      <c r="P298" t="inlineStr">
        <is>
          <t>Aprovado Diretoria</t>
        </is>
      </c>
      <c r="Q298" t="inlineStr">
        <is>
          <t>Aprovado Caixa</t>
        </is>
      </c>
      <c r="R298" t="inlineStr">
        <is>
          <t>Pago</t>
        </is>
      </c>
      <c r="S298" t="n">
        <v>226</v>
      </c>
      <c r="T298" t="inlineStr">
        <is>
          <t>The Cavern - Kamino</t>
        </is>
      </c>
    </row>
    <row r="299">
      <c r="A299" t="n">
        <v>202425</v>
      </c>
      <c r="B299" t="n">
        <v>176</v>
      </c>
      <c r="C299" t="inlineStr">
        <is>
          <t>The Cavern</t>
        </is>
      </c>
      <c r="D299" t="inlineStr">
        <is>
          <t>FABIAN MATIAS MAGIOLA MAESO</t>
        </is>
      </c>
      <c r="E299" t="n">
        <v>2212.75</v>
      </c>
      <c r="F299" s="27" t="n">
        <v>46059</v>
      </c>
      <c r="G299" s="27" t="n">
        <v>46059</v>
      </c>
      <c r="H299" s="27" t="n">
        <v>46059</v>
      </c>
      <c r="I299" s="27" t="n">
        <v>46023</v>
      </c>
      <c r="J299" s="27" t="n">
        <v>46051</v>
      </c>
      <c r="K299" t="inlineStr">
        <is>
          <t>Transferência Bancária ou Pix</t>
        </is>
      </c>
      <c r="L299" t="inlineStr">
        <is>
          <t>Mão de Obra - Encargos e Provisões</t>
        </is>
      </c>
      <c r="M299" t="inlineStr">
        <is>
          <t xml:space="preserve">  -  Rescisão</t>
        </is>
      </c>
      <c r="N299" t="inlineStr">
        <is>
          <t>221275 012026</t>
        </is>
      </c>
      <c r="O299" t="inlineStr">
        <is>
          <t>Documentação Aprovada</t>
        </is>
      </c>
      <c r="P299" t="inlineStr">
        <is>
          <t>Aprovado Diretoria</t>
        </is>
      </c>
      <c r="Q299" t="inlineStr">
        <is>
          <t>Aprovado Caixa</t>
        </is>
      </c>
      <c r="R299" t="inlineStr">
        <is>
          <t>Pago</t>
        </is>
      </c>
      <c r="S299" t="n">
        <v>226</v>
      </c>
      <c r="T299" t="inlineStr">
        <is>
          <t>The Cavern - Kamino</t>
        </is>
      </c>
    </row>
    <row r="300">
      <c r="A300" t="n">
        <v>192280</v>
      </c>
      <c r="B300" t="n">
        <v>176</v>
      </c>
      <c r="C300" t="inlineStr">
        <is>
          <t>The Cavern</t>
        </is>
      </c>
      <c r="D300" t="inlineStr">
        <is>
          <t>EMPORIO M&amp;L COMERCIO DE ALIM E BEBIDAS LTDA</t>
        </is>
      </c>
      <c r="E300" t="n">
        <v>2661.11</v>
      </c>
      <c r="F300" s="27" t="n">
        <v>46059</v>
      </c>
      <c r="G300" s="27" t="n">
        <v>46059</v>
      </c>
      <c r="H300" s="27" t="n">
        <v>46059</v>
      </c>
      <c r="I300" s="27" t="n">
        <v>46030</v>
      </c>
      <c r="J300" s="27" t="n">
        <v>46036</v>
      </c>
      <c r="K300" t="inlineStr">
        <is>
          <t>Boleto Bancário</t>
        </is>
      </c>
      <c r="L300" t="inlineStr">
        <is>
          <t>Custo Mercadoria Vendida</t>
        </is>
      </c>
      <c r="M300" t="inlineStr">
        <is>
          <t>Insumos - Alimentos</t>
        </is>
      </c>
      <c r="N300" t="inlineStr">
        <is>
          <t>490587</t>
        </is>
      </c>
      <c r="O300" t="inlineStr">
        <is>
          <t>Documentação Aprovada</t>
        </is>
      </c>
      <c r="P300" t="inlineStr">
        <is>
          <t>Aprovado Diretoria</t>
        </is>
      </c>
      <c r="Q300" t="inlineStr">
        <is>
          <t>Aprovado Caixa</t>
        </is>
      </c>
      <c r="R300" t="inlineStr">
        <is>
          <t>Pago</t>
        </is>
      </c>
      <c r="S300" t="n">
        <v>226</v>
      </c>
      <c r="T300" t="inlineStr">
        <is>
          <t>The Cavern - Kamino</t>
        </is>
      </c>
    </row>
    <row r="301">
      <c r="A301" t="n">
        <v>198438</v>
      </c>
      <c r="B301" t="n">
        <v>176</v>
      </c>
      <c r="C301" t="inlineStr">
        <is>
          <t>The Cavern</t>
        </is>
      </c>
      <c r="D301" t="inlineStr">
        <is>
          <t>SPAL INDUSTRIA BRASILEIRA DE BEBIDAS S A</t>
        </is>
      </c>
      <c r="E301" t="n">
        <v>852.41</v>
      </c>
      <c r="F301" s="27" t="n">
        <v>46059</v>
      </c>
      <c r="G301" s="27" t="n">
        <v>46059</v>
      </c>
      <c r="H301" s="27" t="n">
        <v>46059</v>
      </c>
      <c r="I301" s="27" t="n">
        <v>46048</v>
      </c>
      <c r="J301" s="27" t="n">
        <v>46049</v>
      </c>
      <c r="K301" t="inlineStr">
        <is>
          <t>Boleto Bancário</t>
        </is>
      </c>
      <c r="L301" t="inlineStr">
        <is>
          <t>Custo Mercadoria Vendida</t>
        </is>
      </c>
      <c r="M301" t="inlineStr">
        <is>
          <t>Insumos - Bebidas</t>
        </is>
      </c>
      <c r="N301" t="inlineStr">
        <is>
          <t>16396064</t>
        </is>
      </c>
      <c r="O301" t="inlineStr">
        <is>
          <t>Documentação Aprovada</t>
        </is>
      </c>
      <c r="P301" t="inlineStr">
        <is>
          <t>Aprovado Diretoria</t>
        </is>
      </c>
      <c r="Q301" t="inlineStr">
        <is>
          <t>Aprovado Caixa</t>
        </is>
      </c>
      <c r="R301" t="inlineStr">
        <is>
          <t>Pago</t>
        </is>
      </c>
      <c r="S301" t="n">
        <v>226</v>
      </c>
      <c r="T301" t="inlineStr">
        <is>
          <t>The Cavern - Kamino</t>
        </is>
      </c>
    </row>
    <row r="302">
      <c r="A302" t="n">
        <v>193936</v>
      </c>
      <c r="B302" t="n">
        <v>176</v>
      </c>
      <c r="C302" t="inlineStr">
        <is>
          <t>The Cavern</t>
        </is>
      </c>
      <c r="D302" t="inlineStr">
        <is>
          <t>EMPORIO M&amp;L COMERCIO DE ALIM E BEBIDAS LTDA</t>
        </is>
      </c>
      <c r="E302" t="n">
        <v>1077.23</v>
      </c>
      <c r="F302" s="27" t="n">
        <v>46059</v>
      </c>
      <c r="G302" s="27" t="n">
        <v>46059</v>
      </c>
      <c r="H302" s="27" t="n">
        <v>46059</v>
      </c>
      <c r="I302" s="27" t="n">
        <v>46038</v>
      </c>
      <c r="J302" s="27" t="n">
        <v>46041</v>
      </c>
      <c r="K302" t="inlineStr">
        <is>
          <t>Boleto Bancário</t>
        </is>
      </c>
      <c r="L302" t="inlineStr">
        <is>
          <t>Custo Mercadoria Vendida</t>
        </is>
      </c>
      <c r="M302" t="inlineStr">
        <is>
          <t>Insumos - Alimentos</t>
        </is>
      </c>
      <c r="N302" t="inlineStr">
        <is>
          <t>491859</t>
        </is>
      </c>
      <c r="O302" t="inlineStr">
        <is>
          <t>Documentação Aprovada</t>
        </is>
      </c>
      <c r="P302" t="inlineStr">
        <is>
          <t>Aprovado Diretoria</t>
        </is>
      </c>
      <c r="Q302" t="inlineStr">
        <is>
          <t>Aprovado Caixa</t>
        </is>
      </c>
      <c r="R302" t="inlineStr">
        <is>
          <t>Pago</t>
        </is>
      </c>
      <c r="S302" t="n">
        <v>226</v>
      </c>
      <c r="T302" t="inlineStr">
        <is>
          <t>The Cavern - Kamino</t>
        </is>
      </c>
    </row>
    <row r="303">
      <c r="A303" t="n">
        <v>204172</v>
      </c>
      <c r="B303" t="n">
        <v>176</v>
      </c>
      <c r="C303" t="inlineStr">
        <is>
          <t>The Cavern</t>
        </is>
      </c>
      <c r="D303" t="inlineStr">
        <is>
          <t>ZIGPAY LTDAS -ME</t>
        </is>
      </c>
      <c r="E303" t="n">
        <v>5088.78</v>
      </c>
      <c r="F303" s="27" t="n">
        <v>46052</v>
      </c>
      <c r="G303" s="27" t="n"/>
      <c r="H303" s="27" t="n">
        <v>46052</v>
      </c>
      <c r="I303" s="27" t="n">
        <v>46052</v>
      </c>
      <c r="J303" s="27" t="n"/>
      <c r="K303" t="inlineStr">
        <is>
          <t xml:space="preserve">Debito Automático </t>
        </is>
      </c>
      <c r="L303" t="inlineStr">
        <is>
          <t>Deduções sobre Venda</t>
        </is>
      </c>
      <c r="M303" t="inlineStr">
        <is>
          <t>Meios de pagamento</t>
        </is>
      </c>
      <c r="O303" t="inlineStr">
        <is>
          <t>Documentação Aprovada</t>
        </is>
      </c>
      <c r="P303" t="inlineStr">
        <is>
          <t>Aprovado Diretoria</t>
        </is>
      </c>
      <c r="Q303" t="inlineStr">
        <is>
          <t>Aprovado Caixa</t>
        </is>
      </c>
      <c r="R303" t="inlineStr">
        <is>
          <t>Pago</t>
        </is>
      </c>
      <c r="S303" t="n">
        <v>220</v>
      </c>
      <c r="T303" t="inlineStr">
        <is>
          <t>The Cavern - Zigpay</t>
        </is>
      </c>
    </row>
    <row r="304">
      <c r="A304" t="n">
        <v>215745</v>
      </c>
      <c r="B304" t="n">
        <v>176</v>
      </c>
      <c r="C304" t="inlineStr">
        <is>
          <t>The Cavern</t>
        </is>
      </c>
      <c r="D304" t="inlineStr">
        <is>
          <t>ZIGPAY LTDAS -ME</t>
        </is>
      </c>
      <c r="E304" t="n">
        <v>2113.74</v>
      </c>
      <c r="F304" s="27" t="n">
        <v>46081</v>
      </c>
      <c r="G304" s="27" t="n"/>
      <c r="H304" s="27" t="n">
        <v>46081</v>
      </c>
      <c r="I304" s="27" t="n">
        <v>46081</v>
      </c>
      <c r="J304" s="27" t="n"/>
      <c r="K304" t="inlineStr">
        <is>
          <t xml:space="preserve">Debito Automático </t>
        </is>
      </c>
      <c r="L304" t="inlineStr">
        <is>
          <t>Deduções sobre Venda</t>
        </is>
      </c>
      <c r="M304" t="inlineStr">
        <is>
          <t>Meios de pagamento</t>
        </is>
      </c>
      <c r="O304" t="inlineStr">
        <is>
          <t>Documentação Aprovada</t>
        </is>
      </c>
      <c r="P304" t="inlineStr">
        <is>
          <t>Aprovado Diretoria</t>
        </is>
      </c>
      <c r="Q304" t="inlineStr">
        <is>
          <t>Aprovado Caixa</t>
        </is>
      </c>
      <c r="R304" t="inlineStr">
        <is>
          <t>Pago</t>
        </is>
      </c>
      <c r="S304" t="n">
        <v>219</v>
      </c>
      <c r="T304" t="inlineStr">
        <is>
          <t>The Cavern Almoço - Zigpay</t>
        </is>
      </c>
    </row>
    <row r="305">
      <c r="A305" t="n">
        <v>204135</v>
      </c>
      <c r="B305" t="n">
        <v>176</v>
      </c>
      <c r="C305" t="inlineStr">
        <is>
          <t>The Cavern</t>
        </is>
      </c>
      <c r="D305" t="inlineStr">
        <is>
          <t>ZIGPAY LTDAS -ME</t>
        </is>
      </c>
      <c r="E305" t="n">
        <v>1493.32</v>
      </c>
      <c r="F305" s="27" t="n">
        <v>46052</v>
      </c>
      <c r="G305" s="27" t="n"/>
      <c r="H305" s="27" t="n">
        <v>46052</v>
      </c>
      <c r="I305" s="27" t="n">
        <v>46052</v>
      </c>
      <c r="J305" s="27" t="n"/>
      <c r="K305" t="inlineStr">
        <is>
          <t xml:space="preserve">Debito Automático </t>
        </is>
      </c>
      <c r="L305" t="inlineStr">
        <is>
          <t>Deduções sobre Venda</t>
        </is>
      </c>
      <c r="M305" t="inlineStr">
        <is>
          <t>Meios de pagamento</t>
        </is>
      </c>
      <c r="O305" t="inlineStr">
        <is>
          <t>Documentação Aprovada</t>
        </is>
      </c>
      <c r="P305" t="inlineStr">
        <is>
          <t>Aprovado Diretoria</t>
        </is>
      </c>
      <c r="Q305" t="inlineStr">
        <is>
          <t>Aprovado Caixa</t>
        </is>
      </c>
      <c r="R305" t="inlineStr">
        <is>
          <t>Pago</t>
        </is>
      </c>
      <c r="S305" t="n">
        <v>219</v>
      </c>
      <c r="T305" t="inlineStr">
        <is>
          <t>The Cavern Almoço - Zigpay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ID_Parcela</t>
        </is>
      </c>
      <c r="B1" t="inlineStr">
        <is>
          <t>ID_Despesa</t>
        </is>
      </c>
      <c r="C1" t="inlineStr">
        <is>
          <t>ID_Casa</t>
        </is>
      </c>
      <c r="D1" t="inlineStr">
        <is>
          <t>Casa</t>
        </is>
      </c>
      <c r="E1" t="inlineStr">
        <is>
          <t>CNPJ_Loja</t>
        </is>
      </c>
      <c r="F1" t="inlineStr">
        <is>
          <t>Fornecedor</t>
        </is>
      </c>
      <c r="G1" t="inlineStr">
        <is>
          <t>Parcelamento</t>
        </is>
      </c>
      <c r="H1" t="inlineStr">
        <is>
          <t>Qtd_Parcelas</t>
        </is>
      </c>
      <c r="I1" t="inlineStr">
        <is>
          <t>Num_Parcela</t>
        </is>
      </c>
      <c r="J1" t="inlineStr">
        <is>
          <t>Valor_Parcela</t>
        </is>
      </c>
      <c r="K1" t="inlineStr">
        <is>
          <t>Vencimento_Parcela</t>
        </is>
      </c>
      <c r="L1" t="inlineStr">
        <is>
          <t>Previsao_Parcela</t>
        </is>
      </c>
      <c r="M1" t="inlineStr">
        <is>
          <t>Realiz_Parcela</t>
        </is>
      </c>
      <c r="N1" t="inlineStr">
        <is>
          <t>Valor_Original</t>
        </is>
      </c>
      <c r="O1" t="inlineStr">
        <is>
          <t>Valor_Liquido</t>
        </is>
      </c>
      <c r="P1" t="inlineStr">
        <is>
          <t>Data_Lancamento</t>
        </is>
      </c>
      <c r="Q1" t="inlineStr">
        <is>
          <t>Forma_Pagamento</t>
        </is>
      </c>
      <c r="R1" t="inlineStr">
        <is>
          <t>Doc_NF</t>
        </is>
      </c>
      <c r="S1" t="inlineStr">
        <is>
          <t>Class_Cont_1</t>
        </is>
      </c>
      <c r="T1" t="inlineStr">
        <is>
          <t>Class_Cont_2</t>
        </is>
      </c>
      <c r="U1" t="inlineStr">
        <is>
          <t>Status_Conf_Document</t>
        </is>
      </c>
      <c r="V1" t="inlineStr">
        <is>
          <t>Status_Aprov_Diret</t>
        </is>
      </c>
      <c r="W1" t="inlineStr">
        <is>
          <t>Status_Aprov_Caixa</t>
        </is>
      </c>
      <c r="X1" t="inlineStr">
        <is>
          <t>Status_Pgto</t>
        </is>
      </c>
      <c r="Y1" t="inlineStr">
        <is>
          <t>ID_Conta_Bancaria</t>
        </is>
      </c>
      <c r="Z1" t="inlineStr">
        <is>
          <t>Conta_Bancaria</t>
        </is>
      </c>
    </row>
    <row r="2">
      <c r="A2" t="n">
        <v>12903</v>
      </c>
      <c r="B2" t="n">
        <v>193694</v>
      </c>
      <c r="C2" t="n">
        <v>176</v>
      </c>
      <c r="D2" t="inlineStr">
        <is>
          <t>The Cavern</t>
        </is>
      </c>
      <c r="F2" t="inlineStr">
        <is>
          <t>ZAHIL IMPORTADORA LTDA</t>
        </is>
      </c>
      <c r="G2" t="inlineStr">
        <is>
          <t>True</t>
        </is>
      </c>
      <c r="H2" t="n">
        <v>5</v>
      </c>
      <c r="I2" t="n">
        <v>5</v>
      </c>
      <c r="J2" t="n">
        <v>10970.69</v>
      </c>
      <c r="K2" s="27" t="n">
        <v>46098</v>
      </c>
      <c r="L2" s="27" t="n">
        <v>46099</v>
      </c>
      <c r="M2" s="27" t="n">
        <v>46098</v>
      </c>
      <c r="N2" t="n">
        <v>54853.37</v>
      </c>
      <c r="O2" t="n">
        <v>54853.37</v>
      </c>
      <c r="P2" s="27" t="n">
        <v>46038</v>
      </c>
      <c r="Q2" t="inlineStr">
        <is>
          <t>Boleto Bancário</t>
        </is>
      </c>
      <c r="R2" t="inlineStr">
        <is>
          <t>260242</t>
        </is>
      </c>
      <c r="S2" t="inlineStr">
        <is>
          <t>Custo Mercadoria Vendida</t>
        </is>
      </c>
      <c r="T2" t="inlineStr">
        <is>
          <t>Insumos - Bebidas</t>
        </is>
      </c>
      <c r="U2" t="inlineStr">
        <is>
          <t>Documentação Aprovada</t>
        </is>
      </c>
      <c r="V2" t="inlineStr">
        <is>
          <t>Aprovado Diretoria</t>
        </is>
      </c>
      <c r="W2" t="inlineStr">
        <is>
          <t>Aprovado Caixa</t>
        </is>
      </c>
      <c r="X2" t="inlineStr">
        <is>
          <t>Parcela_Paga</t>
        </is>
      </c>
      <c r="Y2" t="n">
        <v>226</v>
      </c>
      <c r="Z2" t="inlineStr">
        <is>
          <t>The Cavern - Kamino</t>
        </is>
      </c>
    </row>
    <row r="3">
      <c r="A3" t="n">
        <v>12943</v>
      </c>
      <c r="B3" t="n">
        <v>195592</v>
      </c>
      <c r="C3" t="n">
        <v>176</v>
      </c>
      <c r="D3" t="inlineStr">
        <is>
          <t>The Cavern</t>
        </is>
      </c>
      <c r="F3" t="inlineStr">
        <is>
          <t>CALEBE EQUIPAMENTOS INDUSTRIAIS EIRELI</t>
        </is>
      </c>
      <c r="G3" t="inlineStr">
        <is>
          <t>True</t>
        </is>
      </c>
      <c r="H3" t="n">
        <v>6</v>
      </c>
      <c r="I3" t="n">
        <v>2</v>
      </c>
      <c r="J3" t="n">
        <v>4000</v>
      </c>
      <c r="K3" s="27" t="n">
        <v>46097</v>
      </c>
      <c r="L3" s="27" t="n">
        <v>46098</v>
      </c>
      <c r="M3" s="27" t="n">
        <v>46097</v>
      </c>
      <c r="N3" t="n">
        <v>24000</v>
      </c>
      <c r="O3" t="n">
        <v>24000</v>
      </c>
      <c r="P3" s="27" t="n">
        <v>46044</v>
      </c>
      <c r="Q3" t="inlineStr">
        <is>
          <t>Boleto Bancário</t>
        </is>
      </c>
      <c r="R3" t="inlineStr">
        <is>
          <t>12472</t>
        </is>
      </c>
      <c r="S3" t="inlineStr">
        <is>
          <t>Utilidades</t>
        </is>
      </c>
      <c r="T3" t="inlineStr">
        <is>
          <t>Utensilios</t>
        </is>
      </c>
      <c r="U3" t="inlineStr">
        <is>
          <t>Documentação Aprovada</t>
        </is>
      </c>
      <c r="V3" t="inlineStr">
        <is>
          <t>Aprovado Diretoria</t>
        </is>
      </c>
      <c r="W3" t="inlineStr">
        <is>
          <t>Aprovado Caixa</t>
        </is>
      </c>
      <c r="X3" t="inlineStr">
        <is>
          <t>Parcela_Paga</t>
        </is>
      </c>
      <c r="Y3" t="n">
        <v>226</v>
      </c>
      <c r="Z3" t="inlineStr">
        <is>
          <t>The Cavern - Kamino</t>
        </is>
      </c>
    </row>
    <row r="4">
      <c r="A4" t="n">
        <v>12965</v>
      </c>
      <c r="B4" t="n">
        <v>196844</v>
      </c>
      <c r="C4" t="n">
        <v>176</v>
      </c>
      <c r="D4" t="inlineStr">
        <is>
          <t>The Cavern</t>
        </is>
      </c>
      <c r="F4" t="inlineStr">
        <is>
          <t>REBAL COMERCIAL LTDA</t>
        </is>
      </c>
      <c r="G4" t="inlineStr">
        <is>
          <t>True</t>
        </is>
      </c>
      <c r="H4" t="n">
        <v>3</v>
      </c>
      <c r="I4" t="n">
        <v>2</v>
      </c>
      <c r="J4" t="n">
        <v>1782.27</v>
      </c>
      <c r="K4" s="27" t="n">
        <v>46096</v>
      </c>
      <c r="L4" s="27" t="n">
        <v>46098</v>
      </c>
      <c r="M4" s="27" t="n">
        <v>46097</v>
      </c>
      <c r="N4" t="n">
        <v>5346.8</v>
      </c>
      <c r="O4" t="n">
        <v>5346.8</v>
      </c>
      <c r="P4" s="27" t="n">
        <v>46045</v>
      </c>
      <c r="Q4" t="inlineStr">
        <is>
          <t>Boleto Bancário</t>
        </is>
      </c>
      <c r="R4" t="inlineStr">
        <is>
          <t>292320</t>
        </is>
      </c>
      <c r="S4" t="inlineStr">
        <is>
          <t>Utilidades</t>
        </is>
      </c>
      <c r="T4" t="inlineStr">
        <is>
          <t>Utensilios</t>
        </is>
      </c>
      <c r="U4" t="inlineStr">
        <is>
          <t>Documentação Aprovada</t>
        </is>
      </c>
      <c r="V4" t="inlineStr">
        <is>
          <t>Aprovado Diretoria</t>
        </is>
      </c>
      <c r="W4" t="inlineStr">
        <is>
          <t>Aprovado Caixa</t>
        </is>
      </c>
      <c r="X4" t="inlineStr">
        <is>
          <t>Parcela_Paga</t>
        </is>
      </c>
      <c r="Y4" t="n">
        <v>226</v>
      </c>
      <c r="Z4" t="inlineStr">
        <is>
          <t>The Cavern - Kamino</t>
        </is>
      </c>
    </row>
    <row r="5">
      <c r="A5" t="n">
        <v>13237</v>
      </c>
      <c r="B5" t="n">
        <v>208948</v>
      </c>
      <c r="C5" t="n">
        <v>176</v>
      </c>
      <c r="D5" t="inlineStr">
        <is>
          <t>The Cavern</t>
        </is>
      </c>
      <c r="F5" t="inlineStr">
        <is>
          <t>ZAHIL IMPORTADORA LTDA</t>
        </is>
      </c>
      <c r="G5" t="inlineStr">
        <is>
          <t>True</t>
        </is>
      </c>
      <c r="H5" t="n">
        <v>3</v>
      </c>
      <c r="I5" t="n">
        <v>2</v>
      </c>
      <c r="J5" t="n">
        <v>1705.17</v>
      </c>
      <c r="K5" s="27" t="n">
        <v>46097</v>
      </c>
      <c r="L5" s="27" t="n">
        <v>46098</v>
      </c>
      <c r="M5" s="27" t="n">
        <v>46097</v>
      </c>
      <c r="N5" t="n">
        <v>4794.4</v>
      </c>
      <c r="O5" t="n">
        <v>5115.51</v>
      </c>
      <c r="P5" s="27" t="n">
        <v>46072</v>
      </c>
      <c r="Q5" t="inlineStr">
        <is>
          <t>Boleto Bancário</t>
        </is>
      </c>
      <c r="R5" t="inlineStr">
        <is>
          <t>264084</t>
        </is>
      </c>
      <c r="S5" t="inlineStr">
        <is>
          <t>Custo Mercadoria Vendida</t>
        </is>
      </c>
      <c r="T5" t="inlineStr">
        <is>
          <t>Insumos - Bebidas</t>
        </is>
      </c>
      <c r="U5" t="inlineStr">
        <is>
          <t>Documentação Aprovada</t>
        </is>
      </c>
      <c r="V5" t="inlineStr">
        <is>
          <t>Aprovado Diretoria</t>
        </is>
      </c>
      <c r="W5" t="inlineStr">
        <is>
          <t>Aprovado Caixa</t>
        </is>
      </c>
      <c r="X5" t="inlineStr">
        <is>
          <t>Parcela_Paga</t>
        </is>
      </c>
      <c r="Y5" t="n">
        <v>226</v>
      </c>
      <c r="Z5" t="inlineStr">
        <is>
          <t>The Cavern - Kamino</t>
        </is>
      </c>
    </row>
    <row r="6">
      <c r="A6" t="n">
        <v>13248</v>
      </c>
      <c r="B6" t="n">
        <v>209321</v>
      </c>
      <c r="C6" t="n">
        <v>176</v>
      </c>
      <c r="D6" t="inlineStr">
        <is>
          <t>The Cavern</t>
        </is>
      </c>
      <c r="F6" t="inlineStr">
        <is>
          <t>ZAHIL IMPORTADORA LTDA</t>
        </is>
      </c>
      <c r="G6" t="inlineStr">
        <is>
          <t>True</t>
        </is>
      </c>
      <c r="H6" t="n">
        <v>2</v>
      </c>
      <c r="I6" t="n">
        <v>2</v>
      </c>
      <c r="J6" t="n">
        <v>722.71</v>
      </c>
      <c r="K6" s="27" t="n">
        <v>46086</v>
      </c>
      <c r="L6" s="27" t="n">
        <v>46087</v>
      </c>
      <c r="M6" s="27" t="n">
        <v>46086</v>
      </c>
      <c r="N6" t="n">
        <v>1357.2</v>
      </c>
      <c r="O6" t="n">
        <v>1445.42</v>
      </c>
      <c r="P6" s="27" t="n">
        <v>46072</v>
      </c>
      <c r="Q6" t="inlineStr">
        <is>
          <t>Boleto Bancário</t>
        </is>
      </c>
      <c r="R6" t="inlineStr">
        <is>
          <t>263527</t>
        </is>
      </c>
      <c r="S6" t="inlineStr">
        <is>
          <t>Custo Mercadoria Vendida</t>
        </is>
      </c>
      <c r="T6" t="inlineStr">
        <is>
          <t>Insumos - Bebidas</t>
        </is>
      </c>
      <c r="U6" t="inlineStr">
        <is>
          <t>Documentação Aprovada</t>
        </is>
      </c>
      <c r="V6" t="inlineStr">
        <is>
          <t>Aprovado Diretoria</t>
        </is>
      </c>
      <c r="W6" t="inlineStr">
        <is>
          <t>Aprovado Caixa</t>
        </is>
      </c>
      <c r="X6" t="inlineStr">
        <is>
          <t>Parcela_Paga</t>
        </is>
      </c>
      <c r="Y6" t="n">
        <v>226</v>
      </c>
      <c r="Z6" t="inlineStr">
        <is>
          <t>The Cavern - Kamino</t>
        </is>
      </c>
    </row>
    <row r="7">
      <c r="A7" t="n">
        <v>13223</v>
      </c>
      <c r="B7" t="n">
        <v>208864</v>
      </c>
      <c r="C7" t="n">
        <v>176</v>
      </c>
      <c r="D7" t="inlineStr">
        <is>
          <t>The Cavern</t>
        </is>
      </c>
      <c r="F7" t="inlineStr">
        <is>
          <t>ZAHIL IMPORTADORA LTDA</t>
        </is>
      </c>
      <c r="G7" t="inlineStr">
        <is>
          <t>True</t>
        </is>
      </c>
      <c r="H7" t="n">
        <v>5</v>
      </c>
      <c r="I7" t="n">
        <v>1</v>
      </c>
      <c r="J7" t="n">
        <v>1895.66</v>
      </c>
      <c r="K7" s="27" t="n">
        <v>46086</v>
      </c>
      <c r="L7" s="27" t="n">
        <v>46087</v>
      </c>
      <c r="M7" s="27" t="n">
        <v>46086</v>
      </c>
      <c r="N7" t="n">
        <v>8899.799999999999</v>
      </c>
      <c r="O7" t="n">
        <v>9478.290000000001</v>
      </c>
      <c r="P7" s="27" t="n">
        <v>46071</v>
      </c>
      <c r="Q7" t="inlineStr">
        <is>
          <t>Boleto Bancário</t>
        </is>
      </c>
      <c r="R7" t="inlineStr">
        <is>
          <t>264335</t>
        </is>
      </c>
      <c r="S7" t="inlineStr">
        <is>
          <t>Custo Mercadoria Vendida</t>
        </is>
      </c>
      <c r="T7" t="inlineStr">
        <is>
          <t>Insumos - Bebidas</t>
        </is>
      </c>
      <c r="U7" t="inlineStr">
        <is>
          <t>Documentação Aprovada</t>
        </is>
      </c>
      <c r="V7" t="inlineStr">
        <is>
          <t>Aprovado Diretoria</t>
        </is>
      </c>
      <c r="W7" t="inlineStr">
        <is>
          <t>Aprovado Caixa</t>
        </is>
      </c>
      <c r="X7" t="inlineStr">
        <is>
          <t>Parcela_Paga</t>
        </is>
      </c>
      <c r="Y7" t="n">
        <v>226</v>
      </c>
      <c r="Z7" t="inlineStr">
        <is>
          <t>The Cavern - Kamino</t>
        </is>
      </c>
    </row>
    <row r="8">
      <c r="A8" t="n">
        <v>12902</v>
      </c>
      <c r="B8" t="n">
        <v>193694</v>
      </c>
      <c r="C8" t="n">
        <v>176</v>
      </c>
      <c r="D8" t="inlineStr">
        <is>
          <t>The Cavern</t>
        </is>
      </c>
      <c r="F8" t="inlineStr">
        <is>
          <t>ZAHIL IMPORTADORA LTDA</t>
        </is>
      </c>
      <c r="G8" t="inlineStr">
        <is>
          <t>True</t>
        </is>
      </c>
      <c r="H8" t="n">
        <v>5</v>
      </c>
      <c r="I8" t="n">
        <v>4</v>
      </c>
      <c r="J8" t="n">
        <v>10970.67</v>
      </c>
      <c r="K8" s="27" t="n">
        <v>46084</v>
      </c>
      <c r="L8" s="27" t="n">
        <v>46085</v>
      </c>
      <c r="M8" s="27" t="n">
        <v>46084</v>
      </c>
      <c r="N8" t="n">
        <v>54853.37</v>
      </c>
      <c r="O8" t="n">
        <v>54853.37</v>
      </c>
      <c r="P8" s="27" t="n">
        <v>46038</v>
      </c>
      <c r="Q8" t="inlineStr">
        <is>
          <t>Boleto Bancário</t>
        </is>
      </c>
      <c r="R8" t="inlineStr">
        <is>
          <t>260242</t>
        </is>
      </c>
      <c r="S8" t="inlineStr">
        <is>
          <t>Custo Mercadoria Vendida</t>
        </is>
      </c>
      <c r="T8" t="inlineStr">
        <is>
          <t>Insumos - Bebidas</t>
        </is>
      </c>
      <c r="U8" t="inlineStr">
        <is>
          <t>Documentação Aprovada</t>
        </is>
      </c>
      <c r="V8" t="inlineStr">
        <is>
          <t>Aprovado Diretoria</t>
        </is>
      </c>
      <c r="W8" t="inlineStr">
        <is>
          <t>Aprovado Caixa</t>
        </is>
      </c>
      <c r="X8" t="inlineStr">
        <is>
          <t>Parcela_Paga</t>
        </is>
      </c>
      <c r="Y8" t="n">
        <v>226</v>
      </c>
      <c r="Z8" t="inlineStr">
        <is>
          <t>The Cavern - Kamino</t>
        </is>
      </c>
    </row>
    <row r="9">
      <c r="A9" t="n">
        <v>12901</v>
      </c>
      <c r="B9" t="n">
        <v>193694</v>
      </c>
      <c r="C9" t="n">
        <v>176</v>
      </c>
      <c r="D9" t="inlineStr">
        <is>
          <t>The Cavern</t>
        </is>
      </c>
      <c r="F9" t="inlineStr">
        <is>
          <t>ZAHIL IMPORTADORA LTDA</t>
        </is>
      </c>
      <c r="G9" t="inlineStr">
        <is>
          <t>True</t>
        </is>
      </c>
      <c r="H9" t="n">
        <v>5</v>
      </c>
      <c r="I9" t="n">
        <v>3</v>
      </c>
      <c r="J9" t="n">
        <v>10970.67</v>
      </c>
      <c r="K9" s="27" t="n">
        <v>46073</v>
      </c>
      <c r="L9" s="27" t="n">
        <v>46084</v>
      </c>
      <c r="M9" s="27" t="n">
        <v>46083</v>
      </c>
      <c r="N9" t="n">
        <v>54853.37</v>
      </c>
      <c r="O9" t="n">
        <v>54853.37</v>
      </c>
      <c r="P9" s="27" t="n">
        <v>46038</v>
      </c>
      <c r="Q9" t="inlineStr">
        <is>
          <t>Boleto Bancário</t>
        </is>
      </c>
      <c r="R9" t="inlineStr">
        <is>
          <t>260242</t>
        </is>
      </c>
      <c r="S9" t="inlineStr">
        <is>
          <t>Custo Mercadoria Vendida</t>
        </is>
      </c>
      <c r="T9" t="inlineStr">
        <is>
          <t>Insumos - Bebidas</t>
        </is>
      </c>
      <c r="U9" t="inlineStr">
        <is>
          <t>Documentação Aprovada</t>
        </is>
      </c>
      <c r="V9" t="inlineStr">
        <is>
          <t>Aprovado Diretoria</t>
        </is>
      </c>
      <c r="W9" t="inlineStr">
        <is>
          <t>Aprovado Caixa</t>
        </is>
      </c>
      <c r="X9" t="inlineStr">
        <is>
          <t>Parcela_Paga</t>
        </is>
      </c>
      <c r="Y9" t="n">
        <v>226</v>
      </c>
      <c r="Z9" t="inlineStr">
        <is>
          <t>The Cavern - Kamino</t>
        </is>
      </c>
    </row>
    <row r="10">
      <c r="A10" t="n">
        <v>12899</v>
      </c>
      <c r="B10" t="n">
        <v>193694</v>
      </c>
      <c r="C10" t="n">
        <v>176</v>
      </c>
      <c r="D10" t="inlineStr">
        <is>
          <t>The Cavern</t>
        </is>
      </c>
      <c r="F10" t="inlineStr">
        <is>
          <t>ZAHIL IMPORTADORA LTDA</t>
        </is>
      </c>
      <c r="G10" t="inlineStr">
        <is>
          <t>True</t>
        </is>
      </c>
      <c r="H10" t="n">
        <v>5</v>
      </c>
      <c r="I10" t="n">
        <v>1</v>
      </c>
      <c r="J10" t="n">
        <v>10970.67</v>
      </c>
      <c r="K10" s="27" t="n">
        <v>46045</v>
      </c>
      <c r="L10" s="27" t="n">
        <v>46038</v>
      </c>
      <c r="M10" s="27" t="n">
        <v>46083</v>
      </c>
      <c r="N10" t="n">
        <v>54853.37</v>
      </c>
      <c r="O10" t="n">
        <v>54853.37</v>
      </c>
      <c r="P10" s="27" t="n">
        <v>46038</v>
      </c>
      <c r="Q10" t="inlineStr">
        <is>
          <t>Boleto Bancário</t>
        </is>
      </c>
      <c r="R10" t="inlineStr">
        <is>
          <t>260242</t>
        </is>
      </c>
      <c r="S10" t="inlineStr">
        <is>
          <t>Custo Mercadoria Vendida</t>
        </is>
      </c>
      <c r="T10" t="inlineStr">
        <is>
          <t>Insumos - Bebidas</t>
        </is>
      </c>
      <c r="U10" t="inlineStr">
        <is>
          <t>Documentação Aprovada</t>
        </is>
      </c>
      <c r="V10" t="inlineStr">
        <is>
          <t>Aprovado Diretoria</t>
        </is>
      </c>
      <c r="W10" t="inlineStr">
        <is>
          <t>Aprovado Caixa</t>
        </is>
      </c>
      <c r="X10" t="inlineStr">
        <is>
          <t>Parcela_Paga</t>
        </is>
      </c>
      <c r="Y10" t="n">
        <v>226</v>
      </c>
      <c r="Z10" t="inlineStr">
        <is>
          <t>The Cavern - Kamino</t>
        </is>
      </c>
    </row>
    <row r="11">
      <c r="A11" t="n">
        <v>13236</v>
      </c>
      <c r="B11" t="n">
        <v>208948</v>
      </c>
      <c r="C11" t="n">
        <v>176</v>
      </c>
      <c r="D11" t="inlineStr">
        <is>
          <t>The Cavern</t>
        </is>
      </c>
      <c r="F11" t="inlineStr">
        <is>
          <t>ZAHIL IMPORTADORA LTDA</t>
        </is>
      </c>
      <c r="G11" t="inlineStr">
        <is>
          <t>True</t>
        </is>
      </c>
      <c r="H11" t="n">
        <v>3</v>
      </c>
      <c r="I11" t="n">
        <v>1</v>
      </c>
      <c r="J11" t="n">
        <v>1705.17</v>
      </c>
      <c r="K11" s="27" t="n">
        <v>46080</v>
      </c>
      <c r="L11" s="27" t="n">
        <v>46083</v>
      </c>
      <c r="M11" s="27" t="n">
        <v>46080</v>
      </c>
      <c r="N11" t="n">
        <v>4794.4</v>
      </c>
      <c r="O11" t="n">
        <v>5115.51</v>
      </c>
      <c r="P11" s="27" t="n">
        <v>46072</v>
      </c>
      <c r="Q11" t="inlineStr">
        <is>
          <t>Boleto Bancário</t>
        </is>
      </c>
      <c r="R11" t="inlineStr">
        <is>
          <t>264084</t>
        </is>
      </c>
      <c r="S11" t="inlineStr">
        <is>
          <t>Custo Mercadoria Vendida</t>
        </is>
      </c>
      <c r="T11" t="inlineStr">
        <is>
          <t>Insumos - Bebidas</t>
        </is>
      </c>
      <c r="U11" t="inlineStr">
        <is>
          <t>Documentação Aprovada</t>
        </is>
      </c>
      <c r="V11" t="inlineStr">
        <is>
          <t>Aprovado Diretoria</t>
        </is>
      </c>
      <c r="W11" t="inlineStr">
        <is>
          <t>Aprovado Caixa</t>
        </is>
      </c>
      <c r="X11" t="inlineStr">
        <is>
          <t>Parcela_Paga</t>
        </is>
      </c>
      <c r="Y11" t="n">
        <v>226</v>
      </c>
      <c r="Z11" t="inlineStr">
        <is>
          <t>The Cavern - Kamino</t>
        </is>
      </c>
    </row>
    <row r="12">
      <c r="A12" t="n">
        <v>12109</v>
      </c>
      <c r="B12" t="n">
        <v>176848</v>
      </c>
      <c r="C12" t="n">
        <v>176</v>
      </c>
      <c r="D12" t="inlineStr">
        <is>
          <t>The Cavern</t>
        </is>
      </c>
      <c r="F12" t="inlineStr">
        <is>
          <t>CALEBE EQUIPAMENTOS INDUSTRIAIS EIRELI</t>
        </is>
      </c>
      <c r="G12" t="inlineStr">
        <is>
          <t>True</t>
        </is>
      </c>
      <c r="H12" t="n">
        <v>3</v>
      </c>
      <c r="I12" t="n">
        <v>1</v>
      </c>
      <c r="J12" t="n">
        <v>2300</v>
      </c>
      <c r="K12" s="27" t="n">
        <v>46010</v>
      </c>
      <c r="L12" s="27" t="n">
        <v>46010</v>
      </c>
      <c r="M12" s="27" t="n">
        <v>46080</v>
      </c>
      <c r="N12" t="n">
        <v>6900</v>
      </c>
      <c r="O12" t="n">
        <v>6900</v>
      </c>
      <c r="P12" s="27" t="n">
        <v>45980</v>
      </c>
      <c r="Q12" t="inlineStr">
        <is>
          <t>Boleto Bancário</t>
        </is>
      </c>
      <c r="R12" t="inlineStr">
        <is>
          <t>1513</t>
        </is>
      </c>
      <c r="S12" t="inlineStr">
        <is>
          <t>Utilidades</t>
        </is>
      </c>
      <c r="T12" t="inlineStr">
        <is>
          <t>Utensilios</t>
        </is>
      </c>
      <c r="U12" t="inlineStr">
        <is>
          <t>Documentação Aprovada</t>
        </is>
      </c>
      <c r="V12" t="inlineStr">
        <is>
          <t>Aprovado Diretoria</t>
        </is>
      </c>
      <c r="W12" t="inlineStr">
        <is>
          <t>Aprovado Caixa</t>
        </is>
      </c>
      <c r="X12" t="inlineStr">
        <is>
          <t>Parcela_Paga</t>
        </is>
      </c>
      <c r="Y12" t="n">
        <v>226</v>
      </c>
      <c r="Z12" t="inlineStr">
        <is>
          <t>The Cavern - Kamino</t>
        </is>
      </c>
    </row>
    <row r="13">
      <c r="A13" t="n">
        <v>12110</v>
      </c>
      <c r="B13" t="n">
        <v>176848</v>
      </c>
      <c r="C13" t="n">
        <v>176</v>
      </c>
      <c r="D13" t="inlineStr">
        <is>
          <t>The Cavern</t>
        </is>
      </c>
      <c r="F13" t="inlineStr">
        <is>
          <t>CALEBE EQUIPAMENTOS INDUSTRIAIS EIRELI</t>
        </is>
      </c>
      <c r="G13" t="inlineStr">
        <is>
          <t>True</t>
        </is>
      </c>
      <c r="H13" t="n">
        <v>3</v>
      </c>
      <c r="I13" t="n">
        <v>2</v>
      </c>
      <c r="J13" t="n">
        <v>2300</v>
      </c>
      <c r="K13" s="27" t="n">
        <v>46041</v>
      </c>
      <c r="L13" s="27" t="n">
        <v>46041</v>
      </c>
      <c r="M13" s="27" t="n">
        <v>46080</v>
      </c>
      <c r="N13" t="n">
        <v>6900</v>
      </c>
      <c r="O13" t="n">
        <v>6900</v>
      </c>
      <c r="P13" s="27" t="n">
        <v>45980</v>
      </c>
      <c r="Q13" t="inlineStr">
        <is>
          <t>Boleto Bancário</t>
        </is>
      </c>
      <c r="R13" t="inlineStr">
        <is>
          <t>1513</t>
        </is>
      </c>
      <c r="S13" t="inlineStr">
        <is>
          <t>Utilidades</t>
        </is>
      </c>
      <c r="T13" t="inlineStr">
        <is>
          <t>Utensilios</t>
        </is>
      </c>
      <c r="U13" t="inlineStr">
        <is>
          <t>Documentação Aprovada</t>
        </is>
      </c>
      <c r="V13" t="inlineStr">
        <is>
          <t>Aprovado Diretoria</t>
        </is>
      </c>
      <c r="W13" t="inlineStr">
        <is>
          <t>Aprovado Caixa</t>
        </is>
      </c>
      <c r="X13" t="inlineStr">
        <is>
          <t>Parcela_Paga</t>
        </is>
      </c>
    </row>
    <row r="14">
      <c r="A14" t="n">
        <v>12111</v>
      </c>
      <c r="B14" t="n">
        <v>176848</v>
      </c>
      <c r="C14" t="n">
        <v>176</v>
      </c>
      <c r="D14" t="inlineStr">
        <is>
          <t>The Cavern</t>
        </is>
      </c>
      <c r="F14" t="inlineStr">
        <is>
          <t>CALEBE EQUIPAMENTOS INDUSTRIAIS EIRELI</t>
        </is>
      </c>
      <c r="G14" t="inlineStr">
        <is>
          <t>True</t>
        </is>
      </c>
      <c r="H14" t="n">
        <v>3</v>
      </c>
      <c r="I14" t="n">
        <v>3</v>
      </c>
      <c r="J14" t="n">
        <v>2353.66</v>
      </c>
      <c r="K14" s="27" t="n">
        <v>46070</v>
      </c>
      <c r="L14" s="27" t="n">
        <v>46083</v>
      </c>
      <c r="M14" s="27" t="n">
        <v>46080</v>
      </c>
      <c r="N14" t="n">
        <v>6900</v>
      </c>
      <c r="O14" t="n">
        <v>6900</v>
      </c>
      <c r="P14" s="27" t="n">
        <v>45980</v>
      </c>
      <c r="Q14" t="inlineStr">
        <is>
          <t>Boleto Bancário</t>
        </is>
      </c>
      <c r="R14" t="inlineStr">
        <is>
          <t>1513</t>
        </is>
      </c>
      <c r="S14" t="inlineStr">
        <is>
          <t>Utilidades</t>
        </is>
      </c>
      <c r="T14" t="inlineStr">
        <is>
          <t>Utensilios</t>
        </is>
      </c>
      <c r="U14" t="inlineStr">
        <is>
          <t>Documentação Aprovada</t>
        </is>
      </c>
      <c r="V14" t="inlineStr">
        <is>
          <t>Aprovado Diretoria</t>
        </is>
      </c>
      <c r="W14" t="inlineStr">
        <is>
          <t>Aprovado Caixa</t>
        </is>
      </c>
      <c r="X14" t="inlineStr">
        <is>
          <t>Parcela_Paga</t>
        </is>
      </c>
      <c r="Y14" t="n">
        <v>226</v>
      </c>
      <c r="Z14" t="inlineStr">
        <is>
          <t>The Cavern - Kamino</t>
        </is>
      </c>
    </row>
    <row r="15">
      <c r="A15" t="n">
        <v>13247</v>
      </c>
      <c r="B15" t="n">
        <v>209321</v>
      </c>
      <c r="C15" t="n">
        <v>176</v>
      </c>
      <c r="D15" t="inlineStr">
        <is>
          <t>The Cavern</t>
        </is>
      </c>
      <c r="F15" t="inlineStr">
        <is>
          <t>ZAHIL IMPORTADORA LTDA</t>
        </is>
      </c>
      <c r="G15" t="inlineStr">
        <is>
          <t>True</t>
        </is>
      </c>
      <c r="H15" t="n">
        <v>2</v>
      </c>
      <c r="I15" t="n">
        <v>1</v>
      </c>
      <c r="J15" t="n">
        <v>722.71</v>
      </c>
      <c r="K15" s="27" t="n">
        <v>46076</v>
      </c>
      <c r="L15" s="27" t="n">
        <v>46076</v>
      </c>
      <c r="M15" s="27" t="n">
        <v>46076</v>
      </c>
      <c r="N15" t="n">
        <v>1357.2</v>
      </c>
      <c r="O15" t="n">
        <v>1445.42</v>
      </c>
      <c r="P15" s="27" t="n">
        <v>46072</v>
      </c>
      <c r="Q15" t="inlineStr">
        <is>
          <t>Boleto Bancário</t>
        </is>
      </c>
      <c r="R15" t="inlineStr">
        <is>
          <t>263527</t>
        </is>
      </c>
      <c r="S15" t="inlineStr">
        <is>
          <t>Custo Mercadoria Vendida</t>
        </is>
      </c>
      <c r="T15" t="inlineStr">
        <is>
          <t>Insumos - Bebidas</t>
        </is>
      </c>
      <c r="U15" t="inlineStr">
        <is>
          <t>Documentação Aprovada</t>
        </is>
      </c>
      <c r="V15" t="inlineStr">
        <is>
          <t>Aprovado Diretoria</t>
        </is>
      </c>
      <c r="W15" t="inlineStr">
        <is>
          <t>Aprovado Caixa</t>
        </is>
      </c>
      <c r="X15" t="inlineStr">
        <is>
          <t>Parcela_Paga</t>
        </is>
      </c>
      <c r="Y15" t="n">
        <v>226</v>
      </c>
      <c r="Z15" t="inlineStr">
        <is>
          <t>The Cavern - Kamino</t>
        </is>
      </c>
    </row>
    <row r="16">
      <c r="A16" t="n">
        <v>12942</v>
      </c>
      <c r="B16" t="n">
        <v>195592</v>
      </c>
      <c r="C16" t="n">
        <v>176</v>
      </c>
      <c r="D16" t="inlineStr">
        <is>
          <t>The Cavern</t>
        </is>
      </c>
      <c r="F16" t="inlineStr">
        <is>
          <t>CALEBE EQUIPAMENTOS INDUSTRIAIS EIRELI</t>
        </is>
      </c>
      <c r="G16" t="inlineStr">
        <is>
          <t>True</t>
        </is>
      </c>
      <c r="H16" t="n">
        <v>6</v>
      </c>
      <c r="I16" t="n">
        <v>1</v>
      </c>
      <c r="J16" t="n">
        <v>4000</v>
      </c>
      <c r="K16" s="27" t="n">
        <v>46069</v>
      </c>
      <c r="L16" s="27" t="n">
        <v>46071</v>
      </c>
      <c r="M16" s="27" t="n">
        <v>46071</v>
      </c>
      <c r="N16" t="n">
        <v>24000</v>
      </c>
      <c r="O16" t="n">
        <v>24000</v>
      </c>
      <c r="P16" s="27" t="n">
        <v>46044</v>
      </c>
      <c r="Q16" t="inlineStr">
        <is>
          <t>Boleto Bancário</t>
        </is>
      </c>
      <c r="R16" t="inlineStr">
        <is>
          <t>12472</t>
        </is>
      </c>
      <c r="S16" t="inlineStr">
        <is>
          <t>Utilidades</t>
        </is>
      </c>
      <c r="T16" t="inlineStr">
        <is>
          <t>Utensilios</t>
        </is>
      </c>
      <c r="U16" t="inlineStr">
        <is>
          <t>Documentação Aprovada</t>
        </is>
      </c>
      <c r="V16" t="inlineStr">
        <is>
          <t>Aprovado Diretoria</t>
        </is>
      </c>
      <c r="W16" t="inlineStr">
        <is>
          <t>Aprovado Caixa</t>
        </is>
      </c>
      <c r="X16" t="inlineStr">
        <is>
          <t>Parcela_Paga</t>
        </is>
      </c>
      <c r="Y16" t="n">
        <v>226</v>
      </c>
      <c r="Z16" t="inlineStr">
        <is>
          <t>The Cavern - Kamino</t>
        </is>
      </c>
    </row>
    <row r="17">
      <c r="A17" t="n">
        <v>12964</v>
      </c>
      <c r="B17" t="n">
        <v>196844</v>
      </c>
      <c r="C17" t="n">
        <v>176</v>
      </c>
      <c r="D17" t="inlineStr">
        <is>
          <t>The Cavern</t>
        </is>
      </c>
      <c r="F17" t="inlineStr">
        <is>
          <t>REBAL COMERCIAL LTDA</t>
        </is>
      </c>
      <c r="G17" t="inlineStr">
        <is>
          <t>True</t>
        </is>
      </c>
      <c r="H17" t="n">
        <v>3</v>
      </c>
      <c r="I17" t="n">
        <v>1</v>
      </c>
      <c r="J17" t="n">
        <v>1782.26</v>
      </c>
      <c r="K17" s="27" t="n">
        <v>46066</v>
      </c>
      <c r="L17" s="27" t="n">
        <v>46071</v>
      </c>
      <c r="M17" s="27" t="n">
        <v>46066</v>
      </c>
      <c r="N17" t="n">
        <v>5346.8</v>
      </c>
      <c r="O17" t="n">
        <v>5346.8</v>
      </c>
      <c r="P17" s="27" t="n">
        <v>46045</v>
      </c>
      <c r="Q17" t="inlineStr">
        <is>
          <t>Boleto Bancário</t>
        </is>
      </c>
      <c r="R17" t="inlineStr">
        <is>
          <t>292320</t>
        </is>
      </c>
      <c r="S17" t="inlineStr">
        <is>
          <t>Utilidades</t>
        </is>
      </c>
      <c r="T17" t="inlineStr">
        <is>
          <t>Utensilios</t>
        </is>
      </c>
      <c r="U17" t="inlineStr">
        <is>
          <t>Documentação Aprovada</t>
        </is>
      </c>
      <c r="V17" t="inlineStr">
        <is>
          <t>Aprovado Diretoria</t>
        </is>
      </c>
      <c r="W17" t="inlineStr">
        <is>
          <t>Aprovado Caixa</t>
        </is>
      </c>
      <c r="X17" t="inlineStr">
        <is>
          <t>Parcela_Paga</t>
        </is>
      </c>
      <c r="Y17" t="n">
        <v>226</v>
      </c>
      <c r="Z17" t="inlineStr">
        <is>
          <t>The Cavern - Kamino</t>
        </is>
      </c>
    </row>
    <row r="18">
      <c r="A18" t="n">
        <v>12900</v>
      </c>
      <c r="B18" t="n">
        <v>193694</v>
      </c>
      <c r="C18" t="n">
        <v>176</v>
      </c>
      <c r="D18" t="inlineStr">
        <is>
          <t>The Cavern</t>
        </is>
      </c>
      <c r="F18" t="inlineStr">
        <is>
          <t>ZAHIL IMPORTADORA LTDA</t>
        </is>
      </c>
      <c r="G18" t="inlineStr">
        <is>
          <t>True</t>
        </is>
      </c>
      <c r="H18" t="n">
        <v>5</v>
      </c>
      <c r="I18" t="n">
        <v>2</v>
      </c>
      <c r="J18" t="n">
        <v>10970.67</v>
      </c>
      <c r="K18" s="27" t="n">
        <v>46059</v>
      </c>
      <c r="L18" s="27" t="n">
        <v>46045</v>
      </c>
      <c r="M18" s="27" t="n">
        <v>46059</v>
      </c>
      <c r="N18" t="n">
        <v>54853.37</v>
      </c>
      <c r="O18" t="n">
        <v>54853.37</v>
      </c>
      <c r="P18" s="27" t="n">
        <v>46038</v>
      </c>
      <c r="Q18" t="inlineStr">
        <is>
          <t>Boleto Bancário</t>
        </is>
      </c>
      <c r="R18" t="inlineStr">
        <is>
          <t>260242</t>
        </is>
      </c>
      <c r="S18" t="inlineStr">
        <is>
          <t>Custo Mercadoria Vendida</t>
        </is>
      </c>
      <c r="T18" t="inlineStr">
        <is>
          <t>Insumos - Bebidas</t>
        </is>
      </c>
      <c r="U18" t="inlineStr">
        <is>
          <t>Documentação Aprovada</t>
        </is>
      </c>
      <c r="V18" t="inlineStr">
        <is>
          <t>Aprovado Diretoria</t>
        </is>
      </c>
      <c r="W18" t="inlineStr">
        <is>
          <t>Aprovado Caixa</t>
        </is>
      </c>
      <c r="X18" t="inlineStr">
        <is>
          <t>Parcela_Paga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ID_Extrato_Bancario</t>
        </is>
      </c>
      <c r="B1" t="inlineStr">
        <is>
          <t>ID_Conta_Bancaria</t>
        </is>
      </c>
      <c r="C1" t="inlineStr">
        <is>
          <t>Nome_Conta_Bancaria</t>
        </is>
      </c>
      <c r="D1" t="inlineStr">
        <is>
          <t>ID_Casa</t>
        </is>
      </c>
      <c r="E1" t="inlineStr">
        <is>
          <t>Casa</t>
        </is>
      </c>
      <c r="F1" t="inlineStr">
        <is>
          <t>Data_Transacao</t>
        </is>
      </c>
      <c r="G1" t="inlineStr">
        <is>
          <t>Tipo_Credito_Debito</t>
        </is>
      </c>
      <c r="H1" t="inlineStr">
        <is>
          <t>Descricao_Transacao</t>
        </is>
      </c>
      <c r="I1" t="inlineStr">
        <is>
          <t>Valor</t>
        </is>
      </c>
    </row>
    <row r="2">
      <c r="A2" t="n">
        <v>261472</v>
      </c>
      <c r="B2" t="n">
        <v>226</v>
      </c>
      <c r="C2" t="inlineStr">
        <is>
          <t>The Cavern - Kamino</t>
        </is>
      </c>
      <c r="D2" t="n">
        <v>176</v>
      </c>
      <c r="E2" t="inlineStr">
        <is>
          <t>The Cavern</t>
        </is>
      </c>
      <c r="F2" s="27" t="n">
        <v>46080</v>
      </c>
      <c r="G2" t="inlineStr">
        <is>
          <t>DEBITO</t>
        </is>
      </c>
      <c r="H2" t="inlineStr">
        <is>
          <t>Sptrans</t>
        </is>
      </c>
      <c r="I2" t="n">
        <v>-3151.14</v>
      </c>
    </row>
    <row r="3">
      <c r="A3" t="n">
        <v>261461</v>
      </c>
      <c r="B3" t="n">
        <v>226</v>
      </c>
      <c r="C3" t="inlineStr">
        <is>
          <t>The Cavern - Kamino</t>
        </is>
      </c>
      <c r="D3" t="n">
        <v>176</v>
      </c>
      <c r="E3" t="inlineStr">
        <is>
          <t>The Cavern</t>
        </is>
      </c>
      <c r="F3" s="27" t="n">
        <v>46080</v>
      </c>
      <c r="G3" t="inlineStr">
        <is>
          <t>DEBITO</t>
        </is>
      </c>
      <c r="H3" t="inlineStr">
        <is>
          <t>Cia do Whisky</t>
        </is>
      </c>
      <c r="I3" t="n">
        <v>-432.44</v>
      </c>
    </row>
    <row r="4">
      <c r="A4" t="n">
        <v>261459</v>
      </c>
      <c r="B4" t="n">
        <v>226</v>
      </c>
      <c r="C4" t="inlineStr">
        <is>
          <t>The Cavern - Kamino</t>
        </is>
      </c>
      <c r="D4" t="n">
        <v>176</v>
      </c>
      <c r="E4" t="inlineStr">
        <is>
          <t>The Cavern</t>
        </is>
      </c>
      <c r="F4" s="27" t="n">
        <v>46080</v>
      </c>
      <c r="G4" t="inlineStr">
        <is>
          <t>DEBITO</t>
        </is>
      </c>
      <c r="H4" t="inlineStr">
        <is>
          <t>Zahil</t>
        </is>
      </c>
      <c r="I4" t="n">
        <v>-1705.17</v>
      </c>
    </row>
    <row r="5">
      <c r="A5" t="n">
        <v>261458</v>
      </c>
      <c r="B5" t="n">
        <v>226</v>
      </c>
      <c r="C5" t="inlineStr">
        <is>
          <t>The Cavern - Kamino</t>
        </is>
      </c>
      <c r="D5" t="n">
        <v>176</v>
      </c>
      <c r="E5" t="inlineStr">
        <is>
          <t>The Cavern</t>
        </is>
      </c>
      <c r="F5" s="27" t="n">
        <v>46080</v>
      </c>
      <c r="G5" t="inlineStr">
        <is>
          <t>DEBITO</t>
        </is>
      </c>
      <c r="H5" t="inlineStr">
        <is>
          <t>Fg7 Comercio D B Eireli Epp</t>
        </is>
      </c>
      <c r="I5" t="n">
        <v>-453.9</v>
      </c>
    </row>
    <row r="6">
      <c r="A6" t="n">
        <v>261457</v>
      </c>
      <c r="B6" t="n">
        <v>226</v>
      </c>
      <c r="C6" t="inlineStr">
        <is>
          <t>The Cavern - Kamino</t>
        </is>
      </c>
      <c r="D6" t="n">
        <v>176</v>
      </c>
      <c r="E6" t="inlineStr">
        <is>
          <t>The Cavern</t>
        </is>
      </c>
      <c r="F6" s="27" t="n">
        <v>46080</v>
      </c>
      <c r="G6" t="inlineStr">
        <is>
          <t>DEBITO</t>
        </is>
      </c>
      <c r="H6" t="inlineStr">
        <is>
          <t>Cecilia Tsuyaco Araki Silva Ltda</t>
        </is>
      </c>
      <c r="I6" t="n">
        <v>-1292.5</v>
      </c>
    </row>
    <row r="7">
      <c r="A7" t="n">
        <v>261456</v>
      </c>
      <c r="B7" t="n">
        <v>226</v>
      </c>
      <c r="C7" t="inlineStr">
        <is>
          <t>The Cavern - Kamino</t>
        </is>
      </c>
      <c r="D7" t="n">
        <v>176</v>
      </c>
      <c r="E7" t="inlineStr">
        <is>
          <t>The Cavern</t>
        </is>
      </c>
      <c r="F7" s="27" t="n">
        <v>46080</v>
      </c>
      <c r="G7" t="inlineStr">
        <is>
          <t>DEBITO</t>
        </is>
      </c>
      <c r="H7" t="inlineStr">
        <is>
          <t>Analuisa Scalon de Oliveira Goncalves</t>
        </is>
      </c>
      <c r="I7" t="n">
        <v>-688.75</v>
      </c>
    </row>
    <row r="8">
      <c r="A8" t="n">
        <v>261455</v>
      </c>
      <c r="B8" t="n">
        <v>226</v>
      </c>
      <c r="C8" t="inlineStr">
        <is>
          <t>The Cavern - Kamino</t>
        </is>
      </c>
      <c r="D8" t="n">
        <v>176</v>
      </c>
      <c r="E8" t="inlineStr">
        <is>
          <t>The Cavern</t>
        </is>
      </c>
      <c r="F8" s="27" t="n">
        <v>46080</v>
      </c>
      <c r="G8" t="inlineStr">
        <is>
          <t>DEBITO</t>
        </is>
      </c>
      <c r="H8" t="inlineStr">
        <is>
          <t>Paulo Sergio Lopes Martins de Freitas</t>
        </is>
      </c>
      <c r="I8" t="n">
        <v>-7415.6</v>
      </c>
    </row>
    <row r="9">
      <c r="A9" t="n">
        <v>261454</v>
      </c>
      <c r="B9" t="n">
        <v>226</v>
      </c>
      <c r="C9" t="inlineStr">
        <is>
          <t>The Cavern - Kamino</t>
        </is>
      </c>
      <c r="D9" t="n">
        <v>176</v>
      </c>
      <c r="E9" t="inlineStr">
        <is>
          <t>The Cavern</t>
        </is>
      </c>
      <c r="F9" s="27" t="n">
        <v>46080</v>
      </c>
      <c r="G9" t="inlineStr">
        <is>
          <t>DEBITO</t>
        </is>
      </c>
      <c r="H9" t="inlineStr">
        <is>
          <t>Mar Direto Poc Comercio de Pei</t>
        </is>
      </c>
      <c r="I9" t="n">
        <v>-1309.75</v>
      </c>
    </row>
    <row r="10">
      <c r="A10" t="n">
        <v>261453</v>
      </c>
      <c r="B10" t="n">
        <v>226</v>
      </c>
      <c r="C10" t="inlineStr">
        <is>
          <t>The Cavern - Kamino</t>
        </is>
      </c>
      <c r="D10" t="n">
        <v>176</v>
      </c>
      <c r="E10" t="inlineStr">
        <is>
          <t>The Cavern</t>
        </is>
      </c>
      <c r="F10" s="27" t="n">
        <v>46080</v>
      </c>
      <c r="G10" t="inlineStr">
        <is>
          <t>DEBITO</t>
        </is>
      </c>
      <c r="H10" t="inlineStr">
        <is>
          <t>Tarifa Pix Enviado-PJ</t>
        </is>
      </c>
      <c r="I10" t="n">
        <v>-0.5</v>
      </c>
    </row>
    <row r="11">
      <c r="A11" t="n">
        <v>261452</v>
      </c>
      <c r="B11" t="n">
        <v>226</v>
      </c>
      <c r="C11" t="inlineStr">
        <is>
          <t>The Cavern - Kamino</t>
        </is>
      </c>
      <c r="D11" t="n">
        <v>176</v>
      </c>
      <c r="E11" t="inlineStr">
        <is>
          <t>The Cavern</t>
        </is>
      </c>
      <c r="F11" s="27" t="n">
        <v>46080</v>
      </c>
      <c r="G11" t="inlineStr">
        <is>
          <t>CREDITO</t>
        </is>
      </c>
      <c r="H11" t="inlineStr">
        <is>
          <t>A CAVERNA BAR LTDA</t>
        </is>
      </c>
      <c r="I11" t="n">
        <v>1000</v>
      </c>
    </row>
    <row r="12">
      <c r="A12" t="n">
        <v>261451</v>
      </c>
      <c r="B12" t="n">
        <v>226</v>
      </c>
      <c r="C12" t="inlineStr">
        <is>
          <t>The Cavern - Kamino</t>
        </is>
      </c>
      <c r="D12" t="n">
        <v>176</v>
      </c>
      <c r="E12" t="inlineStr">
        <is>
          <t>The Cavern</t>
        </is>
      </c>
      <c r="F12" s="27" t="n">
        <v>46080</v>
      </c>
      <c r="G12" t="inlineStr">
        <is>
          <t>CREDITO</t>
        </is>
      </c>
      <c r="H12" t="inlineStr">
        <is>
          <t>A CAVERNA BAR LTDA</t>
        </is>
      </c>
      <c r="I12" t="n">
        <v>24000</v>
      </c>
    </row>
    <row r="13">
      <c r="A13" t="n">
        <v>261450</v>
      </c>
      <c r="B13" t="n">
        <v>226</v>
      </c>
      <c r="C13" t="inlineStr">
        <is>
          <t>The Cavern - Kamino</t>
        </is>
      </c>
      <c r="D13" t="n">
        <v>176</v>
      </c>
      <c r="E13" t="inlineStr">
        <is>
          <t>The Cavern</t>
        </is>
      </c>
      <c r="F13" s="27" t="n">
        <v>46080</v>
      </c>
      <c r="G13" t="inlineStr">
        <is>
          <t>CREDITO</t>
        </is>
      </c>
      <c r="H13" t="inlineStr">
        <is>
          <t>Zig Tecnologia S.A.</t>
        </is>
      </c>
      <c r="I13" t="n">
        <v>5144</v>
      </c>
    </row>
    <row r="14">
      <c r="A14" t="n">
        <v>261449</v>
      </c>
      <c r="B14" t="n">
        <v>226</v>
      </c>
      <c r="C14" t="inlineStr">
        <is>
          <t>The Cavern - Kamino</t>
        </is>
      </c>
      <c r="D14" t="n">
        <v>176</v>
      </c>
      <c r="E14" t="inlineStr">
        <is>
          <t>The Cavern</t>
        </is>
      </c>
      <c r="F14" s="27" t="n">
        <v>46080</v>
      </c>
      <c r="G14" t="inlineStr">
        <is>
          <t>CREDITO</t>
        </is>
      </c>
      <c r="H14" t="inlineStr">
        <is>
          <t>Zig Tecnologia S.A.</t>
        </is>
      </c>
      <c r="I14" t="n">
        <v>2906</v>
      </c>
    </row>
    <row r="15">
      <c r="A15" t="n">
        <v>261460</v>
      </c>
      <c r="B15" t="n">
        <v>226</v>
      </c>
      <c r="C15" t="inlineStr">
        <is>
          <t>The Cavern - Kamino</t>
        </is>
      </c>
      <c r="D15" t="n">
        <v>176</v>
      </c>
      <c r="E15" t="inlineStr">
        <is>
          <t>The Cavern</t>
        </is>
      </c>
      <c r="F15" s="27" t="n">
        <v>46080</v>
      </c>
      <c r="G15" t="inlineStr">
        <is>
          <t>DEBITO</t>
        </is>
      </c>
      <c r="H15" t="inlineStr">
        <is>
          <t>Mario Pedro Feliciano Hortifru</t>
        </is>
      </c>
      <c r="I15" t="n">
        <v>-422.83</v>
      </c>
    </row>
    <row r="16">
      <c r="A16" t="n">
        <v>261462</v>
      </c>
      <c r="B16" t="n">
        <v>226</v>
      </c>
      <c r="C16" t="inlineStr">
        <is>
          <t>The Cavern - Kamino</t>
        </is>
      </c>
      <c r="D16" t="n">
        <v>176</v>
      </c>
      <c r="E16" t="inlineStr">
        <is>
          <t>The Cavern</t>
        </is>
      </c>
      <c r="F16" s="27" t="n">
        <v>46080</v>
      </c>
      <c r="G16" t="inlineStr">
        <is>
          <t>DEBITO</t>
        </is>
      </c>
      <c r="H16" t="inlineStr">
        <is>
          <t>Cg Food S Distr Alimentos Ltda</t>
        </is>
      </c>
      <c r="I16" t="n">
        <v>-414.7</v>
      </c>
    </row>
    <row r="17">
      <c r="A17" t="n">
        <v>261463</v>
      </c>
      <c r="B17" t="n">
        <v>226</v>
      </c>
      <c r="C17" t="inlineStr">
        <is>
          <t>The Cavern - Kamino</t>
        </is>
      </c>
      <c r="D17" t="n">
        <v>176</v>
      </c>
      <c r="E17" t="inlineStr">
        <is>
          <t>The Cavern</t>
        </is>
      </c>
      <c r="F17" s="27" t="n">
        <v>46080</v>
      </c>
      <c r="G17" t="inlineStr">
        <is>
          <t>DEBITO</t>
        </is>
      </c>
      <c r="H17" t="inlineStr">
        <is>
          <t>Casa de Carnes P.J.J.Ltda</t>
        </is>
      </c>
      <c r="I17" t="n">
        <v>-337.23</v>
      </c>
    </row>
    <row r="18">
      <c r="A18" t="n">
        <v>261464</v>
      </c>
      <c r="B18" t="n">
        <v>226</v>
      </c>
      <c r="C18" t="inlineStr">
        <is>
          <t>The Cavern - Kamino</t>
        </is>
      </c>
      <c r="D18" t="n">
        <v>176</v>
      </c>
      <c r="E18" t="inlineStr">
        <is>
          <t>The Cavern</t>
        </is>
      </c>
      <c r="F18" s="27" t="n">
        <v>46080</v>
      </c>
      <c r="G18" t="inlineStr">
        <is>
          <t>DEBITO</t>
        </is>
      </c>
      <c r="H18" t="inlineStr">
        <is>
          <t>Calebe Equipamentos</t>
        </is>
      </c>
      <c r="I18" t="n">
        <v>-2353.66</v>
      </c>
    </row>
    <row r="19">
      <c r="A19" t="n">
        <v>261465</v>
      </c>
      <c r="B19" t="n">
        <v>226</v>
      </c>
      <c r="C19" t="inlineStr">
        <is>
          <t>The Cavern - Kamino</t>
        </is>
      </c>
      <c r="D19" t="n">
        <v>176</v>
      </c>
      <c r="E19" t="inlineStr">
        <is>
          <t>The Cavern</t>
        </is>
      </c>
      <c r="F19" s="27" t="n">
        <v>46080</v>
      </c>
      <c r="G19" t="inlineStr">
        <is>
          <t>DEBITO</t>
        </is>
      </c>
      <c r="H19" t="inlineStr">
        <is>
          <t>Ng27 Consultoria e Gestao Empr</t>
        </is>
      </c>
      <c r="I19" t="n">
        <v>-536.7</v>
      </c>
    </row>
    <row r="20">
      <c r="A20" t="n">
        <v>261466</v>
      </c>
      <c r="B20" t="n">
        <v>226</v>
      </c>
      <c r="C20" t="inlineStr">
        <is>
          <t>The Cavern - Kamino</t>
        </is>
      </c>
      <c r="D20" t="n">
        <v>176</v>
      </c>
      <c r="E20" t="inlineStr">
        <is>
          <t>The Cavern</t>
        </is>
      </c>
      <c r="F20" s="27" t="n">
        <v>46080</v>
      </c>
      <c r="G20" t="inlineStr">
        <is>
          <t>DEBITO</t>
        </is>
      </c>
      <c r="H20" t="inlineStr">
        <is>
          <t>Psss Ltda</t>
        </is>
      </c>
      <c r="I20" t="n">
        <v>-59</v>
      </c>
    </row>
    <row r="21">
      <c r="A21" t="n">
        <v>261467</v>
      </c>
      <c r="B21" t="n">
        <v>226</v>
      </c>
      <c r="C21" t="inlineStr">
        <is>
          <t>The Cavern - Kamino</t>
        </is>
      </c>
      <c r="D21" t="n">
        <v>176</v>
      </c>
      <c r="E21" t="inlineStr">
        <is>
          <t>The Cavern</t>
        </is>
      </c>
      <c r="F21" s="27" t="n">
        <v>46080</v>
      </c>
      <c r="G21" t="inlineStr">
        <is>
          <t>DEBITO</t>
        </is>
      </c>
      <c r="H21" t="inlineStr">
        <is>
          <t>Psss Ltda</t>
        </is>
      </c>
      <c r="I21" t="n">
        <v>-723.2</v>
      </c>
    </row>
    <row r="22">
      <c r="A22" t="n">
        <v>261468</v>
      </c>
      <c r="B22" t="n">
        <v>226</v>
      </c>
      <c r="C22" t="inlineStr">
        <is>
          <t>The Cavern - Kamino</t>
        </is>
      </c>
      <c r="D22" t="n">
        <v>176</v>
      </c>
      <c r="E22" t="inlineStr">
        <is>
          <t>The Cavern</t>
        </is>
      </c>
      <c r="F22" s="27" t="n">
        <v>46080</v>
      </c>
      <c r="G22" t="inlineStr">
        <is>
          <t>DEBITO</t>
        </is>
      </c>
      <c r="H22" t="inlineStr">
        <is>
          <t>Forte Alimentos Comercio e Importacao Lt</t>
        </is>
      </c>
      <c r="I22" t="n">
        <v>-551.64</v>
      </c>
    </row>
    <row r="23">
      <c r="A23" t="n">
        <v>261469</v>
      </c>
      <c r="B23" t="n">
        <v>226</v>
      </c>
      <c r="C23" t="inlineStr">
        <is>
          <t>The Cavern - Kamino</t>
        </is>
      </c>
      <c r="D23" t="n">
        <v>176</v>
      </c>
      <c r="E23" t="inlineStr">
        <is>
          <t>The Cavern</t>
        </is>
      </c>
      <c r="F23" s="27" t="n">
        <v>46080</v>
      </c>
      <c r="G23" t="inlineStr">
        <is>
          <t>DEBITO</t>
        </is>
      </c>
      <c r="H23" t="inlineStr">
        <is>
          <t>W P P C Carnes Eireli Epp</t>
        </is>
      </c>
      <c r="I23" t="n">
        <v>-169.39</v>
      </c>
    </row>
    <row r="24">
      <c r="A24" t="n">
        <v>261470</v>
      </c>
      <c r="B24" t="n">
        <v>226</v>
      </c>
      <c r="C24" t="inlineStr">
        <is>
          <t>The Cavern - Kamino</t>
        </is>
      </c>
      <c r="D24" t="n">
        <v>176</v>
      </c>
      <c r="E24" t="inlineStr">
        <is>
          <t>The Cavern</t>
        </is>
      </c>
      <c r="F24" s="27" t="n">
        <v>46080</v>
      </c>
      <c r="G24" t="inlineStr">
        <is>
          <t>DEBITO</t>
        </is>
      </c>
      <c r="H24" t="inlineStr">
        <is>
          <t>Dtk com de Alim Ltda</t>
        </is>
      </c>
      <c r="I24" t="n">
        <v>-372.09</v>
      </c>
    </row>
    <row r="25">
      <c r="A25" t="n">
        <v>261471</v>
      </c>
      <c r="B25" t="n">
        <v>226</v>
      </c>
      <c r="C25" t="inlineStr">
        <is>
          <t>The Cavern - Kamino</t>
        </is>
      </c>
      <c r="D25" t="n">
        <v>176</v>
      </c>
      <c r="E25" t="inlineStr">
        <is>
          <t>The Cavern</t>
        </is>
      </c>
      <c r="F25" s="27" t="n">
        <v>46080</v>
      </c>
      <c r="G25" t="inlineStr">
        <is>
          <t>DEBITO</t>
        </is>
      </c>
      <c r="H25" t="inlineStr">
        <is>
          <t>Tarifa Pix Enviado-PJ</t>
        </is>
      </c>
      <c r="I25" t="n">
        <v>-0.5</v>
      </c>
    </row>
    <row r="26">
      <c r="A26" t="n">
        <v>256923</v>
      </c>
      <c r="B26" t="n">
        <v>226</v>
      </c>
      <c r="C26" t="inlineStr">
        <is>
          <t>The Cavern - Kamino</t>
        </is>
      </c>
      <c r="D26" t="n">
        <v>176</v>
      </c>
      <c r="E26" t="inlineStr">
        <is>
          <t>The Cavern</t>
        </is>
      </c>
      <c r="F26" s="27" t="n">
        <v>46079</v>
      </c>
      <c r="G26" t="inlineStr">
        <is>
          <t>DEBITO</t>
        </is>
      </c>
      <c r="H26" t="inlineStr">
        <is>
          <t>Casa de Carnes P.J.J.Ltda</t>
        </is>
      </c>
      <c r="I26" t="n">
        <v>-386.29</v>
      </c>
    </row>
    <row r="27">
      <c r="A27" t="n">
        <v>256922</v>
      </c>
      <c r="B27" t="n">
        <v>226</v>
      </c>
      <c r="C27" t="inlineStr">
        <is>
          <t>The Cavern - Kamino</t>
        </is>
      </c>
      <c r="D27" t="n">
        <v>176</v>
      </c>
      <c r="E27" t="inlineStr">
        <is>
          <t>The Cavern</t>
        </is>
      </c>
      <c r="F27" s="27" t="n">
        <v>46079</v>
      </c>
      <c r="G27" t="inlineStr">
        <is>
          <t>DEBITO</t>
        </is>
      </c>
      <c r="H27" t="inlineStr">
        <is>
          <t>Cecilia Tsuyaco Araki Silva Ltda</t>
        </is>
      </c>
      <c r="I27" t="n">
        <v>-327.2</v>
      </c>
    </row>
    <row r="28">
      <c r="A28" t="n">
        <v>256921</v>
      </c>
      <c r="B28" t="n">
        <v>226</v>
      </c>
      <c r="C28" t="inlineStr">
        <is>
          <t>The Cavern - Kamino</t>
        </is>
      </c>
      <c r="D28" t="n">
        <v>176</v>
      </c>
      <c r="E28" t="inlineStr">
        <is>
          <t>The Cavern</t>
        </is>
      </c>
      <c r="F28" s="27" t="n">
        <v>46079</v>
      </c>
      <c r="G28" t="inlineStr">
        <is>
          <t>CREDITO</t>
        </is>
      </c>
      <c r="H28" t="inlineStr">
        <is>
          <t>Zig Tecnologia S.A.</t>
        </is>
      </c>
      <c r="I28" t="n">
        <v>2862</v>
      </c>
    </row>
    <row r="29">
      <c r="A29" t="n">
        <v>256912</v>
      </c>
      <c r="B29" t="n">
        <v>226</v>
      </c>
      <c r="C29" t="inlineStr">
        <is>
          <t>The Cavern - Kamino</t>
        </is>
      </c>
      <c r="D29" t="n">
        <v>176</v>
      </c>
      <c r="E29" t="inlineStr">
        <is>
          <t>The Cavern</t>
        </is>
      </c>
      <c r="F29" s="27" t="n">
        <v>46078</v>
      </c>
      <c r="G29" t="inlineStr">
        <is>
          <t>DEBITO</t>
        </is>
      </c>
      <c r="H29" t="inlineStr">
        <is>
          <t>Bb Distribuidora</t>
        </is>
      </c>
      <c r="I29" t="n">
        <v>-1500.04</v>
      </c>
    </row>
    <row r="30">
      <c r="A30" t="n">
        <v>256904</v>
      </c>
      <c r="B30" t="n">
        <v>226</v>
      </c>
      <c r="C30" t="inlineStr">
        <is>
          <t>The Cavern - Kamino</t>
        </is>
      </c>
      <c r="D30" t="n">
        <v>176</v>
      </c>
      <c r="E30" t="inlineStr">
        <is>
          <t>The Cavern</t>
        </is>
      </c>
      <c r="F30" s="27" t="n">
        <v>46078</v>
      </c>
      <c r="G30" t="inlineStr">
        <is>
          <t>CREDITO</t>
        </is>
      </c>
      <c r="H30" t="inlineStr">
        <is>
          <t>Zig Tecnologia S.A.</t>
        </is>
      </c>
      <c r="I30" t="n">
        <v>764</v>
      </c>
    </row>
    <row r="31">
      <c r="A31" t="n">
        <v>256905</v>
      </c>
      <c r="B31" t="n">
        <v>226</v>
      </c>
      <c r="C31" t="inlineStr">
        <is>
          <t>The Cavern - Kamino</t>
        </is>
      </c>
      <c r="D31" t="n">
        <v>176</v>
      </c>
      <c r="E31" t="inlineStr">
        <is>
          <t>The Cavern</t>
        </is>
      </c>
      <c r="F31" s="27" t="n">
        <v>46078</v>
      </c>
      <c r="G31" t="inlineStr">
        <is>
          <t>CREDITO</t>
        </is>
      </c>
      <c r="H31" t="inlineStr">
        <is>
          <t>Zig Tecnologia S.A.</t>
        </is>
      </c>
      <c r="I31" t="n">
        <v>5358</v>
      </c>
    </row>
    <row r="32">
      <c r="A32" t="n">
        <v>256906</v>
      </c>
      <c r="B32" t="n">
        <v>226</v>
      </c>
      <c r="C32" t="inlineStr">
        <is>
          <t>The Cavern - Kamino</t>
        </is>
      </c>
      <c r="D32" t="n">
        <v>176</v>
      </c>
      <c r="E32" t="inlineStr">
        <is>
          <t>The Cavern</t>
        </is>
      </c>
      <c r="F32" s="27" t="n">
        <v>46078</v>
      </c>
      <c r="G32" t="inlineStr">
        <is>
          <t>CREDITO</t>
        </is>
      </c>
      <c r="H32" t="inlineStr">
        <is>
          <t>A CAVERNA BAR LTDA</t>
        </is>
      </c>
      <c r="I32" t="n">
        <v>3300</v>
      </c>
    </row>
    <row r="33">
      <c r="A33" t="n">
        <v>256907</v>
      </c>
      <c r="B33" t="n">
        <v>226</v>
      </c>
      <c r="C33" t="inlineStr">
        <is>
          <t>The Cavern - Kamino</t>
        </is>
      </c>
      <c r="D33" t="n">
        <v>176</v>
      </c>
      <c r="E33" t="inlineStr">
        <is>
          <t>The Cavern</t>
        </is>
      </c>
      <c r="F33" s="27" t="n">
        <v>46078</v>
      </c>
      <c r="G33" t="inlineStr">
        <is>
          <t>DEBITO</t>
        </is>
      </c>
      <c r="H33" t="inlineStr">
        <is>
          <t>Front Bebidas Litda</t>
        </is>
      </c>
      <c r="I33" t="n">
        <v>-1065.3</v>
      </c>
    </row>
    <row r="34">
      <c r="A34" t="n">
        <v>256908</v>
      </c>
      <c r="B34" t="n">
        <v>226</v>
      </c>
      <c r="C34" t="inlineStr">
        <is>
          <t>The Cavern - Kamino</t>
        </is>
      </c>
      <c r="D34" t="n">
        <v>176</v>
      </c>
      <c r="E34" t="inlineStr">
        <is>
          <t>The Cavern</t>
        </is>
      </c>
      <c r="F34" s="27" t="n">
        <v>46078</v>
      </c>
      <c r="G34" t="inlineStr">
        <is>
          <t>DEBITO</t>
        </is>
      </c>
      <c r="H34" t="inlineStr">
        <is>
          <t>Tarifa Pix Enviado-PJ</t>
        </is>
      </c>
      <c r="I34" t="n">
        <v>-0.5</v>
      </c>
    </row>
    <row r="35">
      <c r="A35" t="n">
        <v>256909</v>
      </c>
      <c r="B35" t="n">
        <v>226</v>
      </c>
      <c r="C35" t="inlineStr">
        <is>
          <t>The Cavern - Kamino</t>
        </is>
      </c>
      <c r="D35" t="n">
        <v>176</v>
      </c>
      <c r="E35" t="inlineStr">
        <is>
          <t>The Cavern</t>
        </is>
      </c>
      <c r="F35" s="27" t="n">
        <v>46078</v>
      </c>
      <c r="G35" t="inlineStr">
        <is>
          <t>DEBITO</t>
        </is>
      </c>
      <c r="H35" t="inlineStr">
        <is>
          <t>Fabricio de Moraes Cavalcante</t>
        </is>
      </c>
      <c r="I35" t="n">
        <v>-1585.44</v>
      </c>
    </row>
    <row r="36">
      <c r="A36" t="n">
        <v>256910</v>
      </c>
      <c r="B36" t="n">
        <v>226</v>
      </c>
      <c r="C36" t="inlineStr">
        <is>
          <t>The Cavern - Kamino</t>
        </is>
      </c>
      <c r="D36" t="n">
        <v>176</v>
      </c>
      <c r="E36" t="inlineStr">
        <is>
          <t>The Cavern</t>
        </is>
      </c>
      <c r="F36" s="27" t="n">
        <v>46078</v>
      </c>
      <c r="G36" t="inlineStr">
        <is>
          <t>DEBITO</t>
        </is>
      </c>
      <c r="H36" t="inlineStr">
        <is>
          <t>Tarifa Pix Enviado-PJ</t>
        </is>
      </c>
      <c r="I36" t="n">
        <v>-0.5</v>
      </c>
    </row>
    <row r="37">
      <c r="A37" t="n">
        <v>256911</v>
      </c>
      <c r="B37" t="n">
        <v>226</v>
      </c>
      <c r="C37" t="inlineStr">
        <is>
          <t>The Cavern - Kamino</t>
        </is>
      </c>
      <c r="D37" t="n">
        <v>176</v>
      </c>
      <c r="E37" t="inlineStr">
        <is>
          <t>The Cavern</t>
        </is>
      </c>
      <c r="F37" s="27" t="n">
        <v>46078</v>
      </c>
      <c r="G37" t="inlineStr">
        <is>
          <t>DEBITO</t>
        </is>
      </c>
      <c r="H37" t="inlineStr">
        <is>
          <t>Matheus Barros Silva</t>
        </is>
      </c>
      <c r="I37" t="n">
        <v>-1783.62</v>
      </c>
    </row>
    <row r="38">
      <c r="A38" t="n">
        <v>256913</v>
      </c>
      <c r="B38" t="n">
        <v>226</v>
      </c>
      <c r="C38" t="inlineStr">
        <is>
          <t>The Cavern - Kamino</t>
        </is>
      </c>
      <c r="D38" t="n">
        <v>176</v>
      </c>
      <c r="E38" t="inlineStr">
        <is>
          <t>The Cavern</t>
        </is>
      </c>
      <c r="F38" s="27" t="n">
        <v>46078</v>
      </c>
      <c r="G38" t="inlineStr">
        <is>
          <t>DEBITO</t>
        </is>
      </c>
      <c r="H38" t="inlineStr">
        <is>
          <t>Eau Distribuidora a M Ltda</t>
        </is>
      </c>
      <c r="I38" t="n">
        <v>-257.5</v>
      </c>
    </row>
    <row r="39">
      <c r="A39" t="n">
        <v>256914</v>
      </c>
      <c r="B39" t="n">
        <v>226</v>
      </c>
      <c r="C39" t="inlineStr">
        <is>
          <t>The Cavern - Kamino</t>
        </is>
      </c>
      <c r="D39" t="n">
        <v>176</v>
      </c>
      <c r="E39" t="inlineStr">
        <is>
          <t>The Cavern</t>
        </is>
      </c>
      <c r="F39" s="27" t="n">
        <v>46078</v>
      </c>
      <c r="G39" t="inlineStr">
        <is>
          <t>DEBITO</t>
        </is>
      </c>
      <c r="H39" t="inlineStr">
        <is>
          <t>Marcos Silva do Nascimento</t>
        </is>
      </c>
      <c r="I39" t="n">
        <v>-731.71</v>
      </c>
    </row>
    <row r="40">
      <c r="A40" t="n">
        <v>256915</v>
      </c>
      <c r="B40" t="n">
        <v>226</v>
      </c>
      <c r="C40" t="inlineStr">
        <is>
          <t>The Cavern - Kamino</t>
        </is>
      </c>
      <c r="D40" t="n">
        <v>176</v>
      </c>
      <c r="E40" t="inlineStr">
        <is>
          <t>The Cavern</t>
        </is>
      </c>
      <c r="F40" s="27" t="n">
        <v>46078</v>
      </c>
      <c r="G40" t="inlineStr">
        <is>
          <t>DEBITO</t>
        </is>
      </c>
      <c r="H40" t="inlineStr">
        <is>
          <t>Tarifa Pix Enviado-PJ</t>
        </is>
      </c>
      <c r="I40" t="n">
        <v>-0.5</v>
      </c>
    </row>
    <row r="41">
      <c r="A41" t="n">
        <v>256916</v>
      </c>
      <c r="B41" t="n">
        <v>226</v>
      </c>
      <c r="C41" t="inlineStr">
        <is>
          <t>The Cavern - Kamino</t>
        </is>
      </c>
      <c r="D41" t="n">
        <v>176</v>
      </c>
      <c r="E41" t="inlineStr">
        <is>
          <t>The Cavern</t>
        </is>
      </c>
      <c r="F41" s="27" t="n">
        <v>46078</v>
      </c>
      <c r="G41" t="inlineStr">
        <is>
          <t>DEBITO</t>
        </is>
      </c>
      <c r="H41" t="inlineStr">
        <is>
          <t>W P P C Carnes Eireli Epp</t>
        </is>
      </c>
      <c r="I41" t="n">
        <v>-209.5</v>
      </c>
    </row>
    <row r="42">
      <c r="A42" t="n">
        <v>256917</v>
      </c>
      <c r="B42" t="n">
        <v>226</v>
      </c>
      <c r="C42" t="inlineStr">
        <is>
          <t>The Cavern - Kamino</t>
        </is>
      </c>
      <c r="D42" t="n">
        <v>176</v>
      </c>
      <c r="E42" t="inlineStr">
        <is>
          <t>The Cavern</t>
        </is>
      </c>
      <c r="F42" s="27" t="n">
        <v>46078</v>
      </c>
      <c r="G42" t="inlineStr">
        <is>
          <t>DEBITO</t>
        </is>
      </c>
      <c r="H42" t="inlineStr">
        <is>
          <t>Sptrans</t>
        </is>
      </c>
      <c r="I42" t="n">
        <v>-326.36</v>
      </c>
    </row>
    <row r="43">
      <c r="A43" t="n">
        <v>256918</v>
      </c>
      <c r="B43" t="n">
        <v>226</v>
      </c>
      <c r="C43" t="inlineStr">
        <is>
          <t>The Cavern - Kamino</t>
        </is>
      </c>
      <c r="D43" t="n">
        <v>176</v>
      </c>
      <c r="E43" t="inlineStr">
        <is>
          <t>The Cavern</t>
        </is>
      </c>
      <c r="F43" s="27" t="n">
        <v>46078</v>
      </c>
      <c r="G43" t="inlineStr">
        <is>
          <t>DEBITO</t>
        </is>
      </c>
      <c r="H43" t="inlineStr">
        <is>
          <t>Lpqbr Restaurantes e Padarias Ltda</t>
        </is>
      </c>
      <c r="I43" t="n">
        <v>-364.8</v>
      </c>
    </row>
    <row r="44">
      <c r="A44" t="n">
        <v>256919</v>
      </c>
      <c r="B44" t="n">
        <v>226</v>
      </c>
      <c r="C44" t="inlineStr">
        <is>
          <t>The Cavern - Kamino</t>
        </is>
      </c>
      <c r="D44" t="n">
        <v>176</v>
      </c>
      <c r="E44" t="inlineStr">
        <is>
          <t>The Cavern</t>
        </is>
      </c>
      <c r="F44" s="27" t="n">
        <v>46078</v>
      </c>
      <c r="G44" t="inlineStr">
        <is>
          <t>DEBITO</t>
        </is>
      </c>
      <c r="H44" t="inlineStr">
        <is>
          <t>Joao Victor Souza Santos</t>
        </is>
      </c>
      <c r="I44" t="n">
        <v>-1365.46</v>
      </c>
    </row>
    <row r="45">
      <c r="A45" t="n">
        <v>256920</v>
      </c>
      <c r="B45" t="n">
        <v>226</v>
      </c>
      <c r="C45" t="inlineStr">
        <is>
          <t>The Cavern - Kamino</t>
        </is>
      </c>
      <c r="D45" t="n">
        <v>176</v>
      </c>
      <c r="E45" t="inlineStr">
        <is>
          <t>The Cavern</t>
        </is>
      </c>
      <c r="F45" s="27" t="n">
        <v>46078</v>
      </c>
      <c r="G45" t="inlineStr">
        <is>
          <t>DEBITO</t>
        </is>
      </c>
      <c r="H45" t="inlineStr">
        <is>
          <t>Tarifa Pix Enviado-PJ</t>
        </is>
      </c>
      <c r="I45" t="n">
        <v>-0.5</v>
      </c>
    </row>
    <row r="46">
      <c r="A46" t="n">
        <v>256903</v>
      </c>
      <c r="B46" t="n">
        <v>226</v>
      </c>
      <c r="C46" t="inlineStr">
        <is>
          <t>The Cavern - Kamino</t>
        </is>
      </c>
      <c r="D46" t="n">
        <v>176</v>
      </c>
      <c r="E46" t="inlineStr">
        <is>
          <t>The Cavern</t>
        </is>
      </c>
      <c r="F46" s="27" t="n">
        <v>46077</v>
      </c>
      <c r="G46" t="inlineStr">
        <is>
          <t>DEBITO</t>
        </is>
      </c>
      <c r="H46" t="inlineStr">
        <is>
          <t>Forte Alimentos Comercio e Importacao Lt</t>
        </is>
      </c>
      <c r="I46" t="n">
        <v>-525</v>
      </c>
    </row>
    <row r="47">
      <c r="A47" t="n">
        <v>256902</v>
      </c>
      <c r="B47" t="n">
        <v>226</v>
      </c>
      <c r="C47" t="inlineStr">
        <is>
          <t>The Cavern - Kamino</t>
        </is>
      </c>
      <c r="D47" t="n">
        <v>176</v>
      </c>
      <c r="E47" t="inlineStr">
        <is>
          <t>The Cavern</t>
        </is>
      </c>
      <c r="F47" s="27" t="n">
        <v>46077</v>
      </c>
      <c r="G47" t="inlineStr">
        <is>
          <t>DEBITO</t>
        </is>
      </c>
      <c r="H47" t="inlineStr">
        <is>
          <t>Tarifa Pix Enviado-PJ</t>
        </is>
      </c>
      <c r="I47" t="n">
        <v>-0.5</v>
      </c>
    </row>
    <row r="48">
      <c r="A48" t="n">
        <v>256901</v>
      </c>
      <c r="B48" t="n">
        <v>226</v>
      </c>
      <c r="C48" t="inlineStr">
        <is>
          <t>The Cavern - Kamino</t>
        </is>
      </c>
      <c r="D48" t="n">
        <v>176</v>
      </c>
      <c r="E48" t="inlineStr">
        <is>
          <t>The Cavern</t>
        </is>
      </c>
      <c r="F48" s="27" t="n">
        <v>46077</v>
      </c>
      <c r="G48" t="inlineStr">
        <is>
          <t>DEBITO</t>
        </is>
      </c>
      <c r="H48" t="inlineStr">
        <is>
          <t>King Comercio de Bebidas Ltda</t>
        </is>
      </c>
      <c r="I48" t="n">
        <v>-3183.6</v>
      </c>
    </row>
    <row r="49">
      <c r="A49" t="n">
        <v>256900</v>
      </c>
      <c r="B49" t="n">
        <v>226</v>
      </c>
      <c r="C49" t="inlineStr">
        <is>
          <t>The Cavern - Kamino</t>
        </is>
      </c>
      <c r="D49" t="n">
        <v>176</v>
      </c>
      <c r="E49" t="inlineStr">
        <is>
          <t>The Cavern</t>
        </is>
      </c>
      <c r="F49" s="27" t="n">
        <v>46077</v>
      </c>
      <c r="G49" t="inlineStr">
        <is>
          <t>DEBITO</t>
        </is>
      </c>
      <c r="H49" t="inlineStr">
        <is>
          <t>Proauto Industria Q Eireli</t>
        </is>
      </c>
      <c r="I49" t="n">
        <v>-1185.71</v>
      </c>
    </row>
    <row r="50">
      <c r="A50" t="n">
        <v>256899</v>
      </c>
      <c r="B50" t="n">
        <v>226</v>
      </c>
      <c r="C50" t="inlineStr">
        <is>
          <t>The Cavern - Kamino</t>
        </is>
      </c>
      <c r="D50" t="n">
        <v>176</v>
      </c>
      <c r="E50" t="inlineStr">
        <is>
          <t>The Cavern</t>
        </is>
      </c>
      <c r="F50" s="27" t="n">
        <v>46077</v>
      </c>
      <c r="G50" t="inlineStr">
        <is>
          <t>DEBITO</t>
        </is>
      </c>
      <c r="H50" t="inlineStr">
        <is>
          <t>Cia do Whisky</t>
        </is>
      </c>
      <c r="I50" t="n">
        <v>-419.3</v>
      </c>
    </row>
    <row r="51">
      <c r="A51" t="n">
        <v>256898</v>
      </c>
      <c r="B51" t="n">
        <v>226</v>
      </c>
      <c r="C51" t="inlineStr">
        <is>
          <t>The Cavern - Kamino</t>
        </is>
      </c>
      <c r="D51" t="n">
        <v>176</v>
      </c>
      <c r="E51" t="inlineStr">
        <is>
          <t>The Cavern</t>
        </is>
      </c>
      <c r="F51" s="27" t="n">
        <v>46077</v>
      </c>
      <c r="G51" t="inlineStr">
        <is>
          <t>DEBITO</t>
        </is>
      </c>
      <c r="H51" t="inlineStr">
        <is>
          <t>Associacao Brasileira de Bares</t>
        </is>
      </c>
      <c r="I51" t="n">
        <v>-185</v>
      </c>
    </row>
    <row r="52">
      <c r="A52" t="n">
        <v>256897</v>
      </c>
      <c r="B52" t="n">
        <v>226</v>
      </c>
      <c r="C52" t="inlineStr">
        <is>
          <t>The Cavern - Kamino</t>
        </is>
      </c>
      <c r="D52" t="n">
        <v>176</v>
      </c>
      <c r="E52" t="inlineStr">
        <is>
          <t>The Cavern</t>
        </is>
      </c>
      <c r="F52" s="27" t="n">
        <v>46077</v>
      </c>
      <c r="G52" t="inlineStr">
        <is>
          <t>DEBITO</t>
        </is>
      </c>
      <c r="H52" t="inlineStr">
        <is>
          <t>Forte Alimentos Comercio e Importacao Lt</t>
        </is>
      </c>
      <c r="I52" t="n">
        <v>-119.5</v>
      </c>
    </row>
    <row r="53">
      <c r="A53" t="n">
        <v>256896</v>
      </c>
      <c r="B53" t="n">
        <v>226</v>
      </c>
      <c r="C53" t="inlineStr">
        <is>
          <t>The Cavern - Kamino</t>
        </is>
      </c>
      <c r="D53" t="n">
        <v>176</v>
      </c>
      <c r="E53" t="inlineStr">
        <is>
          <t>The Cavern</t>
        </is>
      </c>
      <c r="F53" s="27" t="n">
        <v>46077</v>
      </c>
      <c r="G53" t="inlineStr">
        <is>
          <t>DEBITO</t>
        </is>
      </c>
      <c r="H53" t="inlineStr">
        <is>
          <t>Allimentari com de Produtos Al</t>
        </is>
      </c>
      <c r="I53" t="n">
        <v>-635.34</v>
      </c>
    </row>
    <row r="54">
      <c r="A54" t="n">
        <v>256895</v>
      </c>
      <c r="B54" t="n">
        <v>226</v>
      </c>
      <c r="C54" t="inlineStr">
        <is>
          <t>The Cavern - Kamino</t>
        </is>
      </c>
      <c r="D54" t="n">
        <v>176</v>
      </c>
      <c r="E54" t="inlineStr">
        <is>
          <t>The Cavern</t>
        </is>
      </c>
      <c r="F54" s="27" t="n">
        <v>46077</v>
      </c>
      <c r="G54" t="inlineStr">
        <is>
          <t>DEBITO</t>
        </is>
      </c>
      <c r="H54" t="inlineStr">
        <is>
          <t>Distribuicoes e Representacoes Dede</t>
        </is>
      </c>
      <c r="I54" t="n">
        <v>-201.89</v>
      </c>
    </row>
    <row r="55">
      <c r="A55" t="n">
        <v>256894</v>
      </c>
      <c r="B55" t="n">
        <v>226</v>
      </c>
      <c r="C55" t="inlineStr">
        <is>
          <t>The Cavern - Kamino</t>
        </is>
      </c>
      <c r="D55" t="n">
        <v>176</v>
      </c>
      <c r="E55" t="inlineStr">
        <is>
          <t>The Cavern</t>
        </is>
      </c>
      <c r="F55" s="27" t="n">
        <v>46077</v>
      </c>
      <c r="G55" t="inlineStr">
        <is>
          <t>DEBITO</t>
        </is>
      </c>
      <c r="H55" t="inlineStr">
        <is>
          <t>W P P C Carnes Eireli Epp</t>
        </is>
      </c>
      <c r="I55" t="n">
        <v>-2558.56</v>
      </c>
    </row>
    <row r="56">
      <c r="A56" t="n">
        <v>256893</v>
      </c>
      <c r="B56" t="n">
        <v>226</v>
      </c>
      <c r="C56" t="inlineStr">
        <is>
          <t>The Cavern - Kamino</t>
        </is>
      </c>
      <c r="D56" t="n">
        <v>176</v>
      </c>
      <c r="E56" t="inlineStr">
        <is>
          <t>The Cavern</t>
        </is>
      </c>
      <c r="F56" s="27" t="n">
        <v>46077</v>
      </c>
      <c r="G56" t="inlineStr">
        <is>
          <t>DEBITO</t>
        </is>
      </c>
      <c r="H56" t="inlineStr">
        <is>
          <t>Lpqbr Restaurantes e Padarias Ltda</t>
        </is>
      </c>
      <c r="I56" t="n">
        <v>-273.6</v>
      </c>
    </row>
    <row r="57">
      <c r="A57" t="n">
        <v>256892</v>
      </c>
      <c r="B57" t="n">
        <v>226</v>
      </c>
      <c r="C57" t="inlineStr">
        <is>
          <t>The Cavern - Kamino</t>
        </is>
      </c>
      <c r="D57" t="n">
        <v>176</v>
      </c>
      <c r="E57" t="inlineStr">
        <is>
          <t>The Cavern</t>
        </is>
      </c>
      <c r="F57" s="27" t="n">
        <v>46077</v>
      </c>
      <c r="G57" t="inlineStr">
        <is>
          <t>CREDITO</t>
        </is>
      </c>
      <c r="H57" t="inlineStr">
        <is>
          <t>A CAVERNA BAR LTDA</t>
        </is>
      </c>
      <c r="I57" t="n">
        <v>600</v>
      </c>
    </row>
    <row r="58">
      <c r="A58" t="n">
        <v>256891</v>
      </c>
      <c r="B58" t="n">
        <v>226</v>
      </c>
      <c r="C58" t="inlineStr">
        <is>
          <t>The Cavern - Kamino</t>
        </is>
      </c>
      <c r="D58" t="n">
        <v>176</v>
      </c>
      <c r="E58" t="inlineStr">
        <is>
          <t>The Cavern</t>
        </is>
      </c>
      <c r="F58" s="27" t="n">
        <v>46077</v>
      </c>
      <c r="G58" t="inlineStr">
        <is>
          <t>CREDITO</t>
        </is>
      </c>
      <c r="H58" t="inlineStr">
        <is>
          <t>Zig Tecnologia S.A.</t>
        </is>
      </c>
      <c r="I58" t="n">
        <v>3840</v>
      </c>
    </row>
    <row r="59">
      <c r="A59" t="n">
        <v>256890</v>
      </c>
      <c r="B59" t="n">
        <v>226</v>
      </c>
      <c r="C59" t="inlineStr">
        <is>
          <t>The Cavern - Kamino</t>
        </is>
      </c>
      <c r="D59" t="n">
        <v>176</v>
      </c>
      <c r="E59" t="inlineStr">
        <is>
          <t>The Cavern</t>
        </is>
      </c>
      <c r="F59" s="27" t="n">
        <v>46077</v>
      </c>
      <c r="G59" t="inlineStr">
        <is>
          <t>CREDITO</t>
        </is>
      </c>
      <c r="H59" t="inlineStr">
        <is>
          <t>Zig Tecnologia S.A.</t>
        </is>
      </c>
      <c r="I59" t="n">
        <v>2873</v>
      </c>
    </row>
    <row r="60">
      <c r="A60" t="n">
        <v>256886</v>
      </c>
      <c r="B60" t="n">
        <v>226</v>
      </c>
      <c r="C60" t="inlineStr">
        <is>
          <t>The Cavern - Kamino</t>
        </is>
      </c>
      <c r="D60" t="n">
        <v>176</v>
      </c>
      <c r="E60" t="inlineStr">
        <is>
          <t>The Cavern</t>
        </is>
      </c>
      <c r="F60" s="27" t="n">
        <v>46076</v>
      </c>
      <c r="G60" t="inlineStr">
        <is>
          <t>DEBITO</t>
        </is>
      </c>
      <c r="H60" t="inlineStr">
        <is>
          <t>Arena Bebidas</t>
        </is>
      </c>
      <c r="I60" t="n">
        <v>-810.5</v>
      </c>
    </row>
    <row r="61">
      <c r="A61" t="n">
        <v>256888</v>
      </c>
      <c r="B61" t="n">
        <v>226</v>
      </c>
      <c r="C61" t="inlineStr">
        <is>
          <t>The Cavern - Kamino</t>
        </is>
      </c>
      <c r="D61" t="n">
        <v>176</v>
      </c>
      <c r="E61" t="inlineStr">
        <is>
          <t>The Cavern</t>
        </is>
      </c>
      <c r="F61" s="27" t="n">
        <v>46076</v>
      </c>
      <c r="G61" t="inlineStr">
        <is>
          <t>DEBITO</t>
        </is>
      </c>
      <c r="H61" t="inlineStr">
        <is>
          <t>Spal Ind Bras de Bebidas Sa</t>
        </is>
      </c>
      <c r="I61" t="n">
        <v>-464.95</v>
      </c>
    </row>
    <row r="62">
      <c r="A62" t="n">
        <v>256889</v>
      </c>
      <c r="B62" t="n">
        <v>226</v>
      </c>
      <c r="C62" t="inlineStr">
        <is>
          <t>The Cavern - Kamino</t>
        </is>
      </c>
      <c r="D62" t="n">
        <v>176</v>
      </c>
      <c r="E62" t="inlineStr">
        <is>
          <t>The Cavern</t>
        </is>
      </c>
      <c r="F62" s="27" t="n">
        <v>46076</v>
      </c>
      <c r="G62" t="inlineStr">
        <is>
          <t>DEBITO</t>
        </is>
      </c>
      <c r="H62" t="inlineStr">
        <is>
          <t>Dist Carnes Cant Ltda Epp</t>
        </is>
      </c>
      <c r="I62" t="n">
        <v>-130.9</v>
      </c>
    </row>
    <row r="63">
      <c r="A63" t="n">
        <v>256875</v>
      </c>
      <c r="B63" t="n">
        <v>226</v>
      </c>
      <c r="C63" t="inlineStr">
        <is>
          <t>The Cavern - Kamino</t>
        </is>
      </c>
      <c r="D63" t="n">
        <v>176</v>
      </c>
      <c r="E63" t="inlineStr">
        <is>
          <t>The Cavern</t>
        </is>
      </c>
      <c r="F63" s="27" t="n">
        <v>46076</v>
      </c>
      <c r="G63" t="inlineStr">
        <is>
          <t>CREDITO</t>
        </is>
      </c>
      <c r="H63" t="inlineStr">
        <is>
          <t>Zig Tecnologia S.A.</t>
        </is>
      </c>
      <c r="I63" t="n">
        <v>5148</v>
      </c>
    </row>
    <row r="64">
      <c r="A64" t="n">
        <v>256876</v>
      </c>
      <c r="B64" t="n">
        <v>226</v>
      </c>
      <c r="C64" t="inlineStr">
        <is>
          <t>The Cavern - Kamino</t>
        </is>
      </c>
      <c r="D64" t="n">
        <v>176</v>
      </c>
      <c r="E64" t="inlineStr">
        <is>
          <t>The Cavern</t>
        </is>
      </c>
      <c r="F64" s="27" t="n">
        <v>46076</v>
      </c>
      <c r="G64" t="inlineStr">
        <is>
          <t>CREDITO</t>
        </is>
      </c>
      <c r="H64" t="inlineStr">
        <is>
          <t>A CAVERNA BAR LTDA</t>
        </is>
      </c>
      <c r="I64" t="n">
        <v>7000</v>
      </c>
    </row>
    <row r="65">
      <c r="A65" t="n">
        <v>256877</v>
      </c>
      <c r="B65" t="n">
        <v>226</v>
      </c>
      <c r="C65" t="inlineStr">
        <is>
          <t>The Cavern - Kamino</t>
        </is>
      </c>
      <c r="D65" t="n">
        <v>176</v>
      </c>
      <c r="E65" t="inlineStr">
        <is>
          <t>The Cavern</t>
        </is>
      </c>
      <c r="F65" s="27" t="n">
        <v>46076</v>
      </c>
      <c r="G65" t="inlineStr">
        <is>
          <t>CREDITO</t>
        </is>
      </c>
      <c r="H65" t="inlineStr">
        <is>
          <t>A CAVERNA BAR LTDA</t>
        </is>
      </c>
      <c r="I65" t="n">
        <v>906.15</v>
      </c>
    </row>
    <row r="66">
      <c r="A66" t="n">
        <v>256878</v>
      </c>
      <c r="B66" t="n">
        <v>226</v>
      </c>
      <c r="C66" t="inlineStr">
        <is>
          <t>The Cavern - Kamino</t>
        </is>
      </c>
      <c r="D66" t="n">
        <v>176</v>
      </c>
      <c r="E66" t="inlineStr">
        <is>
          <t>The Cavern</t>
        </is>
      </c>
      <c r="F66" s="27" t="n">
        <v>46076</v>
      </c>
      <c r="G66" t="inlineStr">
        <is>
          <t>DEBITO</t>
        </is>
      </c>
      <c r="H66" t="inlineStr">
        <is>
          <t>Tarifa Pix Enviado-PJ</t>
        </is>
      </c>
      <c r="I66" t="n">
        <v>-0.5</v>
      </c>
    </row>
    <row r="67">
      <c r="A67" t="n">
        <v>256879</v>
      </c>
      <c r="B67" t="n">
        <v>226</v>
      </c>
      <c r="C67" t="inlineStr">
        <is>
          <t>The Cavern - Kamino</t>
        </is>
      </c>
      <c r="D67" t="n">
        <v>176</v>
      </c>
      <c r="E67" t="inlineStr">
        <is>
          <t>The Cavern</t>
        </is>
      </c>
      <c r="F67" s="27" t="n">
        <v>46076</v>
      </c>
      <c r="G67" t="inlineStr">
        <is>
          <t>DEBITO</t>
        </is>
      </c>
      <c r="H67" t="inlineStr">
        <is>
          <t>F &amp; C Assessoria Contabil</t>
        </is>
      </c>
      <c r="I67" t="n">
        <v>-2000</v>
      </c>
    </row>
    <row r="68">
      <c r="A68" t="n">
        <v>256880</v>
      </c>
      <c r="B68" t="n">
        <v>226</v>
      </c>
      <c r="C68" t="inlineStr">
        <is>
          <t>The Cavern - Kamino</t>
        </is>
      </c>
      <c r="D68" t="n">
        <v>176</v>
      </c>
      <c r="E68" t="inlineStr">
        <is>
          <t>The Cavern</t>
        </is>
      </c>
      <c r="F68" s="27" t="n">
        <v>46076</v>
      </c>
      <c r="G68" t="inlineStr">
        <is>
          <t>DEBITO</t>
        </is>
      </c>
      <c r="H68" t="inlineStr">
        <is>
          <t>Pininha Drinques Ltda</t>
        </is>
      </c>
      <c r="I68" t="n">
        <v>-2536.08</v>
      </c>
    </row>
    <row r="69">
      <c r="A69" t="n">
        <v>256882</v>
      </c>
      <c r="B69" t="n">
        <v>226</v>
      </c>
      <c r="C69" t="inlineStr">
        <is>
          <t>The Cavern - Kamino</t>
        </is>
      </c>
      <c r="D69" t="n">
        <v>176</v>
      </c>
      <c r="E69" t="inlineStr">
        <is>
          <t>The Cavern</t>
        </is>
      </c>
      <c r="F69" s="27" t="n">
        <v>46076</v>
      </c>
      <c r="G69" t="inlineStr">
        <is>
          <t>DEBITO</t>
        </is>
      </c>
      <c r="H69" t="inlineStr">
        <is>
          <t>Dtk com de Alim Ltda</t>
        </is>
      </c>
      <c r="I69" t="n">
        <v>-1717.47</v>
      </c>
    </row>
    <row r="70">
      <c r="A70" t="n">
        <v>256883</v>
      </c>
      <c r="B70" t="n">
        <v>226</v>
      </c>
      <c r="C70" t="inlineStr">
        <is>
          <t>The Cavern - Kamino</t>
        </is>
      </c>
      <c r="D70" t="n">
        <v>176</v>
      </c>
      <c r="E70" t="inlineStr">
        <is>
          <t>The Cavern</t>
        </is>
      </c>
      <c r="F70" s="27" t="n">
        <v>46076</v>
      </c>
      <c r="G70" t="inlineStr">
        <is>
          <t>DEBITO</t>
        </is>
      </c>
      <c r="H70" t="inlineStr">
        <is>
          <t>Ng27 Consultoria e Gestao Empr</t>
        </is>
      </c>
      <c r="I70" t="n">
        <v>-927.9</v>
      </c>
    </row>
    <row r="71">
      <c r="A71" t="n">
        <v>256884</v>
      </c>
      <c r="B71" t="n">
        <v>226</v>
      </c>
      <c r="C71" t="inlineStr">
        <is>
          <t>The Cavern - Kamino</t>
        </is>
      </c>
      <c r="D71" t="n">
        <v>176</v>
      </c>
      <c r="E71" t="inlineStr">
        <is>
          <t>The Cavern</t>
        </is>
      </c>
      <c r="F71" s="27" t="n">
        <v>46076</v>
      </c>
      <c r="G71" t="inlineStr">
        <is>
          <t>DEBITO</t>
        </is>
      </c>
      <c r="H71" t="inlineStr">
        <is>
          <t>Cecilia Tsuyaco Araki Silva Ltda</t>
        </is>
      </c>
      <c r="I71" t="n">
        <v>-1331.8</v>
      </c>
    </row>
    <row r="72">
      <c r="A72" t="n">
        <v>256885</v>
      </c>
      <c r="B72" t="n">
        <v>226</v>
      </c>
      <c r="C72" t="inlineStr">
        <is>
          <t>The Cavern - Kamino</t>
        </is>
      </c>
      <c r="D72" t="n">
        <v>176</v>
      </c>
      <c r="E72" t="inlineStr">
        <is>
          <t>The Cavern</t>
        </is>
      </c>
      <c r="F72" s="27" t="n">
        <v>46076</v>
      </c>
      <c r="G72" t="inlineStr">
        <is>
          <t>DEBITO</t>
        </is>
      </c>
      <c r="H72" t="inlineStr">
        <is>
          <t>Distribuicoes e Representacoes Dede</t>
        </is>
      </c>
      <c r="I72" t="n">
        <v>-417.3</v>
      </c>
    </row>
    <row r="73">
      <c r="A73" t="n">
        <v>256887</v>
      </c>
      <c r="B73" t="n">
        <v>226</v>
      </c>
      <c r="C73" t="inlineStr">
        <is>
          <t>The Cavern - Kamino</t>
        </is>
      </c>
      <c r="D73" t="n">
        <v>176</v>
      </c>
      <c r="E73" t="inlineStr">
        <is>
          <t>The Cavern</t>
        </is>
      </c>
      <c r="F73" s="27" t="n">
        <v>46076</v>
      </c>
      <c r="G73" t="inlineStr">
        <is>
          <t>DEBITO</t>
        </is>
      </c>
      <c r="H73" t="inlineStr">
        <is>
          <t>Tarifa Pix Enviado-PJ</t>
        </is>
      </c>
      <c r="I73" t="n">
        <v>-0.5</v>
      </c>
    </row>
    <row r="74">
      <c r="A74" t="n">
        <v>256881</v>
      </c>
      <c r="B74" t="n">
        <v>226</v>
      </c>
      <c r="C74" t="inlineStr">
        <is>
          <t>The Cavern - Kamino</t>
        </is>
      </c>
      <c r="D74" t="n">
        <v>176</v>
      </c>
      <c r="E74" t="inlineStr">
        <is>
          <t>The Cavern</t>
        </is>
      </c>
      <c r="F74" s="27" t="n">
        <v>46076</v>
      </c>
      <c r="G74" t="inlineStr">
        <is>
          <t>DEBITO</t>
        </is>
      </c>
      <c r="H74" t="inlineStr">
        <is>
          <t>Zahil</t>
        </is>
      </c>
      <c r="I74" t="n">
        <v>-722.71</v>
      </c>
    </row>
    <row r="75">
      <c r="A75" t="n">
        <v>256862</v>
      </c>
      <c r="B75" t="n">
        <v>226</v>
      </c>
      <c r="C75" t="inlineStr">
        <is>
          <t>The Cavern - Kamino</t>
        </is>
      </c>
      <c r="D75" t="n">
        <v>176</v>
      </c>
      <c r="E75" t="inlineStr">
        <is>
          <t>The Cavern</t>
        </is>
      </c>
      <c r="F75" s="27" t="n">
        <v>46073</v>
      </c>
      <c r="G75" t="inlineStr">
        <is>
          <t>DEBITO</t>
        </is>
      </c>
      <c r="H75" t="inlineStr">
        <is>
          <t>Tarifa Pix Enviado-PJ</t>
        </is>
      </c>
      <c r="I75" t="n">
        <v>-0.5</v>
      </c>
    </row>
    <row r="76">
      <c r="A76" t="n">
        <v>256861</v>
      </c>
      <c r="B76" t="n">
        <v>226</v>
      </c>
      <c r="C76" t="inlineStr">
        <is>
          <t>The Cavern - Kamino</t>
        </is>
      </c>
      <c r="D76" t="n">
        <v>176</v>
      </c>
      <c r="E76" t="inlineStr">
        <is>
          <t>The Cavern</t>
        </is>
      </c>
      <c r="F76" s="27" t="n">
        <v>46073</v>
      </c>
      <c r="G76" t="inlineStr">
        <is>
          <t>DEBITO</t>
        </is>
      </c>
      <c r="H76" t="inlineStr">
        <is>
          <t>Tarifa Pix Enviado-PJ</t>
        </is>
      </c>
      <c r="I76" t="n">
        <v>-0.5</v>
      </c>
    </row>
    <row r="77">
      <c r="A77" t="n">
        <v>256860</v>
      </c>
      <c r="B77" t="n">
        <v>226</v>
      </c>
      <c r="C77" t="inlineStr">
        <is>
          <t>The Cavern - Kamino</t>
        </is>
      </c>
      <c r="D77" t="n">
        <v>176</v>
      </c>
      <c r="E77" t="inlineStr">
        <is>
          <t>The Cavern</t>
        </is>
      </c>
      <c r="F77" s="27" t="n">
        <v>46073</v>
      </c>
      <c r="G77" t="inlineStr">
        <is>
          <t>DEBITO</t>
        </is>
      </c>
      <c r="H77" t="inlineStr">
        <is>
          <t>Tarifa Pix Enviado-PJ</t>
        </is>
      </c>
      <c r="I77" t="n">
        <v>-0.5</v>
      </c>
    </row>
    <row r="78">
      <c r="A78" t="n">
        <v>256859</v>
      </c>
      <c r="B78" t="n">
        <v>226</v>
      </c>
      <c r="C78" t="inlineStr">
        <is>
          <t>The Cavern - Kamino</t>
        </is>
      </c>
      <c r="D78" t="n">
        <v>176</v>
      </c>
      <c r="E78" t="inlineStr">
        <is>
          <t>The Cavern</t>
        </is>
      </c>
      <c r="F78" s="27" t="n">
        <v>46073</v>
      </c>
      <c r="G78" t="inlineStr">
        <is>
          <t>DEBITO</t>
        </is>
      </c>
      <c r="H78" t="inlineStr">
        <is>
          <t>Vagner Brandao</t>
        </is>
      </c>
      <c r="I78" t="n">
        <v>-944.02</v>
      </c>
    </row>
    <row r="79">
      <c r="A79" t="n">
        <v>256858</v>
      </c>
      <c r="B79" t="n">
        <v>226</v>
      </c>
      <c r="C79" t="inlineStr">
        <is>
          <t>The Cavern - Kamino</t>
        </is>
      </c>
      <c r="D79" t="n">
        <v>176</v>
      </c>
      <c r="E79" t="inlineStr">
        <is>
          <t>The Cavern</t>
        </is>
      </c>
      <c r="F79" s="27" t="n">
        <v>46073</v>
      </c>
      <c r="G79" t="inlineStr">
        <is>
          <t>DEBITO</t>
        </is>
      </c>
      <c r="H79" t="inlineStr">
        <is>
          <t>Pininha Drinques Ltda</t>
        </is>
      </c>
      <c r="I79" t="n">
        <v>-809.9</v>
      </c>
    </row>
    <row r="80">
      <c r="A80" t="n">
        <v>256857</v>
      </c>
      <c r="B80" t="n">
        <v>226</v>
      </c>
      <c r="C80" t="inlineStr">
        <is>
          <t>The Cavern - Kamino</t>
        </is>
      </c>
      <c r="D80" t="n">
        <v>176</v>
      </c>
      <c r="E80" t="inlineStr">
        <is>
          <t>The Cavern</t>
        </is>
      </c>
      <c r="F80" s="27" t="n">
        <v>46073</v>
      </c>
      <c r="G80" t="inlineStr">
        <is>
          <t>DEBITO</t>
        </is>
      </c>
      <c r="H80" t="inlineStr">
        <is>
          <t>CAIXA ECONOMICA FEDERAL</t>
        </is>
      </c>
      <c r="I80" t="n">
        <v>-673.0700000000001</v>
      </c>
    </row>
    <row r="81">
      <c r="A81" t="n">
        <v>256856</v>
      </c>
      <c r="B81" t="n">
        <v>226</v>
      </c>
      <c r="C81" t="inlineStr">
        <is>
          <t>The Cavern - Kamino</t>
        </is>
      </c>
      <c r="D81" t="n">
        <v>176</v>
      </c>
      <c r="E81" t="inlineStr">
        <is>
          <t>The Cavern</t>
        </is>
      </c>
      <c r="F81" s="27" t="n">
        <v>46073</v>
      </c>
      <c r="G81" t="inlineStr">
        <is>
          <t>DEBITO</t>
        </is>
      </c>
      <c r="H81" t="inlineStr">
        <is>
          <t>Tarifa Pix Enviado-PJ</t>
        </is>
      </c>
      <c r="I81" t="n">
        <v>-0.5</v>
      </c>
    </row>
    <row r="82">
      <c r="A82" t="n">
        <v>256855</v>
      </c>
      <c r="B82" t="n">
        <v>226</v>
      </c>
      <c r="C82" t="inlineStr">
        <is>
          <t>The Cavern - Kamino</t>
        </is>
      </c>
      <c r="D82" t="n">
        <v>176</v>
      </c>
      <c r="E82" t="inlineStr">
        <is>
          <t>The Cavern</t>
        </is>
      </c>
      <c r="F82" s="27" t="n">
        <v>46073</v>
      </c>
      <c r="G82" t="inlineStr">
        <is>
          <t>DEBITO</t>
        </is>
      </c>
      <c r="H82" t="inlineStr">
        <is>
          <t>Tarifa Pix Enviado-PJ</t>
        </is>
      </c>
      <c r="I82" t="n">
        <v>-0.5</v>
      </c>
    </row>
    <row r="83">
      <c r="A83" t="n">
        <v>256854</v>
      </c>
      <c r="B83" t="n">
        <v>226</v>
      </c>
      <c r="C83" t="inlineStr">
        <is>
          <t>The Cavern - Kamino</t>
        </is>
      </c>
      <c r="D83" t="n">
        <v>176</v>
      </c>
      <c r="E83" t="inlineStr">
        <is>
          <t>The Cavern</t>
        </is>
      </c>
      <c r="F83" s="27" t="n">
        <v>46073</v>
      </c>
      <c r="G83" t="inlineStr">
        <is>
          <t>CREDITO</t>
        </is>
      </c>
      <c r="H83" t="inlineStr">
        <is>
          <t>A CAVERNA BAR LTDA</t>
        </is>
      </c>
      <c r="I83" t="n">
        <v>13300</v>
      </c>
    </row>
    <row r="84">
      <c r="A84" t="n">
        <v>256853</v>
      </c>
      <c r="B84" t="n">
        <v>226</v>
      </c>
      <c r="C84" t="inlineStr">
        <is>
          <t>The Cavern - Kamino</t>
        </is>
      </c>
      <c r="D84" t="n">
        <v>176</v>
      </c>
      <c r="E84" t="inlineStr">
        <is>
          <t>The Cavern</t>
        </is>
      </c>
      <c r="F84" s="27" t="n">
        <v>46073</v>
      </c>
      <c r="G84" t="inlineStr">
        <is>
          <t>CREDITO</t>
        </is>
      </c>
      <c r="H84" t="inlineStr">
        <is>
          <t>Zig Tecnologia S.A.</t>
        </is>
      </c>
      <c r="I84" t="n">
        <v>1963</v>
      </c>
    </row>
    <row r="85">
      <c r="A85" t="n">
        <v>256866</v>
      </c>
      <c r="B85" t="n">
        <v>226</v>
      </c>
      <c r="C85" t="inlineStr">
        <is>
          <t>The Cavern - Kamino</t>
        </is>
      </c>
      <c r="D85" t="n">
        <v>176</v>
      </c>
      <c r="E85" t="inlineStr">
        <is>
          <t>The Cavern</t>
        </is>
      </c>
      <c r="F85" s="27" t="n">
        <v>46073</v>
      </c>
      <c r="G85" t="inlineStr">
        <is>
          <t>DEBITO</t>
        </is>
      </c>
      <c r="H85" t="inlineStr">
        <is>
          <t>Sipriano Pereira da Silva</t>
        </is>
      </c>
      <c r="I85" t="n">
        <v>-3946.43</v>
      </c>
    </row>
    <row r="86">
      <c r="A86" t="n">
        <v>256864</v>
      </c>
      <c r="B86" t="n">
        <v>226</v>
      </c>
      <c r="C86" t="inlineStr">
        <is>
          <t>The Cavern - Kamino</t>
        </is>
      </c>
      <c r="D86" t="n">
        <v>176</v>
      </c>
      <c r="E86" t="inlineStr">
        <is>
          <t>The Cavern</t>
        </is>
      </c>
      <c r="F86" s="27" t="n">
        <v>46073</v>
      </c>
      <c r="G86" t="inlineStr">
        <is>
          <t>DEBITO</t>
        </is>
      </c>
      <c r="H86" t="inlineStr">
        <is>
          <t>Carlos Alberto Ferreira Pimentel</t>
        </is>
      </c>
      <c r="I86" t="n">
        <v>-1309.9</v>
      </c>
    </row>
    <row r="87">
      <c r="A87" t="n">
        <v>256874</v>
      </c>
      <c r="B87" t="n">
        <v>226</v>
      </c>
      <c r="C87" t="inlineStr">
        <is>
          <t>The Cavern - Kamino</t>
        </is>
      </c>
      <c r="D87" t="n">
        <v>176</v>
      </c>
      <c r="E87" t="inlineStr">
        <is>
          <t>The Cavern</t>
        </is>
      </c>
      <c r="F87" s="27" t="n">
        <v>46073</v>
      </c>
      <c r="G87" t="inlineStr">
        <is>
          <t>DEBITO</t>
        </is>
      </c>
      <c r="H87" t="inlineStr">
        <is>
          <t>Nova Comercial do Peixe Eireli</t>
        </is>
      </c>
      <c r="I87" t="n">
        <v>-1120</v>
      </c>
    </row>
    <row r="88">
      <c r="A88" t="n">
        <v>256873</v>
      </c>
      <c r="B88" t="n">
        <v>226</v>
      </c>
      <c r="C88" t="inlineStr">
        <is>
          <t>The Cavern - Kamino</t>
        </is>
      </c>
      <c r="D88" t="n">
        <v>176</v>
      </c>
      <c r="E88" t="inlineStr">
        <is>
          <t>The Cavern</t>
        </is>
      </c>
      <c r="F88" s="27" t="n">
        <v>46073</v>
      </c>
      <c r="G88" t="inlineStr">
        <is>
          <t>CREDITO</t>
        </is>
      </c>
      <c r="H88" t="inlineStr">
        <is>
          <t>A CAVERNA BAR LTDA</t>
        </is>
      </c>
      <c r="I88" t="n">
        <v>3.5</v>
      </c>
    </row>
    <row r="89">
      <c r="A89" t="n">
        <v>256872</v>
      </c>
      <c r="B89" t="n">
        <v>226</v>
      </c>
      <c r="C89" t="inlineStr">
        <is>
          <t>The Cavern - Kamino</t>
        </is>
      </c>
      <c r="D89" t="n">
        <v>176</v>
      </c>
      <c r="E89" t="inlineStr">
        <is>
          <t>The Cavern</t>
        </is>
      </c>
      <c r="F89" s="27" t="n">
        <v>46073</v>
      </c>
      <c r="G89" t="inlineStr">
        <is>
          <t>DEBITO</t>
        </is>
      </c>
      <c r="H89" t="inlineStr">
        <is>
          <t>Dtk com de Alim Ltda</t>
        </is>
      </c>
      <c r="I89" t="n">
        <v>-591.75</v>
      </c>
    </row>
    <row r="90">
      <c r="A90" t="n">
        <v>256871</v>
      </c>
      <c r="B90" t="n">
        <v>226</v>
      </c>
      <c r="C90" t="inlineStr">
        <is>
          <t>The Cavern - Kamino</t>
        </is>
      </c>
      <c r="D90" t="n">
        <v>176</v>
      </c>
      <c r="E90" t="inlineStr">
        <is>
          <t>The Cavern</t>
        </is>
      </c>
      <c r="F90" s="27" t="n">
        <v>46073</v>
      </c>
      <c r="G90" t="inlineStr">
        <is>
          <t>DEBITO</t>
        </is>
      </c>
      <c r="H90" t="inlineStr">
        <is>
          <t>Tarifa Pix Enviado-PJ</t>
        </is>
      </c>
      <c r="I90" t="n">
        <v>-0.5</v>
      </c>
    </row>
    <row r="91">
      <c r="A91" t="n">
        <v>256870</v>
      </c>
      <c r="B91" t="n">
        <v>226</v>
      </c>
      <c r="C91" t="inlineStr">
        <is>
          <t>The Cavern - Kamino</t>
        </is>
      </c>
      <c r="D91" t="n">
        <v>176</v>
      </c>
      <c r="E91" t="inlineStr">
        <is>
          <t>The Cavern</t>
        </is>
      </c>
      <c r="F91" s="27" t="n">
        <v>46073</v>
      </c>
      <c r="G91" t="inlineStr">
        <is>
          <t>DEBITO</t>
        </is>
      </c>
      <c r="H91" t="inlineStr">
        <is>
          <t>Tarifa Pix Enviado-PJ</t>
        </is>
      </c>
      <c r="I91" t="n">
        <v>-0.5</v>
      </c>
    </row>
    <row r="92">
      <c r="A92" t="n">
        <v>256869</v>
      </c>
      <c r="B92" t="n">
        <v>226</v>
      </c>
      <c r="C92" t="inlineStr">
        <is>
          <t>The Cavern - Kamino</t>
        </is>
      </c>
      <c r="D92" t="n">
        <v>176</v>
      </c>
      <c r="E92" t="inlineStr">
        <is>
          <t>The Cavern</t>
        </is>
      </c>
      <c r="F92" s="27" t="n">
        <v>46073</v>
      </c>
      <c r="G92" t="inlineStr">
        <is>
          <t>DEBITO</t>
        </is>
      </c>
      <c r="H92" t="inlineStr">
        <is>
          <t>Hnk Br Bebidas Ltda</t>
        </is>
      </c>
      <c r="I92" t="n">
        <v>-4362.3</v>
      </c>
    </row>
    <row r="93">
      <c r="A93" t="n">
        <v>256868</v>
      </c>
      <c r="B93" t="n">
        <v>226</v>
      </c>
      <c r="C93" t="inlineStr">
        <is>
          <t>The Cavern - Kamino</t>
        </is>
      </c>
      <c r="D93" t="n">
        <v>176</v>
      </c>
      <c r="E93" t="inlineStr">
        <is>
          <t>The Cavern</t>
        </is>
      </c>
      <c r="F93" s="27" t="n">
        <v>46073</v>
      </c>
      <c r="G93" t="inlineStr">
        <is>
          <t>DEBITO</t>
        </is>
      </c>
      <c r="H93" t="inlineStr">
        <is>
          <t>W P P C Carnes Eireli Epp</t>
        </is>
      </c>
      <c r="I93" t="n">
        <v>-1209.52</v>
      </c>
    </row>
    <row r="94">
      <c r="A94" t="n">
        <v>256867</v>
      </c>
      <c r="B94" t="n">
        <v>226</v>
      </c>
      <c r="C94" t="inlineStr">
        <is>
          <t>The Cavern - Kamino</t>
        </is>
      </c>
      <c r="D94" t="n">
        <v>176</v>
      </c>
      <c r="E94" t="inlineStr">
        <is>
          <t>The Cavern</t>
        </is>
      </c>
      <c r="F94" s="27" t="n">
        <v>46073</v>
      </c>
      <c r="G94" t="inlineStr">
        <is>
          <t>DEBITO</t>
        </is>
      </c>
      <c r="H94" t="inlineStr">
        <is>
          <t>Dtk com de Alim Ltda</t>
        </is>
      </c>
      <c r="I94" t="n">
        <v>-115.15</v>
      </c>
    </row>
    <row r="95">
      <c r="A95" t="n">
        <v>256865</v>
      </c>
      <c r="B95" t="n">
        <v>226</v>
      </c>
      <c r="C95" t="inlineStr">
        <is>
          <t>The Cavern - Kamino</t>
        </is>
      </c>
      <c r="D95" t="n">
        <v>176</v>
      </c>
      <c r="E95" t="inlineStr">
        <is>
          <t>The Cavern</t>
        </is>
      </c>
      <c r="F95" s="27" t="n">
        <v>46073</v>
      </c>
      <c r="G95" t="inlineStr">
        <is>
          <t>DEBITO</t>
        </is>
      </c>
      <c r="H95" t="inlineStr">
        <is>
          <t>Emily Renata Mendonca Vieira</t>
        </is>
      </c>
      <c r="I95" t="n">
        <v>-1000</v>
      </c>
    </row>
    <row r="96">
      <c r="A96" t="n">
        <v>256863</v>
      </c>
      <c r="B96" t="n">
        <v>226</v>
      </c>
      <c r="C96" t="inlineStr">
        <is>
          <t>The Cavern - Kamino</t>
        </is>
      </c>
      <c r="D96" t="n">
        <v>176</v>
      </c>
      <c r="E96" t="inlineStr">
        <is>
          <t>The Cavern</t>
        </is>
      </c>
      <c r="F96" s="27" t="n">
        <v>46073</v>
      </c>
      <c r="G96" t="inlineStr">
        <is>
          <t>DEBITO</t>
        </is>
      </c>
      <c r="H96" t="inlineStr">
        <is>
          <t>Ismael Santos Silva</t>
        </is>
      </c>
      <c r="I96" t="n">
        <v>-1027.6</v>
      </c>
    </row>
    <row r="97">
      <c r="A97" t="n">
        <v>256846</v>
      </c>
      <c r="B97" t="n">
        <v>226</v>
      </c>
      <c r="C97" t="inlineStr">
        <is>
          <t>The Cavern - Kamino</t>
        </is>
      </c>
      <c r="D97" t="n">
        <v>176</v>
      </c>
      <c r="E97" t="inlineStr">
        <is>
          <t>The Cavern</t>
        </is>
      </c>
      <c r="F97" s="27" t="n">
        <v>46072</v>
      </c>
      <c r="G97" t="inlineStr">
        <is>
          <t>DEBITO</t>
        </is>
      </c>
      <c r="H97" t="inlineStr">
        <is>
          <t>W P P C Carnes Eireli Epp</t>
        </is>
      </c>
      <c r="I97" t="n">
        <v>-1596.65</v>
      </c>
    </row>
    <row r="98">
      <c r="A98" t="n">
        <v>256838</v>
      </c>
      <c r="B98" t="n">
        <v>226</v>
      </c>
      <c r="C98" t="inlineStr">
        <is>
          <t>The Cavern - Kamino</t>
        </is>
      </c>
      <c r="D98" t="n">
        <v>176</v>
      </c>
      <c r="E98" t="inlineStr">
        <is>
          <t>The Cavern</t>
        </is>
      </c>
      <c r="F98" s="27" t="n">
        <v>46072</v>
      </c>
      <c r="G98" t="inlineStr">
        <is>
          <t>CREDITO</t>
        </is>
      </c>
      <c r="H98" t="inlineStr">
        <is>
          <t>Zig Tecnologia S.A.</t>
        </is>
      </c>
      <c r="I98" t="n">
        <v>520</v>
      </c>
    </row>
    <row r="99">
      <c r="A99" t="n">
        <v>256839</v>
      </c>
      <c r="B99" t="n">
        <v>226</v>
      </c>
      <c r="C99" t="inlineStr">
        <is>
          <t>The Cavern - Kamino</t>
        </is>
      </c>
      <c r="D99" t="n">
        <v>176</v>
      </c>
      <c r="E99" t="inlineStr">
        <is>
          <t>The Cavern</t>
        </is>
      </c>
      <c r="F99" s="27" t="n">
        <v>46072</v>
      </c>
      <c r="G99" t="inlineStr">
        <is>
          <t>CREDITO</t>
        </is>
      </c>
      <c r="H99" t="inlineStr">
        <is>
          <t>A CAVERNA BAR LTDA</t>
        </is>
      </c>
      <c r="I99" t="n">
        <v>8000</v>
      </c>
    </row>
    <row r="100">
      <c r="A100" t="n">
        <v>256840</v>
      </c>
      <c r="B100" t="n">
        <v>226</v>
      </c>
      <c r="C100" t="inlineStr">
        <is>
          <t>The Cavern - Kamino</t>
        </is>
      </c>
      <c r="D100" t="n">
        <v>176</v>
      </c>
      <c r="E100" t="inlineStr">
        <is>
          <t>The Cavern</t>
        </is>
      </c>
      <c r="F100" s="27" t="n">
        <v>46072</v>
      </c>
      <c r="G100" t="inlineStr">
        <is>
          <t>DEBITO</t>
        </is>
      </c>
      <c r="H100" t="inlineStr">
        <is>
          <t>Marco Octavio Barbosa da Silva</t>
        </is>
      </c>
      <c r="I100" t="n">
        <v>-300.16</v>
      </c>
    </row>
    <row r="101">
      <c r="A101" t="n">
        <v>256841</v>
      </c>
      <c r="B101" t="n">
        <v>226</v>
      </c>
      <c r="C101" t="inlineStr">
        <is>
          <t>The Cavern - Kamino</t>
        </is>
      </c>
      <c r="D101" t="n">
        <v>176</v>
      </c>
      <c r="E101" t="inlineStr">
        <is>
          <t>The Cavern</t>
        </is>
      </c>
      <c r="F101" s="27" t="n">
        <v>46072</v>
      </c>
      <c r="G101" t="inlineStr">
        <is>
          <t>DEBITO</t>
        </is>
      </c>
      <c r="H101" t="inlineStr">
        <is>
          <t>Tarifa Pix Enviado-PJ</t>
        </is>
      </c>
      <c r="I101" t="n">
        <v>-0.5</v>
      </c>
    </row>
    <row r="102">
      <c r="A102" t="n">
        <v>256842</v>
      </c>
      <c r="B102" t="n">
        <v>226</v>
      </c>
      <c r="C102" t="inlineStr">
        <is>
          <t>The Cavern - Kamino</t>
        </is>
      </c>
      <c r="D102" t="n">
        <v>176</v>
      </c>
      <c r="E102" t="inlineStr">
        <is>
          <t>The Cavern</t>
        </is>
      </c>
      <c r="F102" s="27" t="n">
        <v>46072</v>
      </c>
      <c r="G102" t="inlineStr">
        <is>
          <t>DEBITO</t>
        </is>
      </c>
      <c r="H102" t="inlineStr">
        <is>
          <t>Pss - Central da Limpeza Ltda</t>
        </is>
      </c>
      <c r="I102" t="n">
        <v>-1927.41</v>
      </c>
    </row>
    <row r="103">
      <c r="A103" t="n">
        <v>256843</v>
      </c>
      <c r="B103" t="n">
        <v>226</v>
      </c>
      <c r="C103" t="inlineStr">
        <is>
          <t>The Cavern - Kamino</t>
        </is>
      </c>
      <c r="D103" t="n">
        <v>176</v>
      </c>
      <c r="E103" t="inlineStr">
        <is>
          <t>The Cavern</t>
        </is>
      </c>
      <c r="F103" s="27" t="n">
        <v>46072</v>
      </c>
      <c r="G103" t="inlineStr">
        <is>
          <t>DEBITO</t>
        </is>
      </c>
      <c r="H103" t="inlineStr">
        <is>
          <t>Ng27 Consultoria e Gestao Empr</t>
        </is>
      </c>
      <c r="I103" t="n">
        <v>-559.63</v>
      </c>
    </row>
    <row r="104">
      <c r="A104" t="n">
        <v>256844</v>
      </c>
      <c r="B104" t="n">
        <v>226</v>
      </c>
      <c r="C104" t="inlineStr">
        <is>
          <t>The Cavern - Kamino</t>
        </is>
      </c>
      <c r="D104" t="n">
        <v>176</v>
      </c>
      <c r="E104" t="inlineStr">
        <is>
          <t>The Cavern</t>
        </is>
      </c>
      <c r="F104" s="27" t="n">
        <v>46072</v>
      </c>
      <c r="G104" t="inlineStr">
        <is>
          <t>DEBITO</t>
        </is>
      </c>
      <c r="H104" t="inlineStr">
        <is>
          <t>Talita Martins de Souza</t>
        </is>
      </c>
      <c r="I104" t="n">
        <v>-356.95</v>
      </c>
    </row>
    <row r="105">
      <c r="A105" t="n">
        <v>256847</v>
      </c>
      <c r="B105" t="n">
        <v>226</v>
      </c>
      <c r="C105" t="inlineStr">
        <is>
          <t>The Cavern - Kamino</t>
        </is>
      </c>
      <c r="D105" t="n">
        <v>176</v>
      </c>
      <c r="E105" t="inlineStr">
        <is>
          <t>The Cavern</t>
        </is>
      </c>
      <c r="F105" s="27" t="n">
        <v>46072</v>
      </c>
      <c r="G105" t="inlineStr">
        <is>
          <t>DEBITO</t>
        </is>
      </c>
      <c r="H105" t="inlineStr">
        <is>
          <t>Tarifa Pix Enviado-PJ</t>
        </is>
      </c>
      <c r="I105" t="n">
        <v>-0.5</v>
      </c>
    </row>
    <row r="106">
      <c r="A106" t="n">
        <v>256848</v>
      </c>
      <c r="B106" t="n">
        <v>226</v>
      </c>
      <c r="C106" t="inlineStr">
        <is>
          <t>The Cavern - Kamino</t>
        </is>
      </c>
      <c r="D106" t="n">
        <v>176</v>
      </c>
      <c r="E106" t="inlineStr">
        <is>
          <t>The Cavern</t>
        </is>
      </c>
      <c r="F106" s="27" t="n">
        <v>46072</v>
      </c>
      <c r="G106" t="inlineStr">
        <is>
          <t>DEBITO</t>
        </is>
      </c>
      <c r="H106" t="inlineStr">
        <is>
          <t>Estaff Solucoes Tecnologicas de Agenciam</t>
        </is>
      </c>
      <c r="I106" t="n">
        <v>-5651.56</v>
      </c>
    </row>
    <row r="107">
      <c r="A107" t="n">
        <v>256849</v>
      </c>
      <c r="B107" t="n">
        <v>226</v>
      </c>
      <c r="C107" t="inlineStr">
        <is>
          <t>The Cavern - Kamino</t>
        </is>
      </c>
      <c r="D107" t="n">
        <v>176</v>
      </c>
      <c r="E107" t="inlineStr">
        <is>
          <t>The Cavern</t>
        </is>
      </c>
      <c r="F107" s="27" t="n">
        <v>46072</v>
      </c>
      <c r="G107" t="inlineStr">
        <is>
          <t>DEBITO</t>
        </is>
      </c>
      <c r="H107" t="inlineStr">
        <is>
          <t>Mar Direto Poc Comercio de Pei</t>
        </is>
      </c>
      <c r="I107" t="n">
        <v>-1121.25</v>
      </c>
    </row>
    <row r="108">
      <c r="A108" t="n">
        <v>256850</v>
      </c>
      <c r="B108" t="n">
        <v>226</v>
      </c>
      <c r="C108" t="inlineStr">
        <is>
          <t>The Cavern - Kamino</t>
        </is>
      </c>
      <c r="D108" t="n">
        <v>176</v>
      </c>
      <c r="E108" t="inlineStr">
        <is>
          <t>The Cavern</t>
        </is>
      </c>
      <c r="F108" s="27" t="n">
        <v>46072</v>
      </c>
      <c r="G108" t="inlineStr">
        <is>
          <t>CREDITO</t>
        </is>
      </c>
      <c r="H108" t="inlineStr">
        <is>
          <t>Pix Env Nao Processado</t>
        </is>
      </c>
      <c r="I108" t="n">
        <v>356.95</v>
      </c>
    </row>
    <row r="109">
      <c r="A109" t="n">
        <v>256851</v>
      </c>
      <c r="B109" t="n">
        <v>226</v>
      </c>
      <c r="C109" t="inlineStr">
        <is>
          <t>The Cavern - Kamino</t>
        </is>
      </c>
      <c r="D109" t="n">
        <v>176</v>
      </c>
      <c r="E109" t="inlineStr">
        <is>
          <t>The Cavern</t>
        </is>
      </c>
      <c r="F109" s="27" t="n">
        <v>46072</v>
      </c>
      <c r="G109" t="inlineStr">
        <is>
          <t>DEBITO</t>
        </is>
      </c>
      <c r="H109" t="inlineStr">
        <is>
          <t>Talita Martins de Souza 38016579817</t>
        </is>
      </c>
      <c r="I109" t="n">
        <v>-356.95</v>
      </c>
    </row>
    <row r="110">
      <c r="A110" t="n">
        <v>256852</v>
      </c>
      <c r="B110" t="n">
        <v>226</v>
      </c>
      <c r="C110" t="inlineStr">
        <is>
          <t>The Cavern - Kamino</t>
        </is>
      </c>
      <c r="D110" t="n">
        <v>176</v>
      </c>
      <c r="E110" t="inlineStr">
        <is>
          <t>The Cavern</t>
        </is>
      </c>
      <c r="F110" s="27" t="n">
        <v>46072</v>
      </c>
      <c r="G110" t="inlineStr">
        <is>
          <t>DEBITO</t>
        </is>
      </c>
      <c r="H110" t="inlineStr">
        <is>
          <t>Tarifa Pix Enviado-PJ</t>
        </is>
      </c>
      <c r="I110" t="n">
        <v>-0.5</v>
      </c>
    </row>
    <row r="111">
      <c r="A111" t="n">
        <v>256845</v>
      </c>
      <c r="B111" t="n">
        <v>226</v>
      </c>
      <c r="C111" t="inlineStr">
        <is>
          <t>The Cavern - Kamino</t>
        </is>
      </c>
      <c r="D111" t="n">
        <v>176</v>
      </c>
      <c r="E111" t="inlineStr">
        <is>
          <t>The Cavern</t>
        </is>
      </c>
      <c r="F111" s="27" t="n">
        <v>46072</v>
      </c>
      <c r="G111" t="inlineStr">
        <is>
          <t>DEBITO</t>
        </is>
      </c>
      <c r="H111" t="inlineStr">
        <is>
          <t>Willkias Henrique Santos de Sousa</t>
        </is>
      </c>
      <c r="I111" t="n">
        <v>-234.88</v>
      </c>
    </row>
    <row r="112">
      <c r="A112" t="n">
        <v>256820</v>
      </c>
      <c r="B112" t="n">
        <v>226</v>
      </c>
      <c r="C112" t="inlineStr">
        <is>
          <t>The Cavern - Kamino</t>
        </is>
      </c>
      <c r="D112" t="n">
        <v>176</v>
      </c>
      <c r="E112" t="inlineStr">
        <is>
          <t>The Cavern</t>
        </is>
      </c>
      <c r="F112" s="27" t="n">
        <v>46071</v>
      </c>
      <c r="G112" t="inlineStr">
        <is>
          <t>DEBITO</t>
        </is>
      </c>
      <c r="H112" t="inlineStr">
        <is>
          <t>Ms Frangos Ltda</t>
        </is>
      </c>
      <c r="I112" t="n">
        <v>-689.58</v>
      </c>
    </row>
    <row r="113">
      <c r="A113" t="n">
        <v>256824</v>
      </c>
      <c r="B113" t="n">
        <v>226</v>
      </c>
      <c r="C113" t="inlineStr">
        <is>
          <t>The Cavern - Kamino</t>
        </is>
      </c>
      <c r="D113" t="n">
        <v>176</v>
      </c>
      <c r="E113" t="inlineStr">
        <is>
          <t>The Cavern</t>
        </is>
      </c>
      <c r="F113" s="27" t="n">
        <v>46071</v>
      </c>
      <c r="G113" t="inlineStr">
        <is>
          <t>DEBITO</t>
        </is>
      </c>
      <c r="H113" t="inlineStr">
        <is>
          <t>W P P C Carnes Eireli Epp</t>
        </is>
      </c>
      <c r="I113" t="n">
        <v>-209.5</v>
      </c>
    </row>
    <row r="114">
      <c r="A114" t="n">
        <v>256819</v>
      </c>
      <c r="B114" t="n">
        <v>226</v>
      </c>
      <c r="C114" t="inlineStr">
        <is>
          <t>The Cavern - Kamino</t>
        </is>
      </c>
      <c r="D114" t="n">
        <v>176</v>
      </c>
      <c r="E114" t="inlineStr">
        <is>
          <t>The Cavern</t>
        </is>
      </c>
      <c r="F114" s="27" t="n">
        <v>46071</v>
      </c>
      <c r="G114" t="inlineStr">
        <is>
          <t>DEBITO</t>
        </is>
      </c>
      <c r="H114" t="inlineStr">
        <is>
          <t>Mar Direto Poc Comercio de Pei</t>
        </is>
      </c>
      <c r="I114" t="n">
        <v>-1222.5</v>
      </c>
    </row>
    <row r="115">
      <c r="A115" t="n">
        <v>256818</v>
      </c>
      <c r="B115" t="n">
        <v>226</v>
      </c>
      <c r="C115" t="inlineStr">
        <is>
          <t>The Cavern - Kamino</t>
        </is>
      </c>
      <c r="D115" t="n">
        <v>176</v>
      </c>
      <c r="E115" t="inlineStr">
        <is>
          <t>The Cavern</t>
        </is>
      </c>
      <c r="F115" s="27" t="n">
        <v>46071</v>
      </c>
      <c r="G115" t="inlineStr">
        <is>
          <t>DEBITO</t>
        </is>
      </c>
      <c r="H115" t="inlineStr">
        <is>
          <t>Mario Pedro Feliciano Hortifru</t>
        </is>
      </c>
      <c r="I115" t="n">
        <v>-836.8099999999999</v>
      </c>
    </row>
    <row r="116">
      <c r="A116" t="n">
        <v>256817</v>
      </c>
      <c r="B116" t="n">
        <v>226</v>
      </c>
      <c r="C116" t="inlineStr">
        <is>
          <t>The Cavern - Kamino</t>
        </is>
      </c>
      <c r="D116" t="n">
        <v>176</v>
      </c>
      <c r="E116" t="inlineStr">
        <is>
          <t>The Cavern</t>
        </is>
      </c>
      <c r="F116" s="27" t="n">
        <v>46071</v>
      </c>
      <c r="G116" t="inlineStr">
        <is>
          <t>DEBITO</t>
        </is>
      </c>
      <c r="H116" t="inlineStr">
        <is>
          <t>Choop Fast D Bebidas Ltda</t>
        </is>
      </c>
      <c r="I116" t="n">
        <v>-2565.34</v>
      </c>
    </row>
    <row r="117">
      <c r="A117" t="n">
        <v>256816</v>
      </c>
      <c r="B117" t="n">
        <v>226</v>
      </c>
      <c r="C117" t="inlineStr">
        <is>
          <t>The Cavern - Kamino</t>
        </is>
      </c>
      <c r="D117" t="n">
        <v>176</v>
      </c>
      <c r="E117" t="inlineStr">
        <is>
          <t>The Cavern</t>
        </is>
      </c>
      <c r="F117" s="27" t="n">
        <v>46071</v>
      </c>
      <c r="G117" t="inlineStr">
        <is>
          <t>DEBITO</t>
        </is>
      </c>
      <c r="H117" t="inlineStr">
        <is>
          <t>Laticinios Catupiry Ltda</t>
        </is>
      </c>
      <c r="I117" t="n">
        <v>-411.24</v>
      </c>
    </row>
    <row r="118">
      <c r="A118" t="n">
        <v>256815</v>
      </c>
      <c r="B118" t="n">
        <v>226</v>
      </c>
      <c r="C118" t="inlineStr">
        <is>
          <t>The Cavern - Kamino</t>
        </is>
      </c>
      <c r="D118" t="n">
        <v>176</v>
      </c>
      <c r="E118" t="inlineStr">
        <is>
          <t>The Cavern</t>
        </is>
      </c>
      <c r="F118" s="27" t="n">
        <v>46071</v>
      </c>
      <c r="G118" t="inlineStr">
        <is>
          <t>DEBITO</t>
        </is>
      </c>
      <c r="H118" t="inlineStr">
        <is>
          <t>Arena Bebidas</t>
        </is>
      </c>
      <c r="I118" t="n">
        <v>-512.1799999999999</v>
      </c>
    </row>
    <row r="119">
      <c r="A119" t="n">
        <v>256814</v>
      </c>
      <c r="B119" t="n">
        <v>226</v>
      </c>
      <c r="C119" t="inlineStr">
        <is>
          <t>The Cavern - Kamino</t>
        </is>
      </c>
      <c r="D119" t="n">
        <v>176</v>
      </c>
      <c r="E119" t="inlineStr">
        <is>
          <t>The Cavern</t>
        </is>
      </c>
      <c r="F119" s="27" t="n">
        <v>46071</v>
      </c>
      <c r="G119" t="inlineStr">
        <is>
          <t>DEBITO</t>
        </is>
      </c>
      <c r="H119" t="inlineStr">
        <is>
          <t>Paramu Comercio R P a Ltda</t>
        </is>
      </c>
      <c r="I119" t="n">
        <v>-947.5</v>
      </c>
    </row>
    <row r="120">
      <c r="A120" t="n">
        <v>256813</v>
      </c>
      <c r="B120" t="n">
        <v>226</v>
      </c>
      <c r="C120" t="inlineStr">
        <is>
          <t>The Cavern - Kamino</t>
        </is>
      </c>
      <c r="D120" t="n">
        <v>176</v>
      </c>
      <c r="E120" t="inlineStr">
        <is>
          <t>The Cavern</t>
        </is>
      </c>
      <c r="F120" s="27" t="n">
        <v>46071</v>
      </c>
      <c r="G120" t="inlineStr">
        <is>
          <t>DEBITO</t>
        </is>
      </c>
      <c r="H120" t="inlineStr">
        <is>
          <t>Calebe Equipamentos Industriais</t>
        </is>
      </c>
      <c r="I120" t="n">
        <v>-1144.2</v>
      </c>
    </row>
    <row r="121">
      <c r="A121" t="n">
        <v>256812</v>
      </c>
      <c r="B121" t="n">
        <v>226</v>
      </c>
      <c r="C121" t="inlineStr">
        <is>
          <t>The Cavern - Kamino</t>
        </is>
      </c>
      <c r="D121" t="n">
        <v>176</v>
      </c>
      <c r="E121" t="inlineStr">
        <is>
          <t>The Cavern</t>
        </is>
      </c>
      <c r="F121" s="27" t="n">
        <v>46071</v>
      </c>
      <c r="G121" t="inlineStr">
        <is>
          <t>DEBITO</t>
        </is>
      </c>
      <c r="H121" t="inlineStr">
        <is>
          <t>Rosemery da Silva Araujo</t>
        </is>
      </c>
      <c r="I121" t="n">
        <v>-327.5</v>
      </c>
    </row>
    <row r="122">
      <c r="A122" t="n">
        <v>256811</v>
      </c>
      <c r="B122" t="n">
        <v>226</v>
      </c>
      <c r="C122" t="inlineStr">
        <is>
          <t>The Cavern - Kamino</t>
        </is>
      </c>
      <c r="D122" t="n">
        <v>176</v>
      </c>
      <c r="E122" t="inlineStr">
        <is>
          <t>The Cavern</t>
        </is>
      </c>
      <c r="F122" s="27" t="n">
        <v>46071</v>
      </c>
      <c r="G122" t="inlineStr">
        <is>
          <t>DEBITO</t>
        </is>
      </c>
      <c r="H122" t="inlineStr">
        <is>
          <t>Mar Direto Poc Comercio de Pei</t>
        </is>
      </c>
      <c r="I122" t="n">
        <v>-1121.25</v>
      </c>
    </row>
    <row r="123">
      <c r="A123" t="n">
        <v>256810</v>
      </c>
      <c r="B123" t="n">
        <v>226</v>
      </c>
      <c r="C123" t="inlineStr">
        <is>
          <t>The Cavern - Kamino</t>
        </is>
      </c>
      <c r="D123" t="n">
        <v>176</v>
      </c>
      <c r="E123" t="inlineStr">
        <is>
          <t>The Cavern</t>
        </is>
      </c>
      <c r="F123" s="27" t="n">
        <v>46071</v>
      </c>
      <c r="G123" t="inlineStr">
        <is>
          <t>DEBITO</t>
        </is>
      </c>
      <c r="H123" t="inlineStr">
        <is>
          <t>Tarifa Pix Enviado-PJ</t>
        </is>
      </c>
      <c r="I123" t="n">
        <v>-0.5</v>
      </c>
    </row>
    <row r="124">
      <c r="A124" t="n">
        <v>256809</v>
      </c>
      <c r="B124" t="n">
        <v>226</v>
      </c>
      <c r="C124" t="inlineStr">
        <is>
          <t>The Cavern - Kamino</t>
        </is>
      </c>
      <c r="D124" t="n">
        <v>176</v>
      </c>
      <c r="E124" t="inlineStr">
        <is>
          <t>The Cavern</t>
        </is>
      </c>
      <c r="F124" s="27" t="n">
        <v>46071</v>
      </c>
      <c r="G124" t="inlineStr">
        <is>
          <t>DEBITO</t>
        </is>
      </c>
      <c r="H124" t="inlineStr">
        <is>
          <t>Cecilia Tsuyaco Araki Silva Ltda</t>
        </is>
      </c>
      <c r="I124" t="n">
        <v>-227</v>
      </c>
    </row>
    <row r="125">
      <c r="A125" t="n">
        <v>256808</v>
      </c>
      <c r="B125" t="n">
        <v>226</v>
      </c>
      <c r="C125" t="inlineStr">
        <is>
          <t>The Cavern - Kamino</t>
        </is>
      </c>
      <c r="D125" t="n">
        <v>176</v>
      </c>
      <c r="E125" t="inlineStr">
        <is>
          <t>The Cavern</t>
        </is>
      </c>
      <c r="F125" s="27" t="n">
        <v>46071</v>
      </c>
      <c r="G125" t="inlineStr">
        <is>
          <t>CREDITO</t>
        </is>
      </c>
      <c r="H125" t="inlineStr">
        <is>
          <t>A CAVERNA BAR LTDA</t>
        </is>
      </c>
      <c r="I125" t="n">
        <v>18000</v>
      </c>
    </row>
    <row r="126">
      <c r="A126" t="n">
        <v>256807</v>
      </c>
      <c r="B126" t="n">
        <v>226</v>
      </c>
      <c r="C126" t="inlineStr">
        <is>
          <t>The Cavern - Kamino</t>
        </is>
      </c>
      <c r="D126" t="n">
        <v>176</v>
      </c>
      <c r="E126" t="inlineStr">
        <is>
          <t>The Cavern</t>
        </is>
      </c>
      <c r="F126" s="27" t="n">
        <v>46071</v>
      </c>
      <c r="G126" t="inlineStr">
        <is>
          <t>CREDITO</t>
        </is>
      </c>
      <c r="H126" t="inlineStr">
        <is>
          <t>A CAVERNA BAR LTDA</t>
        </is>
      </c>
      <c r="I126" t="n">
        <v>17687.25</v>
      </c>
    </row>
    <row r="127">
      <c r="A127" t="n">
        <v>256806</v>
      </c>
      <c r="B127" t="n">
        <v>226</v>
      </c>
      <c r="C127" t="inlineStr">
        <is>
          <t>The Cavern - Kamino</t>
        </is>
      </c>
      <c r="D127" t="n">
        <v>176</v>
      </c>
      <c r="E127" t="inlineStr">
        <is>
          <t>The Cavern</t>
        </is>
      </c>
      <c r="F127" s="27" t="n">
        <v>46071</v>
      </c>
      <c r="G127" t="inlineStr">
        <is>
          <t>CREDITO</t>
        </is>
      </c>
      <c r="H127" t="inlineStr">
        <is>
          <t>Zig Tecnologia S.A.</t>
        </is>
      </c>
      <c r="I127" t="n">
        <v>5296</v>
      </c>
    </row>
    <row r="128">
      <c r="A128" t="n">
        <v>256822</v>
      </c>
      <c r="B128" t="n">
        <v>226</v>
      </c>
      <c r="C128" t="inlineStr">
        <is>
          <t>The Cavern - Kamino</t>
        </is>
      </c>
      <c r="D128" t="n">
        <v>176</v>
      </c>
      <c r="E128" t="inlineStr">
        <is>
          <t>The Cavern</t>
        </is>
      </c>
      <c r="F128" s="27" t="n">
        <v>46071</v>
      </c>
      <c r="G128" t="inlineStr">
        <is>
          <t>DEBITO</t>
        </is>
      </c>
      <c r="H128" t="inlineStr">
        <is>
          <t>Companhia de Gas de Sp Comgas</t>
        </is>
      </c>
      <c r="I128" t="n">
        <v>-5209.72</v>
      </c>
    </row>
    <row r="129">
      <c r="A129" t="n">
        <v>256837</v>
      </c>
      <c r="B129" t="n">
        <v>226</v>
      </c>
      <c r="C129" t="inlineStr">
        <is>
          <t>The Cavern - Kamino</t>
        </is>
      </c>
      <c r="D129" t="n">
        <v>176</v>
      </c>
      <c r="E129" t="inlineStr">
        <is>
          <t>The Cavern</t>
        </is>
      </c>
      <c r="F129" s="27" t="n">
        <v>46071</v>
      </c>
      <c r="G129" t="inlineStr">
        <is>
          <t>DEBITO</t>
        </is>
      </c>
      <c r="H129" t="inlineStr">
        <is>
          <t>Mario Pedro Feliciano Hortifru</t>
        </is>
      </c>
      <c r="I129" t="n">
        <v>-141.02</v>
      </c>
    </row>
    <row r="130">
      <c r="A130" t="n">
        <v>256836</v>
      </c>
      <c r="B130" t="n">
        <v>226</v>
      </c>
      <c r="C130" t="inlineStr">
        <is>
          <t>The Cavern - Kamino</t>
        </is>
      </c>
      <c r="D130" t="n">
        <v>176</v>
      </c>
      <c r="E130" t="inlineStr">
        <is>
          <t>The Cavern</t>
        </is>
      </c>
      <c r="F130" s="27" t="n">
        <v>46071</v>
      </c>
      <c r="G130" t="inlineStr">
        <is>
          <t>DEBITO</t>
        </is>
      </c>
      <c r="H130" t="inlineStr">
        <is>
          <t>Tarifa Pix Enviado-PJ</t>
        </is>
      </c>
      <c r="I130" t="n">
        <v>-0.5</v>
      </c>
    </row>
    <row r="131">
      <c r="A131" t="n">
        <v>256835</v>
      </c>
      <c r="B131" t="n">
        <v>226</v>
      </c>
      <c r="C131" t="inlineStr">
        <is>
          <t>The Cavern - Kamino</t>
        </is>
      </c>
      <c r="D131" t="n">
        <v>176</v>
      </c>
      <c r="E131" t="inlineStr">
        <is>
          <t>The Cavern</t>
        </is>
      </c>
      <c r="F131" s="27" t="n">
        <v>46071</v>
      </c>
      <c r="G131" t="inlineStr">
        <is>
          <t>DEBITO</t>
        </is>
      </c>
      <c r="H131" t="inlineStr">
        <is>
          <t>Mar Direto</t>
        </is>
      </c>
      <c r="I131" t="n">
        <v>-3770</v>
      </c>
    </row>
    <row r="132">
      <c r="A132" t="n">
        <v>256834</v>
      </c>
      <c r="B132" t="n">
        <v>226</v>
      </c>
      <c r="C132" t="inlineStr">
        <is>
          <t>The Cavern - Kamino</t>
        </is>
      </c>
      <c r="D132" t="n">
        <v>176</v>
      </c>
      <c r="E132" t="inlineStr">
        <is>
          <t>The Cavern</t>
        </is>
      </c>
      <c r="F132" s="27" t="n">
        <v>46071</v>
      </c>
      <c r="G132" t="inlineStr">
        <is>
          <t>DEBITO</t>
        </is>
      </c>
      <c r="H132" t="inlineStr">
        <is>
          <t>Ng27 Consultoria e Gestao Empr</t>
        </is>
      </c>
      <c r="I132" t="n">
        <v>-145.01</v>
      </c>
    </row>
    <row r="133">
      <c r="A133" t="n">
        <v>256833</v>
      </c>
      <c r="B133" t="n">
        <v>226</v>
      </c>
      <c r="C133" t="inlineStr">
        <is>
          <t>The Cavern - Kamino</t>
        </is>
      </c>
      <c r="D133" t="n">
        <v>176</v>
      </c>
      <c r="E133" t="inlineStr">
        <is>
          <t>The Cavern</t>
        </is>
      </c>
      <c r="F133" s="27" t="n">
        <v>46071</v>
      </c>
      <c r="G133" t="inlineStr">
        <is>
          <t>DEBITO</t>
        </is>
      </c>
      <c r="H133" t="inlineStr">
        <is>
          <t>W P P C Carnes Eireli Epp</t>
        </is>
      </c>
      <c r="I133" t="n">
        <v>-482.04</v>
      </c>
    </row>
    <row r="134">
      <c r="A134" t="n">
        <v>256832</v>
      </c>
      <c r="B134" t="n">
        <v>226</v>
      </c>
      <c r="C134" t="inlineStr">
        <is>
          <t>The Cavern - Kamino</t>
        </is>
      </c>
      <c r="D134" t="n">
        <v>176</v>
      </c>
      <c r="E134" t="inlineStr">
        <is>
          <t>The Cavern</t>
        </is>
      </c>
      <c r="F134" s="27" t="n">
        <v>46071</v>
      </c>
      <c r="G134" t="inlineStr">
        <is>
          <t>DEBITO</t>
        </is>
      </c>
      <c r="H134" t="inlineStr">
        <is>
          <t>Cia do Whisky</t>
        </is>
      </c>
      <c r="I134" t="n">
        <v>-537.9</v>
      </c>
    </row>
    <row r="135">
      <c r="A135" t="n">
        <v>256831</v>
      </c>
      <c r="B135" t="n">
        <v>226</v>
      </c>
      <c r="C135" t="inlineStr">
        <is>
          <t>The Cavern - Kamino</t>
        </is>
      </c>
      <c r="D135" t="n">
        <v>176</v>
      </c>
      <c r="E135" t="inlineStr">
        <is>
          <t>The Cavern</t>
        </is>
      </c>
      <c r="F135" s="27" t="n">
        <v>46071</v>
      </c>
      <c r="G135" t="inlineStr">
        <is>
          <t>DEBITO</t>
        </is>
      </c>
      <c r="H135" t="inlineStr">
        <is>
          <t>King Comercio de Bebidas Ltda</t>
        </is>
      </c>
      <c r="I135" t="n">
        <v>-990.52</v>
      </c>
    </row>
    <row r="136">
      <c r="A136" t="n">
        <v>256830</v>
      </c>
      <c r="B136" t="n">
        <v>226</v>
      </c>
      <c r="C136" t="inlineStr">
        <is>
          <t>The Cavern - Kamino</t>
        </is>
      </c>
      <c r="D136" t="n">
        <v>176</v>
      </c>
      <c r="E136" t="inlineStr">
        <is>
          <t>The Cavern</t>
        </is>
      </c>
      <c r="F136" s="27" t="n">
        <v>46071</v>
      </c>
      <c r="G136" t="inlineStr">
        <is>
          <t>DEBITO</t>
        </is>
      </c>
      <c r="H136" t="inlineStr">
        <is>
          <t>Cecilia Tsuyaco Araki Silva Ltda</t>
        </is>
      </c>
      <c r="I136" t="n">
        <v>-36.5</v>
      </c>
    </row>
    <row r="137">
      <c r="A137" t="n">
        <v>256829</v>
      </c>
      <c r="B137" t="n">
        <v>226</v>
      </c>
      <c r="C137" t="inlineStr">
        <is>
          <t>The Cavern - Kamino</t>
        </is>
      </c>
      <c r="D137" t="n">
        <v>176</v>
      </c>
      <c r="E137" t="inlineStr">
        <is>
          <t>The Cavern</t>
        </is>
      </c>
      <c r="F137" s="27" t="n">
        <v>46071</v>
      </c>
      <c r="G137" t="inlineStr">
        <is>
          <t>DEBITO</t>
        </is>
      </c>
      <c r="H137" t="inlineStr">
        <is>
          <t>Calebe Equipamentos Industriais</t>
        </is>
      </c>
      <c r="I137" t="n">
        <v>-4000</v>
      </c>
    </row>
    <row r="138">
      <c r="A138" t="n">
        <v>256828</v>
      </c>
      <c r="B138" t="n">
        <v>226</v>
      </c>
      <c r="C138" t="inlineStr">
        <is>
          <t>The Cavern - Kamino</t>
        </is>
      </c>
      <c r="D138" t="n">
        <v>176</v>
      </c>
      <c r="E138" t="inlineStr">
        <is>
          <t>The Cavern</t>
        </is>
      </c>
      <c r="F138" s="27" t="n">
        <v>46071</v>
      </c>
      <c r="G138" t="inlineStr">
        <is>
          <t>DEBITO</t>
        </is>
      </c>
      <c r="H138" t="inlineStr">
        <is>
          <t>Spon Dist de Bebidas Ltda</t>
        </is>
      </c>
      <c r="I138" t="n">
        <v>-1416.18</v>
      </c>
    </row>
    <row r="139">
      <c r="A139" t="n">
        <v>256827</v>
      </c>
      <c r="B139" t="n">
        <v>226</v>
      </c>
      <c r="C139" t="inlineStr">
        <is>
          <t>The Cavern - Kamino</t>
        </is>
      </c>
      <c r="D139" t="n">
        <v>176</v>
      </c>
      <c r="E139" t="inlineStr">
        <is>
          <t>The Cavern</t>
        </is>
      </c>
      <c r="F139" s="27" t="n">
        <v>46071</v>
      </c>
      <c r="G139" t="inlineStr">
        <is>
          <t>DEBITO</t>
        </is>
      </c>
      <c r="H139" t="inlineStr">
        <is>
          <t>Ind de Beb Igarassu Ltda</t>
        </is>
      </c>
      <c r="I139" t="n">
        <v>-2730.17</v>
      </c>
    </row>
    <row r="140">
      <c r="A140" t="n">
        <v>256826</v>
      </c>
      <c r="B140" t="n">
        <v>226</v>
      </c>
      <c r="C140" t="inlineStr">
        <is>
          <t>The Cavern - Kamino</t>
        </is>
      </c>
      <c r="D140" t="n">
        <v>176</v>
      </c>
      <c r="E140" t="inlineStr">
        <is>
          <t>The Cavern</t>
        </is>
      </c>
      <c r="F140" s="27" t="n">
        <v>46071</v>
      </c>
      <c r="G140" t="inlineStr">
        <is>
          <t>DEBITO</t>
        </is>
      </c>
      <c r="H140" t="inlineStr">
        <is>
          <t>Premier Alimentos Ltda</t>
        </is>
      </c>
      <c r="I140" t="n">
        <v>-1715.98</v>
      </c>
    </row>
    <row r="141">
      <c r="A141" t="n">
        <v>256825</v>
      </c>
      <c r="B141" t="n">
        <v>226</v>
      </c>
      <c r="C141" t="inlineStr">
        <is>
          <t>The Cavern - Kamino</t>
        </is>
      </c>
      <c r="D141" t="n">
        <v>176</v>
      </c>
      <c r="E141" t="inlineStr">
        <is>
          <t>The Cavern</t>
        </is>
      </c>
      <c r="F141" s="27" t="n">
        <v>46071</v>
      </c>
      <c r="G141" t="inlineStr">
        <is>
          <t>DEBITO</t>
        </is>
      </c>
      <c r="H141" t="inlineStr">
        <is>
          <t>Hnk Br Bebidas Ltda</t>
        </is>
      </c>
      <c r="I141" t="n">
        <v>-4067.72</v>
      </c>
    </row>
    <row r="142">
      <c r="A142" t="n">
        <v>256823</v>
      </c>
      <c r="B142" t="n">
        <v>226</v>
      </c>
      <c r="C142" t="inlineStr">
        <is>
          <t>The Cavern - Kamino</t>
        </is>
      </c>
      <c r="D142" t="n">
        <v>176</v>
      </c>
      <c r="E142" t="inlineStr">
        <is>
          <t>The Cavern</t>
        </is>
      </c>
      <c r="F142" s="27" t="n">
        <v>46071</v>
      </c>
      <c r="G142" t="inlineStr">
        <is>
          <t>DEBITO</t>
        </is>
      </c>
      <c r="H142" t="inlineStr">
        <is>
          <t>Spal Ind Bras de Bebidas Sa</t>
        </is>
      </c>
      <c r="I142" t="n">
        <v>-1007.38</v>
      </c>
    </row>
    <row r="143">
      <c r="A143" t="n">
        <v>256821</v>
      </c>
      <c r="B143" t="n">
        <v>226</v>
      </c>
      <c r="C143" t="inlineStr">
        <is>
          <t>The Cavern - Kamino</t>
        </is>
      </c>
      <c r="D143" t="n">
        <v>176</v>
      </c>
      <c r="E143" t="inlineStr">
        <is>
          <t>The Cavern</t>
        </is>
      </c>
      <c r="F143" s="27" t="n">
        <v>46071</v>
      </c>
      <c r="G143" t="inlineStr">
        <is>
          <t>DEBITO</t>
        </is>
      </c>
      <c r="H143" t="inlineStr">
        <is>
          <t>Dtk com de Alim Ltda</t>
        </is>
      </c>
      <c r="I143" t="n">
        <v>-234.64</v>
      </c>
    </row>
    <row r="144">
      <c r="A144" t="n">
        <v>256796</v>
      </c>
      <c r="B144" t="n">
        <v>226</v>
      </c>
      <c r="C144" t="inlineStr">
        <is>
          <t>The Cavern - Kamino</t>
        </is>
      </c>
      <c r="D144" t="n">
        <v>176</v>
      </c>
      <c r="E144" t="inlineStr">
        <is>
          <t>The Cavern</t>
        </is>
      </c>
      <c r="F144" s="27" t="n">
        <v>46066</v>
      </c>
      <c r="G144" t="inlineStr">
        <is>
          <t>DEBITO</t>
        </is>
      </c>
      <c r="H144" t="inlineStr">
        <is>
          <t>Paulo Sergio Lopes Martins de Freitas 09997138767</t>
        </is>
      </c>
      <c r="I144" t="n">
        <v>-6600</v>
      </c>
    </row>
    <row r="145">
      <c r="A145" t="n">
        <v>256800</v>
      </c>
      <c r="B145" t="n">
        <v>226</v>
      </c>
      <c r="C145" t="inlineStr">
        <is>
          <t>The Cavern - Kamino</t>
        </is>
      </c>
      <c r="D145" t="n">
        <v>176</v>
      </c>
      <c r="E145" t="inlineStr">
        <is>
          <t>The Cavern</t>
        </is>
      </c>
      <c r="F145" s="27" t="n">
        <v>46066</v>
      </c>
      <c r="G145" t="inlineStr">
        <is>
          <t>DEBITO</t>
        </is>
      </c>
      <c r="H145" t="inlineStr">
        <is>
          <t>Rebal Comercial Ltda</t>
        </is>
      </c>
      <c r="I145" t="n">
        <v>-1782.26</v>
      </c>
    </row>
    <row r="146">
      <c r="A146" t="n">
        <v>256785</v>
      </c>
      <c r="B146" t="n">
        <v>226</v>
      </c>
      <c r="C146" t="inlineStr">
        <is>
          <t>The Cavern - Kamino</t>
        </is>
      </c>
      <c r="D146" t="n">
        <v>176</v>
      </c>
      <c r="E146" t="inlineStr">
        <is>
          <t>The Cavern</t>
        </is>
      </c>
      <c r="F146" s="27" t="n">
        <v>46066</v>
      </c>
      <c r="G146" t="inlineStr">
        <is>
          <t>CREDITO</t>
        </is>
      </c>
      <c r="H146" t="inlineStr">
        <is>
          <t>Zig Tecnologia S.A.</t>
        </is>
      </c>
      <c r="I146" t="n">
        <v>5630</v>
      </c>
    </row>
    <row r="147">
      <c r="A147" t="n">
        <v>256786</v>
      </c>
      <c r="B147" t="n">
        <v>226</v>
      </c>
      <c r="C147" t="inlineStr">
        <is>
          <t>The Cavern - Kamino</t>
        </is>
      </c>
      <c r="D147" t="n">
        <v>176</v>
      </c>
      <c r="E147" t="inlineStr">
        <is>
          <t>The Cavern</t>
        </is>
      </c>
      <c r="F147" s="27" t="n">
        <v>46066</v>
      </c>
      <c r="G147" t="inlineStr">
        <is>
          <t>CREDITO</t>
        </is>
      </c>
      <c r="H147" t="inlineStr">
        <is>
          <t>Zig Tecnologia S.A.</t>
        </is>
      </c>
      <c r="I147" t="n">
        <v>900</v>
      </c>
    </row>
    <row r="148">
      <c r="A148" t="n">
        <v>256787</v>
      </c>
      <c r="B148" t="n">
        <v>226</v>
      </c>
      <c r="C148" t="inlineStr">
        <is>
          <t>The Cavern - Kamino</t>
        </is>
      </c>
      <c r="D148" t="n">
        <v>176</v>
      </c>
      <c r="E148" t="inlineStr">
        <is>
          <t>The Cavern</t>
        </is>
      </c>
      <c r="F148" s="27" t="n">
        <v>46066</v>
      </c>
      <c r="G148" t="inlineStr">
        <is>
          <t>CREDITO</t>
        </is>
      </c>
      <c r="H148" t="inlineStr">
        <is>
          <t>A CAVERNA BAR LTDA</t>
        </is>
      </c>
      <c r="I148" t="n">
        <v>8500</v>
      </c>
    </row>
    <row r="149">
      <c r="A149" t="n">
        <v>256788</v>
      </c>
      <c r="B149" t="n">
        <v>226</v>
      </c>
      <c r="C149" t="inlineStr">
        <is>
          <t>The Cavern - Kamino</t>
        </is>
      </c>
      <c r="D149" t="n">
        <v>176</v>
      </c>
      <c r="E149" t="inlineStr">
        <is>
          <t>The Cavern</t>
        </is>
      </c>
      <c r="F149" s="27" t="n">
        <v>46066</v>
      </c>
      <c r="G149" t="inlineStr">
        <is>
          <t>DEBITO</t>
        </is>
      </c>
      <c r="H149" t="inlineStr">
        <is>
          <t>Nicole Sousa Vieira</t>
        </is>
      </c>
      <c r="I149" t="n">
        <v>-375.2</v>
      </c>
    </row>
    <row r="150">
      <c r="A150" t="n">
        <v>256789</v>
      </c>
      <c r="B150" t="n">
        <v>226</v>
      </c>
      <c r="C150" t="inlineStr">
        <is>
          <t>The Cavern - Kamino</t>
        </is>
      </c>
      <c r="D150" t="n">
        <v>176</v>
      </c>
      <c r="E150" t="inlineStr">
        <is>
          <t>The Cavern</t>
        </is>
      </c>
      <c r="F150" s="27" t="n">
        <v>46066</v>
      </c>
      <c r="G150" t="inlineStr">
        <is>
          <t>DEBITO</t>
        </is>
      </c>
      <c r="H150" t="inlineStr">
        <is>
          <t>Rodrigo Soares de Rezende</t>
        </is>
      </c>
      <c r="I150" t="n">
        <v>-280</v>
      </c>
    </row>
    <row r="151">
      <c r="A151" t="n">
        <v>256790</v>
      </c>
      <c r="B151" t="n">
        <v>226</v>
      </c>
      <c r="C151" t="inlineStr">
        <is>
          <t>The Cavern - Kamino</t>
        </is>
      </c>
      <c r="D151" t="n">
        <v>176</v>
      </c>
      <c r="E151" t="inlineStr">
        <is>
          <t>The Cavern</t>
        </is>
      </c>
      <c r="F151" s="27" t="n">
        <v>46066</v>
      </c>
      <c r="G151" t="inlineStr">
        <is>
          <t>DEBITO</t>
        </is>
      </c>
      <c r="H151" t="inlineStr">
        <is>
          <t>Rodrigo Soares de Rezende</t>
        </is>
      </c>
      <c r="I151" t="n">
        <v>-127.48</v>
      </c>
    </row>
    <row r="152">
      <c r="A152" t="n">
        <v>256791</v>
      </c>
      <c r="B152" t="n">
        <v>226</v>
      </c>
      <c r="C152" t="inlineStr">
        <is>
          <t>The Cavern - Kamino</t>
        </is>
      </c>
      <c r="D152" t="n">
        <v>176</v>
      </c>
      <c r="E152" t="inlineStr">
        <is>
          <t>The Cavern</t>
        </is>
      </c>
      <c r="F152" s="27" t="n">
        <v>46066</v>
      </c>
      <c r="G152" t="inlineStr">
        <is>
          <t>DEBITO</t>
        </is>
      </c>
      <c r="H152" t="inlineStr">
        <is>
          <t>Cia do Whisky</t>
        </is>
      </c>
      <c r="I152" t="n">
        <v>-3415.07</v>
      </c>
    </row>
    <row r="153">
      <c r="A153" t="n">
        <v>256792</v>
      </c>
      <c r="B153" t="n">
        <v>226</v>
      </c>
      <c r="C153" t="inlineStr">
        <is>
          <t>The Cavern - Kamino</t>
        </is>
      </c>
      <c r="D153" t="n">
        <v>176</v>
      </c>
      <c r="E153" t="inlineStr">
        <is>
          <t>The Cavern</t>
        </is>
      </c>
      <c r="F153" s="27" t="n">
        <v>46066</v>
      </c>
      <c r="G153" t="inlineStr">
        <is>
          <t>DEBITO</t>
        </is>
      </c>
      <c r="H153" t="inlineStr">
        <is>
          <t>Mario Leonardo Felix da Silva</t>
        </is>
      </c>
      <c r="I153" t="n">
        <v>-478.81</v>
      </c>
    </row>
    <row r="154">
      <c r="A154" t="n">
        <v>256793</v>
      </c>
      <c r="B154" t="n">
        <v>226</v>
      </c>
      <c r="C154" t="inlineStr">
        <is>
          <t>The Cavern - Kamino</t>
        </is>
      </c>
      <c r="D154" t="n">
        <v>176</v>
      </c>
      <c r="E154" t="inlineStr">
        <is>
          <t>The Cavern</t>
        </is>
      </c>
      <c r="F154" s="27" t="n">
        <v>46066</v>
      </c>
      <c r="G154" t="inlineStr">
        <is>
          <t>DEBITO</t>
        </is>
      </c>
      <c r="H154" t="inlineStr">
        <is>
          <t>Lineker do Nascimento Silva</t>
        </is>
      </c>
      <c r="I154" t="n">
        <v>-356.95</v>
      </c>
    </row>
    <row r="155">
      <c r="A155" t="n">
        <v>256794</v>
      </c>
      <c r="B155" t="n">
        <v>226</v>
      </c>
      <c r="C155" t="inlineStr">
        <is>
          <t>The Cavern - Kamino</t>
        </is>
      </c>
      <c r="D155" t="n">
        <v>176</v>
      </c>
      <c r="E155" t="inlineStr">
        <is>
          <t>The Cavern</t>
        </is>
      </c>
      <c r="F155" s="27" t="n">
        <v>46066</v>
      </c>
      <c r="G155" t="inlineStr">
        <is>
          <t>DEBITO</t>
        </is>
      </c>
      <c r="H155" t="inlineStr">
        <is>
          <t>Leonardo Tadeu Massoni Bileschy</t>
        </is>
      </c>
      <c r="I155" t="n">
        <v>-771.41</v>
      </c>
    </row>
    <row r="156">
      <c r="A156" t="n">
        <v>256805</v>
      </c>
      <c r="B156" t="n">
        <v>226</v>
      </c>
      <c r="C156" t="inlineStr">
        <is>
          <t>The Cavern - Kamino</t>
        </is>
      </c>
      <c r="D156" t="n">
        <v>176</v>
      </c>
      <c r="E156" t="inlineStr">
        <is>
          <t>The Cavern</t>
        </is>
      </c>
      <c r="F156" s="27" t="n">
        <v>46066</v>
      </c>
      <c r="G156" t="inlineStr">
        <is>
          <t>DEBITO</t>
        </is>
      </c>
      <c r="H156" t="inlineStr">
        <is>
          <t>Lorran Galdino da Silva</t>
        </is>
      </c>
      <c r="I156" t="n">
        <v>-739.41</v>
      </c>
    </row>
    <row r="157">
      <c r="A157" t="n">
        <v>256804</v>
      </c>
      <c r="B157" t="n">
        <v>226</v>
      </c>
      <c r="C157" t="inlineStr">
        <is>
          <t>The Cavern - Kamino</t>
        </is>
      </c>
      <c r="D157" t="n">
        <v>176</v>
      </c>
      <c r="E157" t="inlineStr">
        <is>
          <t>The Cavern</t>
        </is>
      </c>
      <c r="F157" s="27" t="n">
        <v>46066</v>
      </c>
      <c r="G157" t="inlineStr">
        <is>
          <t>DEBITO</t>
        </is>
      </c>
      <c r="H157" t="inlineStr">
        <is>
          <t>Paulo Sergio Lopes Martins de Freitas 09997138767</t>
        </is>
      </c>
      <c r="I157" t="n">
        <v>-831.13</v>
      </c>
    </row>
    <row r="158">
      <c r="A158" t="n">
        <v>256803</v>
      </c>
      <c r="B158" t="n">
        <v>226</v>
      </c>
      <c r="C158" t="inlineStr">
        <is>
          <t>The Cavern - Kamino</t>
        </is>
      </c>
      <c r="D158" t="n">
        <v>176</v>
      </c>
      <c r="E158" t="inlineStr">
        <is>
          <t>The Cavern</t>
        </is>
      </c>
      <c r="F158" s="27" t="n">
        <v>46066</v>
      </c>
      <c r="G158" t="inlineStr">
        <is>
          <t>DEBITO</t>
        </is>
      </c>
      <c r="H158" t="inlineStr">
        <is>
          <t>Tarifa Pix Enviado-PJ</t>
        </is>
      </c>
      <c r="I158" t="n">
        <v>-0.5</v>
      </c>
    </row>
    <row r="159">
      <c r="A159" t="n">
        <v>256802</v>
      </c>
      <c r="B159" t="n">
        <v>226</v>
      </c>
      <c r="C159" t="inlineStr">
        <is>
          <t>The Cavern - Kamino</t>
        </is>
      </c>
      <c r="D159" t="n">
        <v>176</v>
      </c>
      <c r="E159" t="inlineStr">
        <is>
          <t>The Cavern</t>
        </is>
      </c>
      <c r="F159" s="27" t="n">
        <v>46066</v>
      </c>
      <c r="G159" t="inlineStr">
        <is>
          <t>DEBITO</t>
        </is>
      </c>
      <c r="H159" t="inlineStr">
        <is>
          <t>Pagseguro Internet I.P. S.A.</t>
        </is>
      </c>
      <c r="I159" t="n">
        <v>-240</v>
      </c>
    </row>
    <row r="160">
      <c r="A160" t="n">
        <v>256799</v>
      </c>
      <c r="B160" t="n">
        <v>226</v>
      </c>
      <c r="C160" t="inlineStr">
        <is>
          <t>The Cavern - Kamino</t>
        </is>
      </c>
      <c r="D160" t="n">
        <v>176</v>
      </c>
      <c r="E160" t="inlineStr">
        <is>
          <t>The Cavern</t>
        </is>
      </c>
      <c r="F160" s="27" t="n">
        <v>46066</v>
      </c>
      <c r="G160" t="inlineStr">
        <is>
          <t>DEBITO</t>
        </is>
      </c>
      <c r="H160" t="inlineStr">
        <is>
          <t>La Chica Empanadas</t>
        </is>
      </c>
      <c r="I160" t="n">
        <v>-1765.94</v>
      </c>
    </row>
    <row r="161">
      <c r="A161" t="n">
        <v>256798</v>
      </c>
      <c r="B161" t="n">
        <v>226</v>
      </c>
      <c r="C161" t="inlineStr">
        <is>
          <t>The Cavern - Kamino</t>
        </is>
      </c>
      <c r="D161" t="n">
        <v>176</v>
      </c>
      <c r="E161" t="inlineStr">
        <is>
          <t>The Cavern</t>
        </is>
      </c>
      <c r="F161" s="27" t="n">
        <v>46066</v>
      </c>
      <c r="G161" t="inlineStr">
        <is>
          <t>DEBITO</t>
        </is>
      </c>
      <c r="H161" t="inlineStr">
        <is>
          <t>Ng27 Consultoria e Gestao Empr</t>
        </is>
      </c>
      <c r="I161" t="n">
        <v>-162.51</v>
      </c>
    </row>
    <row r="162">
      <c r="A162" t="n">
        <v>256797</v>
      </c>
      <c r="B162" t="n">
        <v>226</v>
      </c>
      <c r="C162" t="inlineStr">
        <is>
          <t>The Cavern - Kamino</t>
        </is>
      </c>
      <c r="D162" t="n">
        <v>176</v>
      </c>
      <c r="E162" t="inlineStr">
        <is>
          <t>The Cavern</t>
        </is>
      </c>
      <c r="F162" s="27" t="n">
        <v>46066</v>
      </c>
      <c r="G162" t="inlineStr">
        <is>
          <t>DEBITO</t>
        </is>
      </c>
      <c r="H162" t="inlineStr">
        <is>
          <t>Cecilia Tsuyaco Araki Silva Ltda</t>
        </is>
      </c>
      <c r="I162" t="n">
        <v>-405.75</v>
      </c>
    </row>
    <row r="163">
      <c r="A163" t="n">
        <v>256795</v>
      </c>
      <c r="B163" t="n">
        <v>226</v>
      </c>
      <c r="C163" t="inlineStr">
        <is>
          <t>The Cavern - Kamino</t>
        </is>
      </c>
      <c r="D163" t="n">
        <v>176</v>
      </c>
      <c r="E163" t="inlineStr">
        <is>
          <t>The Cavern</t>
        </is>
      </c>
      <c r="F163" s="27" t="n">
        <v>46066</v>
      </c>
      <c r="G163" t="inlineStr">
        <is>
          <t>DEBITO</t>
        </is>
      </c>
      <c r="H163" t="inlineStr">
        <is>
          <t>Cecilia Tsuyaco Araki Silva Ltda</t>
        </is>
      </c>
      <c r="I163" t="n">
        <v>-266.4</v>
      </c>
    </row>
    <row r="164">
      <c r="A164" t="n">
        <v>256801</v>
      </c>
      <c r="B164" t="n">
        <v>226</v>
      </c>
      <c r="C164" t="inlineStr">
        <is>
          <t>The Cavern - Kamino</t>
        </is>
      </c>
      <c r="D164" t="n">
        <v>176</v>
      </c>
      <c r="E164" t="inlineStr">
        <is>
          <t>The Cavern</t>
        </is>
      </c>
      <c r="F164" s="27" t="n">
        <v>46066</v>
      </c>
      <c r="G164" t="inlineStr">
        <is>
          <t>DEBITO</t>
        </is>
      </c>
      <c r="H164" t="inlineStr">
        <is>
          <t>Levitare In com Latic Ltda Epp</t>
        </is>
      </c>
      <c r="I164" t="n">
        <v>-346.8</v>
      </c>
    </row>
    <row r="165">
      <c r="A165" t="n">
        <v>256784</v>
      </c>
      <c r="B165" t="n">
        <v>226</v>
      </c>
      <c r="C165" t="inlineStr">
        <is>
          <t>The Cavern - Kamino</t>
        </is>
      </c>
      <c r="D165" t="n">
        <v>176</v>
      </c>
      <c r="E165" t="inlineStr">
        <is>
          <t>The Cavern</t>
        </is>
      </c>
      <c r="F165" s="27" t="n">
        <v>46065</v>
      </c>
      <c r="G165" t="inlineStr">
        <is>
          <t>DEBITO</t>
        </is>
      </c>
      <c r="H165" t="inlineStr">
        <is>
          <t>Bb Distribuidora</t>
        </is>
      </c>
      <c r="I165" t="n">
        <v>-798</v>
      </c>
    </row>
    <row r="166">
      <c r="A166" t="n">
        <v>256780</v>
      </c>
      <c r="B166" t="n">
        <v>226</v>
      </c>
      <c r="C166" t="inlineStr">
        <is>
          <t>The Cavern - Kamino</t>
        </is>
      </c>
      <c r="D166" t="n">
        <v>176</v>
      </c>
      <c r="E166" t="inlineStr">
        <is>
          <t>The Cavern</t>
        </is>
      </c>
      <c r="F166" s="27" t="n">
        <v>46065</v>
      </c>
      <c r="G166" t="inlineStr">
        <is>
          <t>DEBITO</t>
        </is>
      </c>
      <c r="H166" t="inlineStr">
        <is>
          <t>Vero S.a.</t>
        </is>
      </c>
      <c r="I166" t="n">
        <v>-246</v>
      </c>
    </row>
    <row r="167">
      <c r="A167" t="n">
        <v>256781</v>
      </c>
      <c r="B167" t="n">
        <v>226</v>
      </c>
      <c r="C167" t="inlineStr">
        <is>
          <t>The Cavern - Kamino</t>
        </is>
      </c>
      <c r="D167" t="n">
        <v>176</v>
      </c>
      <c r="E167" t="inlineStr">
        <is>
          <t>The Cavern</t>
        </is>
      </c>
      <c r="F167" s="27" t="n">
        <v>46065</v>
      </c>
      <c r="G167" t="inlineStr">
        <is>
          <t>CREDITO</t>
        </is>
      </c>
      <c r="H167" t="inlineStr">
        <is>
          <t>Zig Tecnologia S.A.</t>
        </is>
      </c>
      <c r="I167" t="n">
        <v>990</v>
      </c>
    </row>
    <row r="168">
      <c r="A168" t="n">
        <v>256782</v>
      </c>
      <c r="B168" t="n">
        <v>226</v>
      </c>
      <c r="C168" t="inlineStr">
        <is>
          <t>The Cavern - Kamino</t>
        </is>
      </c>
      <c r="D168" t="n">
        <v>176</v>
      </c>
      <c r="E168" t="inlineStr">
        <is>
          <t>The Cavern</t>
        </is>
      </c>
      <c r="F168" s="27" t="n">
        <v>46065</v>
      </c>
      <c r="G168" t="inlineStr">
        <is>
          <t>CREDITO</t>
        </is>
      </c>
      <c r="H168" t="inlineStr">
        <is>
          <t>Zig Tecnologia S.A.</t>
        </is>
      </c>
      <c r="I168" t="n">
        <v>2750</v>
      </c>
    </row>
    <row r="169">
      <c r="A169" t="n">
        <v>256783</v>
      </c>
      <c r="B169" t="n">
        <v>226</v>
      </c>
      <c r="C169" t="inlineStr">
        <is>
          <t>The Cavern - Kamino</t>
        </is>
      </c>
      <c r="D169" t="n">
        <v>176</v>
      </c>
      <c r="E169" t="inlineStr">
        <is>
          <t>The Cavern</t>
        </is>
      </c>
      <c r="F169" s="27" t="n">
        <v>46065</v>
      </c>
      <c r="G169" t="inlineStr">
        <is>
          <t>DEBITO</t>
        </is>
      </c>
      <c r="H169" t="inlineStr">
        <is>
          <t>W P P C Carnes Eireli Epp</t>
        </is>
      </c>
      <c r="I169" t="n">
        <v>-871.52</v>
      </c>
    </row>
    <row r="170">
      <c r="A170" t="n">
        <v>256779</v>
      </c>
      <c r="B170" t="n">
        <v>226</v>
      </c>
      <c r="C170" t="inlineStr">
        <is>
          <t>The Cavern - Kamino</t>
        </is>
      </c>
      <c r="D170" t="n">
        <v>176</v>
      </c>
      <c r="E170" t="inlineStr">
        <is>
          <t>The Cavern</t>
        </is>
      </c>
      <c r="F170" s="27" t="n">
        <v>46064</v>
      </c>
      <c r="G170" t="inlineStr">
        <is>
          <t>DEBITO</t>
        </is>
      </c>
      <c r="H170" t="inlineStr">
        <is>
          <t>Talita Martins de Souza 38016579817</t>
        </is>
      </c>
      <c r="I170" t="n">
        <v>-3640</v>
      </c>
    </row>
    <row r="171">
      <c r="A171" t="n">
        <v>256778</v>
      </c>
      <c r="B171" t="n">
        <v>226</v>
      </c>
      <c r="C171" t="inlineStr">
        <is>
          <t>The Cavern - Kamino</t>
        </is>
      </c>
      <c r="D171" t="n">
        <v>176</v>
      </c>
      <c r="E171" t="inlineStr">
        <is>
          <t>The Cavern</t>
        </is>
      </c>
      <c r="F171" s="27" t="n">
        <v>46064</v>
      </c>
      <c r="G171" t="inlineStr">
        <is>
          <t>CREDITO</t>
        </is>
      </c>
      <c r="H171" t="inlineStr">
        <is>
          <t>Pix Env Nao Processado</t>
        </is>
      </c>
      <c r="I171" t="n">
        <v>3640</v>
      </c>
    </row>
    <row r="172">
      <c r="A172" t="n">
        <v>256765</v>
      </c>
      <c r="B172" t="n">
        <v>226</v>
      </c>
      <c r="C172" t="inlineStr">
        <is>
          <t>The Cavern - Kamino</t>
        </is>
      </c>
      <c r="D172" t="n">
        <v>176</v>
      </c>
      <c r="E172" t="inlineStr">
        <is>
          <t>The Cavern</t>
        </is>
      </c>
      <c r="F172" s="27" t="n">
        <v>46064</v>
      </c>
      <c r="G172" t="inlineStr">
        <is>
          <t>CREDITO</t>
        </is>
      </c>
      <c r="H172" t="inlineStr">
        <is>
          <t>Zig Tecnologia S.A.</t>
        </is>
      </c>
      <c r="I172" t="n">
        <v>4500</v>
      </c>
    </row>
    <row r="173">
      <c r="A173" t="n">
        <v>256766</v>
      </c>
      <c r="B173" t="n">
        <v>226</v>
      </c>
      <c r="C173" t="inlineStr">
        <is>
          <t>The Cavern - Kamino</t>
        </is>
      </c>
      <c r="D173" t="n">
        <v>176</v>
      </c>
      <c r="E173" t="inlineStr">
        <is>
          <t>The Cavern</t>
        </is>
      </c>
      <c r="F173" s="27" t="n">
        <v>46064</v>
      </c>
      <c r="G173" t="inlineStr">
        <is>
          <t>CREDITO</t>
        </is>
      </c>
      <c r="H173" t="inlineStr">
        <is>
          <t>Daniel Motta</t>
        </is>
      </c>
      <c r="I173" t="n">
        <v>14000</v>
      </c>
    </row>
    <row r="174">
      <c r="A174" t="n">
        <v>256767</v>
      </c>
      <c r="B174" t="n">
        <v>226</v>
      </c>
      <c r="C174" t="inlineStr">
        <is>
          <t>The Cavern - Kamino</t>
        </is>
      </c>
      <c r="D174" t="n">
        <v>176</v>
      </c>
      <c r="E174" t="inlineStr">
        <is>
          <t>The Cavern</t>
        </is>
      </c>
      <c r="F174" s="27" t="n">
        <v>46064</v>
      </c>
      <c r="G174" t="inlineStr">
        <is>
          <t>DEBITO</t>
        </is>
      </c>
      <c r="H174" t="inlineStr">
        <is>
          <t>Rodrigo Soares de Rezende</t>
        </is>
      </c>
      <c r="I174" t="n">
        <v>-2100</v>
      </c>
    </row>
    <row r="175">
      <c r="A175" t="n">
        <v>256768</v>
      </c>
      <c r="B175" t="n">
        <v>226</v>
      </c>
      <c r="C175" t="inlineStr">
        <is>
          <t>The Cavern - Kamino</t>
        </is>
      </c>
      <c r="D175" t="n">
        <v>176</v>
      </c>
      <c r="E175" t="inlineStr">
        <is>
          <t>The Cavern</t>
        </is>
      </c>
      <c r="F175" s="27" t="n">
        <v>46064</v>
      </c>
      <c r="G175" t="inlineStr">
        <is>
          <t>DEBITO</t>
        </is>
      </c>
      <c r="H175" t="inlineStr">
        <is>
          <t>Talita Martins de Souza</t>
        </is>
      </c>
      <c r="I175" t="n">
        <v>-3640</v>
      </c>
    </row>
    <row r="176">
      <c r="A176" t="n">
        <v>256769</v>
      </c>
      <c r="B176" t="n">
        <v>226</v>
      </c>
      <c r="C176" t="inlineStr">
        <is>
          <t>The Cavern - Kamino</t>
        </is>
      </c>
      <c r="D176" t="n">
        <v>176</v>
      </c>
      <c r="E176" t="inlineStr">
        <is>
          <t>The Cavern</t>
        </is>
      </c>
      <c r="F176" s="27" t="n">
        <v>46064</v>
      </c>
      <c r="G176" t="inlineStr">
        <is>
          <t>CREDITO</t>
        </is>
      </c>
      <c r="H176" t="inlineStr">
        <is>
          <t>Pix Env Nao Processado</t>
        </is>
      </c>
      <c r="I176" t="n">
        <v>3500</v>
      </c>
    </row>
    <row r="177">
      <c r="A177" t="n">
        <v>256770</v>
      </c>
      <c r="B177" t="n">
        <v>226</v>
      </c>
      <c r="C177" t="inlineStr">
        <is>
          <t>The Cavern - Kamino</t>
        </is>
      </c>
      <c r="D177" t="n">
        <v>176</v>
      </c>
      <c r="E177" t="inlineStr">
        <is>
          <t>The Cavern</t>
        </is>
      </c>
      <c r="F177" s="27" t="n">
        <v>46064</v>
      </c>
      <c r="G177" t="inlineStr">
        <is>
          <t>DEBITO</t>
        </is>
      </c>
      <c r="H177" t="inlineStr">
        <is>
          <t>Lineker do Nascimento Silva</t>
        </is>
      </c>
      <c r="I177" t="n">
        <v>-3640</v>
      </c>
    </row>
    <row r="178">
      <c r="A178" t="n">
        <v>256771</v>
      </c>
      <c r="B178" t="n">
        <v>226</v>
      </c>
      <c r="C178" t="inlineStr">
        <is>
          <t>The Cavern - Kamino</t>
        </is>
      </c>
      <c r="D178" t="n">
        <v>176</v>
      </c>
      <c r="E178" t="inlineStr">
        <is>
          <t>The Cavern</t>
        </is>
      </c>
      <c r="F178" s="27" t="n">
        <v>46064</v>
      </c>
      <c r="G178" t="inlineStr">
        <is>
          <t>CREDITO</t>
        </is>
      </c>
      <c r="H178" t="inlineStr">
        <is>
          <t>Pix Env Nao Processado</t>
        </is>
      </c>
      <c r="I178" t="n">
        <v>3640</v>
      </c>
    </row>
    <row r="179">
      <c r="A179" t="n">
        <v>256772</v>
      </c>
      <c r="B179" t="n">
        <v>226</v>
      </c>
      <c r="C179" t="inlineStr">
        <is>
          <t>The Cavern - Kamino</t>
        </is>
      </c>
      <c r="D179" t="n">
        <v>176</v>
      </c>
      <c r="E179" t="inlineStr">
        <is>
          <t>The Cavern</t>
        </is>
      </c>
      <c r="F179" s="27" t="n">
        <v>46064</v>
      </c>
      <c r="G179" t="inlineStr">
        <is>
          <t>DEBITO</t>
        </is>
      </c>
      <c r="H179" t="inlineStr">
        <is>
          <t>Leonardo Tadeu Massoni Bileschy</t>
        </is>
      </c>
      <c r="I179" t="n">
        <v>-4800</v>
      </c>
    </row>
    <row r="180">
      <c r="A180" t="n">
        <v>256773</v>
      </c>
      <c r="B180" t="n">
        <v>226</v>
      </c>
      <c r="C180" t="inlineStr">
        <is>
          <t>The Cavern - Kamino</t>
        </is>
      </c>
      <c r="D180" t="n">
        <v>176</v>
      </c>
      <c r="E180" t="inlineStr">
        <is>
          <t>The Cavern</t>
        </is>
      </c>
      <c r="F180" s="27" t="n">
        <v>46064</v>
      </c>
      <c r="G180" t="inlineStr">
        <is>
          <t>DEBITO</t>
        </is>
      </c>
      <c r="H180" t="inlineStr">
        <is>
          <t>Lorran Galdino da Silva</t>
        </is>
      </c>
      <c r="I180" t="n">
        <v>-4000</v>
      </c>
    </row>
    <row r="181">
      <c r="A181" t="n">
        <v>256774</v>
      </c>
      <c r="B181" t="n">
        <v>226</v>
      </c>
      <c r="C181" t="inlineStr">
        <is>
          <t>The Cavern - Kamino</t>
        </is>
      </c>
      <c r="D181" t="n">
        <v>176</v>
      </c>
      <c r="E181" t="inlineStr">
        <is>
          <t>The Cavern</t>
        </is>
      </c>
      <c r="F181" s="27" t="n">
        <v>46064</v>
      </c>
      <c r="G181" t="inlineStr">
        <is>
          <t>DEBITO</t>
        </is>
      </c>
      <c r="H181" t="inlineStr">
        <is>
          <t>Juliana Ferreira de Oliveira Preto</t>
        </is>
      </c>
      <c r="I181" t="n">
        <v>-3500</v>
      </c>
    </row>
    <row r="182">
      <c r="A182" t="n">
        <v>256775</v>
      </c>
      <c r="B182" t="n">
        <v>226</v>
      </c>
      <c r="C182" t="inlineStr">
        <is>
          <t>The Cavern - Kamino</t>
        </is>
      </c>
      <c r="D182" t="n">
        <v>176</v>
      </c>
      <c r="E182" t="inlineStr">
        <is>
          <t>The Cavern</t>
        </is>
      </c>
      <c r="F182" s="27" t="n">
        <v>46064</v>
      </c>
      <c r="G182" t="inlineStr">
        <is>
          <t>DEBITO</t>
        </is>
      </c>
      <c r="H182" t="inlineStr">
        <is>
          <t>Mario Leonardo Felix da Silva</t>
        </is>
      </c>
      <c r="I182" t="n">
        <v>-6500</v>
      </c>
    </row>
    <row r="183">
      <c r="A183" t="n">
        <v>256776</v>
      </c>
      <c r="B183" t="n">
        <v>226</v>
      </c>
      <c r="C183" t="inlineStr">
        <is>
          <t>The Cavern - Kamino</t>
        </is>
      </c>
      <c r="D183" t="n">
        <v>176</v>
      </c>
      <c r="E183" t="inlineStr">
        <is>
          <t>The Cavern</t>
        </is>
      </c>
      <c r="F183" s="27" t="n">
        <v>46064</v>
      </c>
      <c r="G183" t="inlineStr">
        <is>
          <t>DEBITO</t>
        </is>
      </c>
      <c r="H183" t="inlineStr">
        <is>
          <t>Talita Martins de Souza</t>
        </is>
      </c>
      <c r="I183" t="n">
        <v>-3640</v>
      </c>
    </row>
    <row r="184">
      <c r="A184" t="n">
        <v>256777</v>
      </c>
      <c r="B184" t="n">
        <v>226</v>
      </c>
      <c r="C184" t="inlineStr">
        <is>
          <t>The Cavern - Kamino</t>
        </is>
      </c>
      <c r="D184" t="n">
        <v>176</v>
      </c>
      <c r="E184" t="inlineStr">
        <is>
          <t>The Cavern</t>
        </is>
      </c>
      <c r="F184" s="27" t="n">
        <v>46064</v>
      </c>
      <c r="G184" t="inlineStr">
        <is>
          <t>DEBITO</t>
        </is>
      </c>
      <c r="H184" t="inlineStr">
        <is>
          <t>Juliana Ferreira de Oliveira Preto</t>
        </is>
      </c>
      <c r="I184" t="n">
        <v>-3500</v>
      </c>
    </row>
    <row r="185">
      <c r="A185" t="n">
        <v>256755</v>
      </c>
      <c r="B185" t="n">
        <v>226</v>
      </c>
      <c r="C185" t="inlineStr">
        <is>
          <t>The Cavern - Kamino</t>
        </is>
      </c>
      <c r="D185" t="n">
        <v>176</v>
      </c>
      <c r="E185" t="inlineStr">
        <is>
          <t>The Cavern</t>
        </is>
      </c>
      <c r="F185" s="27" t="n">
        <v>46063</v>
      </c>
      <c r="G185" t="inlineStr">
        <is>
          <t>DEBITO</t>
        </is>
      </c>
      <c r="H185" t="inlineStr">
        <is>
          <t>W P P C Carnes Eireli Epp</t>
        </is>
      </c>
      <c r="I185" t="n">
        <v>-662.72</v>
      </c>
    </row>
    <row r="186">
      <c r="A186" t="n">
        <v>256754</v>
      </c>
      <c r="B186" t="n">
        <v>226</v>
      </c>
      <c r="C186" t="inlineStr">
        <is>
          <t>The Cavern - Kamino</t>
        </is>
      </c>
      <c r="D186" t="n">
        <v>176</v>
      </c>
      <c r="E186" t="inlineStr">
        <is>
          <t>The Cavern</t>
        </is>
      </c>
      <c r="F186" s="27" t="n">
        <v>46063</v>
      </c>
      <c r="G186" t="inlineStr">
        <is>
          <t>DEBITO</t>
        </is>
      </c>
      <c r="H186" t="inlineStr">
        <is>
          <t>Ng27 Consultoria e Gestao Empr</t>
        </is>
      </c>
      <c r="I186" t="n">
        <v>-542.45</v>
      </c>
    </row>
    <row r="187">
      <c r="A187" t="n">
        <v>256759</v>
      </c>
      <c r="B187" t="n">
        <v>226</v>
      </c>
      <c r="C187" t="inlineStr">
        <is>
          <t>The Cavern - Kamino</t>
        </is>
      </c>
      <c r="D187" t="n">
        <v>176</v>
      </c>
      <c r="E187" t="inlineStr">
        <is>
          <t>The Cavern</t>
        </is>
      </c>
      <c r="F187" s="27" t="n">
        <v>46063</v>
      </c>
      <c r="G187" t="inlineStr">
        <is>
          <t>DEBITO</t>
        </is>
      </c>
      <c r="H187" t="inlineStr">
        <is>
          <t>Ms Frangos Ltda</t>
        </is>
      </c>
      <c r="I187" t="n">
        <v>-69.23999999999999</v>
      </c>
    </row>
    <row r="188">
      <c r="A188" t="n">
        <v>256753</v>
      </c>
      <c r="B188" t="n">
        <v>226</v>
      </c>
      <c r="C188" t="inlineStr">
        <is>
          <t>The Cavern - Kamino</t>
        </is>
      </c>
      <c r="D188" t="n">
        <v>176</v>
      </c>
      <c r="E188" t="inlineStr">
        <is>
          <t>The Cavern</t>
        </is>
      </c>
      <c r="F188" s="27" t="n">
        <v>46063</v>
      </c>
      <c r="G188" t="inlineStr">
        <is>
          <t>DEBITO</t>
        </is>
      </c>
      <c r="H188" t="inlineStr">
        <is>
          <t>Cia do Whisky</t>
        </is>
      </c>
      <c r="I188" t="n">
        <v>-1909.18</v>
      </c>
    </row>
    <row r="189">
      <c r="A189" t="n">
        <v>256752</v>
      </c>
      <c r="B189" t="n">
        <v>226</v>
      </c>
      <c r="C189" t="inlineStr">
        <is>
          <t>The Cavern - Kamino</t>
        </is>
      </c>
      <c r="D189" t="n">
        <v>176</v>
      </c>
      <c r="E189" t="inlineStr">
        <is>
          <t>The Cavern</t>
        </is>
      </c>
      <c r="F189" s="27" t="n">
        <v>46063</v>
      </c>
      <c r="G189" t="inlineStr">
        <is>
          <t>DEBITO</t>
        </is>
      </c>
      <c r="H189" t="inlineStr">
        <is>
          <t>Mario Pedro Feliciano Hortifru</t>
        </is>
      </c>
      <c r="I189" t="n">
        <v>-689.85</v>
      </c>
    </row>
    <row r="190">
      <c r="A190" t="n">
        <v>256751</v>
      </c>
      <c r="B190" t="n">
        <v>226</v>
      </c>
      <c r="C190" t="inlineStr">
        <is>
          <t>The Cavern - Kamino</t>
        </is>
      </c>
      <c r="D190" t="n">
        <v>176</v>
      </c>
      <c r="E190" t="inlineStr">
        <is>
          <t>The Cavern</t>
        </is>
      </c>
      <c r="F190" s="27" t="n">
        <v>46063</v>
      </c>
      <c r="G190" t="inlineStr">
        <is>
          <t>DEBITO</t>
        </is>
      </c>
      <c r="H190" t="inlineStr">
        <is>
          <t>Nova Comercial do Peixe Eireli</t>
        </is>
      </c>
      <c r="I190" t="n">
        <v>-3734.8</v>
      </c>
    </row>
    <row r="191">
      <c r="A191" t="n">
        <v>256750</v>
      </c>
      <c r="B191" t="n">
        <v>226</v>
      </c>
      <c r="C191" t="inlineStr">
        <is>
          <t>The Cavern - Kamino</t>
        </is>
      </c>
      <c r="D191" t="n">
        <v>176</v>
      </c>
      <c r="E191" t="inlineStr">
        <is>
          <t>The Cavern</t>
        </is>
      </c>
      <c r="F191" s="27" t="n">
        <v>46063</v>
      </c>
      <c r="G191" t="inlineStr">
        <is>
          <t>CREDITO</t>
        </is>
      </c>
      <c r="H191" t="inlineStr">
        <is>
          <t>A CAVERNA BAR LTDA</t>
        </is>
      </c>
      <c r="I191" t="n">
        <v>3550</v>
      </c>
    </row>
    <row r="192">
      <c r="A192" t="n">
        <v>256749</v>
      </c>
      <c r="B192" t="n">
        <v>226</v>
      </c>
      <c r="C192" t="inlineStr">
        <is>
          <t>The Cavern - Kamino</t>
        </is>
      </c>
      <c r="D192" t="n">
        <v>176</v>
      </c>
      <c r="E192" t="inlineStr">
        <is>
          <t>The Cavern</t>
        </is>
      </c>
      <c r="F192" s="27" t="n">
        <v>46063</v>
      </c>
      <c r="G192" t="inlineStr">
        <is>
          <t>DEBITO</t>
        </is>
      </c>
      <c r="H192" t="inlineStr">
        <is>
          <t>CAIXA ECONOMICA FEDERAL</t>
        </is>
      </c>
      <c r="I192" t="n">
        <v>-258.29</v>
      </c>
    </row>
    <row r="193">
      <c r="A193" t="n">
        <v>256748</v>
      </c>
      <c r="B193" t="n">
        <v>226</v>
      </c>
      <c r="C193" t="inlineStr">
        <is>
          <t>The Cavern - Kamino</t>
        </is>
      </c>
      <c r="D193" t="n">
        <v>176</v>
      </c>
      <c r="E193" t="inlineStr">
        <is>
          <t>The Cavern</t>
        </is>
      </c>
      <c r="F193" s="27" t="n">
        <v>46063</v>
      </c>
      <c r="G193" t="inlineStr">
        <is>
          <t>CREDITO</t>
        </is>
      </c>
      <c r="H193" t="inlineStr">
        <is>
          <t>Zig Tecnologia S.A.</t>
        </is>
      </c>
      <c r="I193" t="n">
        <v>4050</v>
      </c>
    </row>
    <row r="194">
      <c r="A194" t="n">
        <v>256757</v>
      </c>
      <c r="B194" t="n">
        <v>226</v>
      </c>
      <c r="C194" t="inlineStr">
        <is>
          <t>The Cavern - Kamino</t>
        </is>
      </c>
      <c r="D194" t="n">
        <v>176</v>
      </c>
      <c r="E194" t="inlineStr">
        <is>
          <t>The Cavern</t>
        </is>
      </c>
      <c r="F194" s="27" t="n">
        <v>46063</v>
      </c>
      <c r="G194" t="inlineStr">
        <is>
          <t>DEBITO</t>
        </is>
      </c>
      <c r="H194" t="inlineStr">
        <is>
          <t>Maiki Souza Chaves</t>
        </is>
      </c>
      <c r="I194" t="n">
        <v>-431.48</v>
      </c>
    </row>
    <row r="195">
      <c r="A195" t="n">
        <v>256764</v>
      </c>
      <c r="B195" t="n">
        <v>226</v>
      </c>
      <c r="C195" t="inlineStr">
        <is>
          <t>The Cavern - Kamino</t>
        </is>
      </c>
      <c r="D195" t="n">
        <v>176</v>
      </c>
      <c r="E195" t="inlineStr">
        <is>
          <t>The Cavern</t>
        </is>
      </c>
      <c r="F195" s="27" t="n">
        <v>46063</v>
      </c>
      <c r="G195" t="inlineStr">
        <is>
          <t>DEBITO</t>
        </is>
      </c>
      <c r="H195" t="inlineStr">
        <is>
          <t>Pagseguro Internet I.P. S.A.</t>
        </is>
      </c>
      <c r="I195" t="n">
        <v>-275</v>
      </c>
    </row>
    <row r="196">
      <c r="A196" t="n">
        <v>256763</v>
      </c>
      <c r="B196" t="n">
        <v>226</v>
      </c>
      <c r="C196" t="inlineStr">
        <is>
          <t>The Cavern - Kamino</t>
        </is>
      </c>
      <c r="D196" t="n">
        <v>176</v>
      </c>
      <c r="E196" t="inlineStr">
        <is>
          <t>The Cavern</t>
        </is>
      </c>
      <c r="F196" s="27" t="n">
        <v>46063</v>
      </c>
      <c r="G196" t="inlineStr">
        <is>
          <t>DEBITO</t>
        </is>
      </c>
      <c r="H196" t="inlineStr">
        <is>
          <t>Ms Frangos Ltda</t>
        </is>
      </c>
      <c r="I196" t="n">
        <v>-363.22</v>
      </c>
    </row>
    <row r="197">
      <c r="A197" t="n">
        <v>256762</v>
      </c>
      <c r="B197" t="n">
        <v>226</v>
      </c>
      <c r="C197" t="inlineStr">
        <is>
          <t>The Cavern - Kamino</t>
        </is>
      </c>
      <c r="D197" t="n">
        <v>176</v>
      </c>
      <c r="E197" t="inlineStr">
        <is>
          <t>The Cavern</t>
        </is>
      </c>
      <c r="F197" s="27" t="n">
        <v>46063</v>
      </c>
      <c r="G197" t="inlineStr">
        <is>
          <t>DEBITO</t>
        </is>
      </c>
      <c r="H197" t="inlineStr">
        <is>
          <t>Sabrina Moura de Sousa</t>
        </is>
      </c>
      <c r="I197" t="n">
        <v>-248.4</v>
      </c>
    </row>
    <row r="198">
      <c r="A198" t="n">
        <v>256761</v>
      </c>
      <c r="B198" t="n">
        <v>226</v>
      </c>
      <c r="C198" t="inlineStr">
        <is>
          <t>The Cavern - Kamino</t>
        </is>
      </c>
      <c r="D198" t="n">
        <v>176</v>
      </c>
      <c r="E198" t="inlineStr">
        <is>
          <t>The Cavern</t>
        </is>
      </c>
      <c r="F198" s="27" t="n">
        <v>46063</v>
      </c>
      <c r="G198" t="inlineStr">
        <is>
          <t>DEBITO</t>
        </is>
      </c>
      <c r="H198" t="inlineStr">
        <is>
          <t>Proauto Industria Q Eireli</t>
        </is>
      </c>
      <c r="I198" t="n">
        <v>-603.73</v>
      </c>
    </row>
    <row r="199">
      <c r="A199" t="n">
        <v>256760</v>
      </c>
      <c r="B199" t="n">
        <v>226</v>
      </c>
      <c r="C199" t="inlineStr">
        <is>
          <t>The Cavern - Kamino</t>
        </is>
      </c>
      <c r="D199" t="n">
        <v>176</v>
      </c>
      <c r="E199" t="inlineStr">
        <is>
          <t>The Cavern</t>
        </is>
      </c>
      <c r="F199" s="27" t="n">
        <v>46063</v>
      </c>
      <c r="G199" t="inlineStr">
        <is>
          <t>DEBITO</t>
        </is>
      </c>
      <c r="H199" t="inlineStr">
        <is>
          <t>Bb Distribuidora</t>
        </is>
      </c>
      <c r="I199" t="n">
        <v>-862.92</v>
      </c>
    </row>
    <row r="200">
      <c r="A200" t="n">
        <v>256758</v>
      </c>
      <c r="B200" t="n">
        <v>226</v>
      </c>
      <c r="C200" t="inlineStr">
        <is>
          <t>The Cavern - Kamino</t>
        </is>
      </c>
      <c r="D200" t="n">
        <v>176</v>
      </c>
      <c r="E200" t="inlineStr">
        <is>
          <t>The Cavern</t>
        </is>
      </c>
      <c r="F200" s="27" t="n">
        <v>46063</v>
      </c>
      <c r="G200" t="inlineStr">
        <is>
          <t>DEBITO</t>
        </is>
      </c>
      <c r="H200" t="inlineStr">
        <is>
          <t>Levitare In com Latic Ltda Epp</t>
        </is>
      </c>
      <c r="I200" t="n">
        <v>-501.54</v>
      </c>
    </row>
    <row r="201">
      <c r="A201" t="n">
        <v>256756</v>
      </c>
      <c r="B201" t="n">
        <v>226</v>
      </c>
      <c r="C201" t="inlineStr">
        <is>
          <t>The Cavern - Kamino</t>
        </is>
      </c>
      <c r="D201" t="n">
        <v>176</v>
      </c>
      <c r="E201" t="inlineStr">
        <is>
          <t>The Cavern</t>
        </is>
      </c>
      <c r="F201" s="27" t="n">
        <v>46063</v>
      </c>
      <c r="G201" t="inlineStr">
        <is>
          <t>DEBITO</t>
        </is>
      </c>
      <c r="H201" t="inlineStr">
        <is>
          <t>Cecilia Tsuyaco Araki Silva Ltda</t>
        </is>
      </c>
      <c r="I201" t="n">
        <v>-810</v>
      </c>
    </row>
    <row r="202">
      <c r="A202" t="n">
        <v>256733</v>
      </c>
      <c r="B202" t="n">
        <v>226</v>
      </c>
      <c r="C202" t="inlineStr">
        <is>
          <t>The Cavern - Kamino</t>
        </is>
      </c>
      <c r="D202" t="n">
        <v>176</v>
      </c>
      <c r="E202" t="inlineStr">
        <is>
          <t>The Cavern</t>
        </is>
      </c>
      <c r="F202" s="27" t="n">
        <v>46062</v>
      </c>
      <c r="G202" t="inlineStr">
        <is>
          <t>DEBITO</t>
        </is>
      </c>
      <c r="H202" t="inlineStr">
        <is>
          <t>Gustavo Rogerio Silva Dias</t>
        </is>
      </c>
      <c r="I202" t="n">
        <v>-2685.02</v>
      </c>
    </row>
    <row r="203">
      <c r="A203" t="n">
        <v>256728</v>
      </c>
      <c r="B203" t="n">
        <v>226</v>
      </c>
      <c r="C203" t="inlineStr">
        <is>
          <t>The Cavern - Kamino</t>
        </is>
      </c>
      <c r="D203" t="n">
        <v>176</v>
      </c>
      <c r="E203" t="inlineStr">
        <is>
          <t>The Cavern</t>
        </is>
      </c>
      <c r="F203" s="27" t="n">
        <v>46062</v>
      </c>
      <c r="G203" t="inlineStr">
        <is>
          <t>DEBITO</t>
        </is>
      </c>
      <c r="H203" t="inlineStr">
        <is>
          <t>Willkias Henrique Santos de Sousa</t>
        </is>
      </c>
      <c r="I203" t="n">
        <v>-817.3200000000001</v>
      </c>
    </row>
    <row r="204">
      <c r="A204" t="n">
        <v>256732</v>
      </c>
      <c r="B204" t="n">
        <v>226</v>
      </c>
      <c r="C204" t="inlineStr">
        <is>
          <t>The Cavern - Kamino</t>
        </is>
      </c>
      <c r="D204" t="n">
        <v>176</v>
      </c>
      <c r="E204" t="inlineStr">
        <is>
          <t>The Cavern</t>
        </is>
      </c>
      <c r="F204" s="27" t="n">
        <v>46062</v>
      </c>
      <c r="G204" t="inlineStr">
        <is>
          <t>DEBITO</t>
        </is>
      </c>
      <c r="H204" t="inlineStr">
        <is>
          <t>Vagner Brandao</t>
        </is>
      </c>
      <c r="I204" t="n">
        <v>-904.4400000000001</v>
      </c>
    </row>
    <row r="205">
      <c r="A205" t="n">
        <v>256731</v>
      </c>
      <c r="B205" t="n">
        <v>226</v>
      </c>
      <c r="C205" t="inlineStr">
        <is>
          <t>The Cavern - Kamino</t>
        </is>
      </c>
      <c r="D205" t="n">
        <v>176</v>
      </c>
      <c r="E205" t="inlineStr">
        <is>
          <t>The Cavern</t>
        </is>
      </c>
      <c r="F205" s="27" t="n">
        <v>46062</v>
      </c>
      <c r="G205" t="inlineStr">
        <is>
          <t>DEBITO</t>
        </is>
      </c>
      <c r="H205" t="inlineStr">
        <is>
          <t>Aline Cristina da Silva</t>
        </is>
      </c>
      <c r="I205" t="n">
        <v>-493.33</v>
      </c>
    </row>
    <row r="206">
      <c r="A206" t="n">
        <v>256730</v>
      </c>
      <c r="B206" t="n">
        <v>226</v>
      </c>
      <c r="C206" t="inlineStr">
        <is>
          <t>The Cavern - Kamino</t>
        </is>
      </c>
      <c r="D206" t="n">
        <v>176</v>
      </c>
      <c r="E206" t="inlineStr">
        <is>
          <t>The Cavern</t>
        </is>
      </c>
      <c r="F206" s="27" t="n">
        <v>46062</v>
      </c>
      <c r="G206" t="inlineStr">
        <is>
          <t>DEBITO</t>
        </is>
      </c>
      <c r="H206" t="inlineStr">
        <is>
          <t>Justino Silvio do Nascimento</t>
        </is>
      </c>
      <c r="I206" t="n">
        <v>-537</v>
      </c>
    </row>
    <row r="207">
      <c r="A207" t="n">
        <v>256729</v>
      </c>
      <c r="B207" t="n">
        <v>226</v>
      </c>
      <c r="C207" t="inlineStr">
        <is>
          <t>The Cavern - Kamino</t>
        </is>
      </c>
      <c r="D207" t="n">
        <v>176</v>
      </c>
      <c r="E207" t="inlineStr">
        <is>
          <t>The Cavern</t>
        </is>
      </c>
      <c r="F207" s="27" t="n">
        <v>46062</v>
      </c>
      <c r="G207" t="inlineStr">
        <is>
          <t>DEBITO</t>
        </is>
      </c>
      <c r="H207" t="inlineStr">
        <is>
          <t>Augusto Dantas Felix da Silva</t>
        </is>
      </c>
      <c r="I207" t="n">
        <v>-1151.1</v>
      </c>
    </row>
    <row r="208">
      <c r="A208" t="n">
        <v>256727</v>
      </c>
      <c r="B208" t="n">
        <v>226</v>
      </c>
      <c r="C208" t="inlineStr">
        <is>
          <t>The Cavern - Kamino</t>
        </is>
      </c>
      <c r="D208" t="n">
        <v>176</v>
      </c>
      <c r="E208" t="inlineStr">
        <is>
          <t>The Cavern</t>
        </is>
      </c>
      <c r="F208" s="27" t="n">
        <v>46062</v>
      </c>
      <c r="G208" t="inlineStr">
        <is>
          <t>DEBITO</t>
        </is>
      </c>
      <c r="H208" t="inlineStr">
        <is>
          <t>Fabiana dos Santos Alves</t>
        </is>
      </c>
      <c r="I208" t="n">
        <v>-1749.53</v>
      </c>
    </row>
    <row r="209">
      <c r="A209" t="n">
        <v>256726</v>
      </c>
      <c r="B209" t="n">
        <v>226</v>
      </c>
      <c r="C209" t="inlineStr">
        <is>
          <t>The Cavern - Kamino</t>
        </is>
      </c>
      <c r="D209" t="n">
        <v>176</v>
      </c>
      <c r="E209" t="inlineStr">
        <is>
          <t>The Cavern</t>
        </is>
      </c>
      <c r="F209" s="27" t="n">
        <v>46062</v>
      </c>
      <c r="G209" t="inlineStr">
        <is>
          <t>DEBITO</t>
        </is>
      </c>
      <c r="H209" t="inlineStr">
        <is>
          <t>Carlos Alberto Ferreira Pimentel</t>
        </is>
      </c>
      <c r="I209" t="n">
        <v>-1132.56</v>
      </c>
    </row>
    <row r="210">
      <c r="A210" t="n">
        <v>256725</v>
      </c>
      <c r="B210" t="n">
        <v>226</v>
      </c>
      <c r="C210" t="inlineStr">
        <is>
          <t>The Cavern - Kamino</t>
        </is>
      </c>
      <c r="D210" t="n">
        <v>176</v>
      </c>
      <c r="E210" t="inlineStr">
        <is>
          <t>The Cavern</t>
        </is>
      </c>
      <c r="F210" s="27" t="n">
        <v>46062</v>
      </c>
      <c r="G210" t="inlineStr">
        <is>
          <t>DEBITO</t>
        </is>
      </c>
      <c r="H210" t="inlineStr">
        <is>
          <t>Sabrina Moura de Sousa</t>
        </is>
      </c>
      <c r="I210" t="n">
        <v>-437</v>
      </c>
    </row>
    <row r="211">
      <c r="A211" t="n">
        <v>256724</v>
      </c>
      <c r="B211" t="n">
        <v>226</v>
      </c>
      <c r="C211" t="inlineStr">
        <is>
          <t>The Cavern - Kamino</t>
        </is>
      </c>
      <c r="D211" t="n">
        <v>176</v>
      </c>
      <c r="E211" t="inlineStr">
        <is>
          <t>The Cavern</t>
        </is>
      </c>
      <c r="F211" s="27" t="n">
        <v>46062</v>
      </c>
      <c r="G211" t="inlineStr">
        <is>
          <t>DEBITO</t>
        </is>
      </c>
      <c r="H211" t="inlineStr">
        <is>
          <t>Maiki Souza Chaves</t>
        </is>
      </c>
      <c r="I211" t="n">
        <v>-2254.52</v>
      </c>
    </row>
    <row r="212">
      <c r="A212" t="n">
        <v>256723</v>
      </c>
      <c r="B212" t="n">
        <v>226</v>
      </c>
      <c r="C212" t="inlineStr">
        <is>
          <t>The Cavern - Kamino</t>
        </is>
      </c>
      <c r="D212" t="n">
        <v>176</v>
      </c>
      <c r="E212" t="inlineStr">
        <is>
          <t>The Cavern</t>
        </is>
      </c>
      <c r="F212" s="27" t="n">
        <v>46062</v>
      </c>
      <c r="G212" t="inlineStr">
        <is>
          <t>DEBITO</t>
        </is>
      </c>
      <c r="H212" t="inlineStr">
        <is>
          <t>Ismael Santos Silva</t>
        </is>
      </c>
      <c r="I212" t="n">
        <v>-684.51</v>
      </c>
    </row>
    <row r="213">
      <c r="A213" t="n">
        <v>256722</v>
      </c>
      <c r="B213" t="n">
        <v>226</v>
      </c>
      <c r="C213" t="inlineStr">
        <is>
          <t>The Cavern - Kamino</t>
        </is>
      </c>
      <c r="D213" t="n">
        <v>176</v>
      </c>
      <c r="E213" t="inlineStr">
        <is>
          <t>The Cavern</t>
        </is>
      </c>
      <c r="F213" s="27" t="n">
        <v>46062</v>
      </c>
      <c r="G213" t="inlineStr">
        <is>
          <t>DEBITO</t>
        </is>
      </c>
      <c r="H213" t="inlineStr">
        <is>
          <t>Alex Luis da Silva</t>
        </is>
      </c>
      <c r="I213" t="n">
        <v>-1073.01</v>
      </c>
    </row>
    <row r="214">
      <c r="A214" t="n">
        <v>256721</v>
      </c>
      <c r="B214" t="n">
        <v>226</v>
      </c>
      <c r="C214" t="inlineStr">
        <is>
          <t>The Cavern - Kamino</t>
        </is>
      </c>
      <c r="D214" t="n">
        <v>176</v>
      </c>
      <c r="E214" t="inlineStr">
        <is>
          <t>The Cavern</t>
        </is>
      </c>
      <c r="F214" s="27" t="n">
        <v>46062</v>
      </c>
      <c r="G214" t="inlineStr">
        <is>
          <t>CREDITO</t>
        </is>
      </c>
      <c r="H214" t="inlineStr">
        <is>
          <t>A CAVERNA BAR LTDA</t>
        </is>
      </c>
      <c r="I214" t="n">
        <v>12435.21</v>
      </c>
    </row>
    <row r="215">
      <c r="A215" t="n">
        <v>256720</v>
      </c>
      <c r="B215" t="n">
        <v>226</v>
      </c>
      <c r="C215" t="inlineStr">
        <is>
          <t>The Cavern - Kamino</t>
        </is>
      </c>
      <c r="D215" t="n">
        <v>176</v>
      </c>
      <c r="E215" t="inlineStr">
        <is>
          <t>The Cavern</t>
        </is>
      </c>
      <c r="F215" s="27" t="n">
        <v>46062</v>
      </c>
      <c r="G215" t="inlineStr">
        <is>
          <t>CREDITO</t>
        </is>
      </c>
      <c r="H215" t="inlineStr">
        <is>
          <t>Zig Tecnologia S.A.</t>
        </is>
      </c>
      <c r="I215" t="n">
        <v>4720</v>
      </c>
    </row>
    <row r="216">
      <c r="A216" t="n">
        <v>256735</v>
      </c>
      <c r="B216" t="n">
        <v>226</v>
      </c>
      <c r="C216" t="inlineStr">
        <is>
          <t>The Cavern - Kamino</t>
        </is>
      </c>
      <c r="D216" t="n">
        <v>176</v>
      </c>
      <c r="E216" t="inlineStr">
        <is>
          <t>The Cavern</t>
        </is>
      </c>
      <c r="F216" s="27" t="n">
        <v>46062</v>
      </c>
      <c r="G216" t="inlineStr">
        <is>
          <t>DEBITO</t>
        </is>
      </c>
      <c r="H216" t="inlineStr">
        <is>
          <t>Kailane Dantas Matos</t>
        </is>
      </c>
      <c r="I216" t="n">
        <v>-2385.02</v>
      </c>
    </row>
    <row r="217">
      <c r="A217" t="n">
        <v>256734</v>
      </c>
      <c r="B217" t="n">
        <v>226</v>
      </c>
      <c r="C217" t="inlineStr">
        <is>
          <t>The Cavern - Kamino</t>
        </is>
      </c>
      <c r="D217" t="n">
        <v>176</v>
      </c>
      <c r="E217" t="inlineStr">
        <is>
          <t>The Cavern</t>
        </is>
      </c>
      <c r="F217" s="27" t="n">
        <v>46062</v>
      </c>
      <c r="G217" t="inlineStr">
        <is>
          <t>DEBITO</t>
        </is>
      </c>
      <c r="H217" t="inlineStr">
        <is>
          <t>Paulo Sergio Lopes Martins de Freitas</t>
        </is>
      </c>
      <c r="I217" t="n">
        <v>-3979.6</v>
      </c>
    </row>
    <row r="218">
      <c r="A218" t="n">
        <v>256747</v>
      </c>
      <c r="B218" t="n">
        <v>226</v>
      </c>
      <c r="C218" t="inlineStr">
        <is>
          <t>The Cavern - Kamino</t>
        </is>
      </c>
      <c r="D218" t="n">
        <v>176</v>
      </c>
      <c r="E218" t="inlineStr">
        <is>
          <t>The Cavern</t>
        </is>
      </c>
      <c r="F218" s="27" t="n">
        <v>46062</v>
      </c>
      <c r="G218" t="inlineStr">
        <is>
          <t>DEBITO</t>
        </is>
      </c>
      <c r="H218" t="inlineStr">
        <is>
          <t>Jaqueline Lourenco da Silva</t>
        </is>
      </c>
      <c r="I218" t="n">
        <v>-3550</v>
      </c>
    </row>
    <row r="219">
      <c r="A219" t="n">
        <v>256746</v>
      </c>
      <c r="B219" t="n">
        <v>226</v>
      </c>
      <c r="C219" t="inlineStr">
        <is>
          <t>The Cavern - Kamino</t>
        </is>
      </c>
      <c r="D219" t="n">
        <v>176</v>
      </c>
      <c r="E219" t="inlineStr">
        <is>
          <t>The Cavern</t>
        </is>
      </c>
      <c r="F219" s="27" t="n">
        <v>46062</v>
      </c>
      <c r="G219" t="inlineStr">
        <is>
          <t>DEBITO</t>
        </is>
      </c>
      <c r="H219" t="inlineStr">
        <is>
          <t>King Comercio de Bebidas Ltda</t>
        </is>
      </c>
      <c r="I219" t="n">
        <v>-478.48</v>
      </c>
    </row>
    <row r="220">
      <c r="A220" t="n">
        <v>256745</v>
      </c>
      <c r="B220" t="n">
        <v>226</v>
      </c>
      <c r="C220" t="inlineStr">
        <is>
          <t>The Cavern - Kamino</t>
        </is>
      </c>
      <c r="D220" t="n">
        <v>176</v>
      </c>
      <c r="E220" t="inlineStr">
        <is>
          <t>The Cavern</t>
        </is>
      </c>
      <c r="F220" s="27" t="n">
        <v>46062</v>
      </c>
      <c r="G220" t="inlineStr">
        <is>
          <t>DEBITO</t>
        </is>
      </c>
      <c r="H220" t="inlineStr">
        <is>
          <t>Cecilia Tsuyaco Araki Silva Ltda</t>
        </is>
      </c>
      <c r="I220" t="n">
        <v>-559</v>
      </c>
    </row>
    <row r="221">
      <c r="A221" t="n">
        <v>256744</v>
      </c>
      <c r="B221" t="n">
        <v>226</v>
      </c>
      <c r="C221" t="inlineStr">
        <is>
          <t>The Cavern - Kamino</t>
        </is>
      </c>
      <c r="D221" t="n">
        <v>176</v>
      </c>
      <c r="E221" t="inlineStr">
        <is>
          <t>The Cavern</t>
        </is>
      </c>
      <c r="F221" s="27" t="n">
        <v>46062</v>
      </c>
      <c r="G221" t="inlineStr">
        <is>
          <t>DEBITO</t>
        </is>
      </c>
      <c r="H221" t="inlineStr">
        <is>
          <t>Virtual Market Servicos Eletronicos Ltda</t>
        </is>
      </c>
      <c r="I221" t="n">
        <v>-329.9</v>
      </c>
    </row>
    <row r="222">
      <c r="A222" t="n">
        <v>256743</v>
      </c>
      <c r="B222" t="n">
        <v>226</v>
      </c>
      <c r="C222" t="inlineStr">
        <is>
          <t>The Cavern - Kamino</t>
        </is>
      </c>
      <c r="D222" t="n">
        <v>176</v>
      </c>
      <c r="E222" t="inlineStr">
        <is>
          <t>The Cavern</t>
        </is>
      </c>
      <c r="F222" s="27" t="n">
        <v>46062</v>
      </c>
      <c r="G222" t="inlineStr">
        <is>
          <t>DEBITO</t>
        </is>
      </c>
      <c r="H222" t="inlineStr">
        <is>
          <t>Pss - Central da Limpeza Ltda</t>
        </is>
      </c>
      <c r="I222" t="n">
        <v>-1529.88</v>
      </c>
    </row>
    <row r="223">
      <c r="A223" t="n">
        <v>256742</v>
      </c>
      <c r="B223" t="n">
        <v>226</v>
      </c>
      <c r="C223" t="inlineStr">
        <is>
          <t>The Cavern - Kamino</t>
        </is>
      </c>
      <c r="D223" t="n">
        <v>176</v>
      </c>
      <c r="E223" t="inlineStr">
        <is>
          <t>The Cavern</t>
        </is>
      </c>
      <c r="F223" s="27" t="n">
        <v>46062</v>
      </c>
      <c r="G223" t="inlineStr">
        <is>
          <t>DEBITO</t>
        </is>
      </c>
      <c r="H223" t="inlineStr">
        <is>
          <t>Laticinios Piramide Ltda</t>
        </is>
      </c>
      <c r="I223" t="n">
        <v>-250.17</v>
      </c>
    </row>
    <row r="224">
      <c r="A224" t="n">
        <v>256741</v>
      </c>
      <c r="B224" t="n">
        <v>226</v>
      </c>
      <c r="C224" t="inlineStr">
        <is>
          <t>The Cavern - Kamino</t>
        </is>
      </c>
      <c r="D224" t="n">
        <v>176</v>
      </c>
      <c r="E224" t="inlineStr">
        <is>
          <t>The Cavern</t>
        </is>
      </c>
      <c r="F224" s="27" t="n">
        <v>46062</v>
      </c>
      <c r="G224" t="inlineStr">
        <is>
          <t>DEBITO</t>
        </is>
      </c>
      <c r="H224" t="inlineStr">
        <is>
          <t>Matheus Barros Silva</t>
        </is>
      </c>
      <c r="I224" t="n">
        <v>-1521.51</v>
      </c>
    </row>
    <row r="225">
      <c r="A225" t="n">
        <v>256740</v>
      </c>
      <c r="B225" t="n">
        <v>226</v>
      </c>
      <c r="C225" t="inlineStr">
        <is>
          <t>The Cavern - Kamino</t>
        </is>
      </c>
      <c r="D225" t="n">
        <v>176</v>
      </c>
      <c r="E225" t="inlineStr">
        <is>
          <t>The Cavern</t>
        </is>
      </c>
      <c r="F225" s="27" t="n">
        <v>46062</v>
      </c>
      <c r="G225" t="inlineStr">
        <is>
          <t>DEBITO</t>
        </is>
      </c>
      <c r="H225" t="inlineStr">
        <is>
          <t>Joao Victor Souza Santos</t>
        </is>
      </c>
      <c r="I225" t="n">
        <v>-493.33</v>
      </c>
    </row>
    <row r="226">
      <c r="A226" t="n">
        <v>256739</v>
      </c>
      <c r="B226" t="n">
        <v>226</v>
      </c>
      <c r="C226" t="inlineStr">
        <is>
          <t>The Cavern - Kamino</t>
        </is>
      </c>
      <c r="D226" t="n">
        <v>176</v>
      </c>
      <c r="E226" t="inlineStr">
        <is>
          <t>The Cavern</t>
        </is>
      </c>
      <c r="F226" s="27" t="n">
        <v>46062</v>
      </c>
      <c r="G226" t="inlineStr">
        <is>
          <t>DEBITO</t>
        </is>
      </c>
      <c r="H226" t="inlineStr">
        <is>
          <t>Henrique de Lima Ramos</t>
        </is>
      </c>
      <c r="I226" t="n">
        <v>-2466.64</v>
      </c>
    </row>
    <row r="227">
      <c r="A227" t="n">
        <v>256738</v>
      </c>
      <c r="B227" t="n">
        <v>226</v>
      </c>
      <c r="C227" t="inlineStr">
        <is>
          <t>The Cavern - Kamino</t>
        </is>
      </c>
      <c r="D227" t="n">
        <v>176</v>
      </c>
      <c r="E227" t="inlineStr">
        <is>
          <t>The Cavern</t>
        </is>
      </c>
      <c r="F227" s="27" t="n">
        <v>46062</v>
      </c>
      <c r="G227" t="inlineStr">
        <is>
          <t>DEBITO</t>
        </is>
      </c>
      <c r="H227" t="inlineStr">
        <is>
          <t>Fabricio de Moraes Cavalcante</t>
        </is>
      </c>
      <c r="I227" t="n">
        <v>-1132.01</v>
      </c>
    </row>
    <row r="228">
      <c r="A228" t="n">
        <v>256737</v>
      </c>
      <c r="B228" t="n">
        <v>226</v>
      </c>
      <c r="C228" t="inlineStr">
        <is>
          <t>The Cavern - Kamino</t>
        </is>
      </c>
      <c r="D228" t="n">
        <v>176</v>
      </c>
      <c r="E228" t="inlineStr">
        <is>
          <t>The Cavern</t>
        </is>
      </c>
      <c r="F228" s="27" t="n">
        <v>46062</v>
      </c>
      <c r="G228" t="inlineStr">
        <is>
          <t>DEBITO</t>
        </is>
      </c>
      <c r="H228" t="inlineStr">
        <is>
          <t>Marco Octavio Barbosa da Silva</t>
        </is>
      </c>
      <c r="I228" t="n">
        <v>-2485.02</v>
      </c>
    </row>
    <row r="229">
      <c r="A229" t="n">
        <v>256736</v>
      </c>
      <c r="B229" t="n">
        <v>226</v>
      </c>
      <c r="C229" t="inlineStr">
        <is>
          <t>The Cavern - Kamino</t>
        </is>
      </c>
      <c r="D229" t="n">
        <v>176</v>
      </c>
      <c r="E229" t="inlineStr">
        <is>
          <t>The Cavern</t>
        </is>
      </c>
      <c r="F229" s="27" t="n">
        <v>46062</v>
      </c>
      <c r="G229" t="inlineStr">
        <is>
          <t>DEBITO</t>
        </is>
      </c>
      <c r="H229" t="inlineStr">
        <is>
          <t>Nicole Sousa Vieira</t>
        </is>
      </c>
      <c r="I229" t="n">
        <v>-2774.52</v>
      </c>
    </row>
    <row r="230">
      <c r="A230" t="n">
        <v>256719</v>
      </c>
      <c r="B230" t="n">
        <v>226</v>
      </c>
      <c r="C230" t="inlineStr">
        <is>
          <t>The Cavern - Kamino</t>
        </is>
      </c>
      <c r="D230" t="n">
        <v>176</v>
      </c>
      <c r="E230" t="inlineStr">
        <is>
          <t>The Cavern</t>
        </is>
      </c>
      <c r="F230" s="27" t="n">
        <v>46060</v>
      </c>
      <c r="G230" t="inlineStr">
        <is>
          <t>DEBITO</t>
        </is>
      </c>
      <c r="H230" t="inlineStr">
        <is>
          <t>A Caverna Eventos</t>
        </is>
      </c>
      <c r="I230" t="n">
        <v>-8599.879999999999</v>
      </c>
    </row>
    <row r="231">
      <c r="A231" t="n">
        <v>256702</v>
      </c>
      <c r="B231" t="n">
        <v>226</v>
      </c>
      <c r="C231" t="inlineStr">
        <is>
          <t>The Cavern - Kamino</t>
        </is>
      </c>
      <c r="D231" t="n">
        <v>176</v>
      </c>
      <c r="E231" t="inlineStr">
        <is>
          <t>The Cavern</t>
        </is>
      </c>
      <c r="F231" s="27" t="n">
        <v>46059</v>
      </c>
      <c r="G231" t="inlineStr">
        <is>
          <t>CREDITO</t>
        </is>
      </c>
      <c r="H231" t="inlineStr">
        <is>
          <t>Zig Tecnologia S.A.</t>
        </is>
      </c>
      <c r="I231" t="n">
        <v>63600</v>
      </c>
    </row>
    <row r="232">
      <c r="A232" t="n">
        <v>256703</v>
      </c>
      <c r="B232" t="n">
        <v>226</v>
      </c>
      <c r="C232" t="inlineStr">
        <is>
          <t>The Cavern - Kamino</t>
        </is>
      </c>
      <c r="D232" t="n">
        <v>176</v>
      </c>
      <c r="E232" t="inlineStr">
        <is>
          <t>The Cavern</t>
        </is>
      </c>
      <c r="F232" s="27" t="n">
        <v>46059</v>
      </c>
      <c r="G232" t="inlineStr">
        <is>
          <t>CREDITO</t>
        </is>
      </c>
      <c r="H232" t="inlineStr">
        <is>
          <t>Zig Tecnologia S.A.</t>
        </is>
      </c>
      <c r="I232" t="n">
        <v>30000</v>
      </c>
    </row>
    <row r="233">
      <c r="A233" t="n">
        <v>256704</v>
      </c>
      <c r="B233" t="n">
        <v>226</v>
      </c>
      <c r="C233" t="inlineStr">
        <is>
          <t>The Cavern - Kamino</t>
        </is>
      </c>
      <c r="D233" t="n">
        <v>176</v>
      </c>
      <c r="E233" t="inlineStr">
        <is>
          <t>The Cavern</t>
        </is>
      </c>
      <c r="F233" s="27" t="n">
        <v>46059</v>
      </c>
      <c r="G233" t="inlineStr">
        <is>
          <t>DEBITO</t>
        </is>
      </c>
      <c r="H233" t="inlineStr">
        <is>
          <t>Fabian Matias Magiola Maeso</t>
        </is>
      </c>
      <c r="I233" t="n">
        <v>-2212.75</v>
      </c>
    </row>
    <row r="234">
      <c r="A234" t="n">
        <v>256705</v>
      </c>
      <c r="B234" t="n">
        <v>226</v>
      </c>
      <c r="C234" t="inlineStr">
        <is>
          <t>The Cavern - Kamino</t>
        </is>
      </c>
      <c r="D234" t="n">
        <v>176</v>
      </c>
      <c r="E234" t="inlineStr">
        <is>
          <t>The Cavern</t>
        </is>
      </c>
      <c r="F234" s="27" t="n">
        <v>46059</v>
      </c>
      <c r="G234" t="inlineStr">
        <is>
          <t>DEBITO</t>
        </is>
      </c>
      <c r="H234" t="inlineStr">
        <is>
          <t>Cia do Whisky</t>
        </is>
      </c>
      <c r="I234" t="n">
        <v>-1077.23</v>
      </c>
    </row>
    <row r="235">
      <c r="A235" t="n">
        <v>256706</v>
      </c>
      <c r="B235" t="n">
        <v>226</v>
      </c>
      <c r="C235" t="inlineStr">
        <is>
          <t>The Cavern - Kamino</t>
        </is>
      </c>
      <c r="D235" t="n">
        <v>176</v>
      </c>
      <c r="E235" t="inlineStr">
        <is>
          <t>The Cavern</t>
        </is>
      </c>
      <c r="F235" s="27" t="n">
        <v>46059</v>
      </c>
      <c r="G235" t="inlineStr">
        <is>
          <t>DEBITO</t>
        </is>
      </c>
      <c r="H235" t="inlineStr">
        <is>
          <t>Carlos Alberto Ferreira Pimentel</t>
        </is>
      </c>
      <c r="I235" t="n">
        <v>-2044.74</v>
      </c>
    </row>
    <row r="236">
      <c r="A236" t="n">
        <v>256707</v>
      </c>
      <c r="B236" t="n">
        <v>226</v>
      </c>
      <c r="C236" t="inlineStr">
        <is>
          <t>The Cavern - Kamino</t>
        </is>
      </c>
      <c r="D236" t="n">
        <v>176</v>
      </c>
      <c r="E236" t="inlineStr">
        <is>
          <t>The Cavern</t>
        </is>
      </c>
      <c r="F236" s="27" t="n">
        <v>46059</v>
      </c>
      <c r="G236" t="inlineStr">
        <is>
          <t>DEBITO</t>
        </is>
      </c>
      <c r="H236" t="inlineStr">
        <is>
          <t>Luis Pedro Silva de Jesus</t>
        </is>
      </c>
      <c r="I236" t="n">
        <v>-450.24</v>
      </c>
    </row>
    <row r="237">
      <c r="A237" t="n">
        <v>256708</v>
      </c>
      <c r="B237" t="n">
        <v>226</v>
      </c>
      <c r="C237" t="inlineStr">
        <is>
          <t>The Cavern - Kamino</t>
        </is>
      </c>
      <c r="D237" t="n">
        <v>176</v>
      </c>
      <c r="E237" t="inlineStr">
        <is>
          <t>The Cavern</t>
        </is>
      </c>
      <c r="F237" s="27" t="n">
        <v>46059</v>
      </c>
      <c r="G237" t="inlineStr">
        <is>
          <t>DEBITO</t>
        </is>
      </c>
      <c r="H237" t="inlineStr">
        <is>
          <t>Ismael Santos Silva</t>
        </is>
      </c>
      <c r="I237" t="n">
        <v>-1801.41</v>
      </c>
    </row>
    <row r="238">
      <c r="A238" t="n">
        <v>256709</v>
      </c>
      <c r="B238" t="n">
        <v>226</v>
      </c>
      <c r="C238" t="inlineStr">
        <is>
          <t>The Cavern - Kamino</t>
        </is>
      </c>
      <c r="D238" t="n">
        <v>176</v>
      </c>
      <c r="E238" t="inlineStr">
        <is>
          <t>The Cavern</t>
        </is>
      </c>
      <c r="F238" s="27" t="n">
        <v>46059</v>
      </c>
      <c r="G238" t="inlineStr">
        <is>
          <t>DEBITO</t>
        </is>
      </c>
      <c r="H238" t="inlineStr">
        <is>
          <t>Emily Renata Mendonca Vieira</t>
        </is>
      </c>
      <c r="I238" t="n">
        <v>-1270.71</v>
      </c>
    </row>
    <row r="239">
      <c r="A239" t="n">
        <v>256710</v>
      </c>
      <c r="B239" t="n">
        <v>226</v>
      </c>
      <c r="C239" t="inlineStr">
        <is>
          <t>The Cavern - Kamino</t>
        </is>
      </c>
      <c r="D239" t="n">
        <v>176</v>
      </c>
      <c r="E239" t="inlineStr">
        <is>
          <t>The Cavern</t>
        </is>
      </c>
      <c r="F239" s="27" t="n">
        <v>46059</v>
      </c>
      <c r="G239" t="inlineStr">
        <is>
          <t>DEBITO</t>
        </is>
      </c>
      <c r="H239" t="inlineStr">
        <is>
          <t>Justino Silvio do Nascimento</t>
        </is>
      </c>
      <c r="I239" t="n">
        <v>-318</v>
      </c>
    </row>
    <row r="240">
      <c r="A240" t="n">
        <v>256711</v>
      </c>
      <c r="B240" t="n">
        <v>226</v>
      </c>
      <c r="C240" t="inlineStr">
        <is>
          <t>The Cavern - Kamino</t>
        </is>
      </c>
      <c r="D240" t="n">
        <v>176</v>
      </c>
      <c r="E240" t="inlineStr">
        <is>
          <t>The Cavern</t>
        </is>
      </c>
      <c r="F240" s="27" t="n">
        <v>46059</v>
      </c>
      <c r="G240" t="inlineStr">
        <is>
          <t>DEBITO</t>
        </is>
      </c>
      <c r="H240" t="inlineStr">
        <is>
          <t>Vagner Brandao</t>
        </is>
      </c>
      <c r="I240" t="n">
        <v>-1528.84</v>
      </c>
    </row>
    <row r="241">
      <c r="A241" t="n">
        <v>256712</v>
      </c>
      <c r="B241" t="n">
        <v>226</v>
      </c>
      <c r="C241" t="inlineStr">
        <is>
          <t>The Cavern - Kamino</t>
        </is>
      </c>
      <c r="D241" t="n">
        <v>176</v>
      </c>
      <c r="E241" t="inlineStr">
        <is>
          <t>The Cavern</t>
        </is>
      </c>
      <c r="F241" s="27" t="n">
        <v>46059</v>
      </c>
      <c r="G241" t="inlineStr">
        <is>
          <t>CREDITO</t>
        </is>
      </c>
      <c r="H241" t="inlineStr">
        <is>
          <t>Pix Env Nao Processado</t>
        </is>
      </c>
      <c r="I241" t="n">
        <v>1528.84</v>
      </c>
    </row>
    <row r="242">
      <c r="A242" t="n">
        <v>256713</v>
      </c>
      <c r="B242" t="n">
        <v>226</v>
      </c>
      <c r="C242" t="inlineStr">
        <is>
          <t>The Cavern - Kamino</t>
        </is>
      </c>
      <c r="D242" t="n">
        <v>176</v>
      </c>
      <c r="E242" t="inlineStr">
        <is>
          <t>The Cavern</t>
        </is>
      </c>
      <c r="F242" s="27" t="n">
        <v>46059</v>
      </c>
      <c r="G242" t="inlineStr">
        <is>
          <t>DEBITO</t>
        </is>
      </c>
      <c r="H242" t="inlineStr">
        <is>
          <t>Cia do Whisky</t>
        </is>
      </c>
      <c r="I242" t="n">
        <v>-2661.11</v>
      </c>
    </row>
    <row r="243">
      <c r="A243" t="n">
        <v>256714</v>
      </c>
      <c r="B243" t="n">
        <v>226</v>
      </c>
      <c r="C243" t="inlineStr">
        <is>
          <t>The Cavern - Kamino</t>
        </is>
      </c>
      <c r="D243" t="n">
        <v>176</v>
      </c>
      <c r="E243" t="inlineStr">
        <is>
          <t>The Cavern</t>
        </is>
      </c>
      <c r="F243" s="27" t="n">
        <v>46059</v>
      </c>
      <c r="G243" t="inlineStr">
        <is>
          <t>DEBITO</t>
        </is>
      </c>
      <c r="H243" t="inlineStr">
        <is>
          <t>Harman do Brasil Industria Eletronica E</t>
        </is>
      </c>
      <c r="I243" t="n">
        <v>-12682.32</v>
      </c>
    </row>
    <row r="244">
      <c r="A244" t="n">
        <v>256715</v>
      </c>
      <c r="B244" t="n">
        <v>226</v>
      </c>
      <c r="C244" t="inlineStr">
        <is>
          <t>The Cavern - Kamino</t>
        </is>
      </c>
      <c r="D244" t="n">
        <v>176</v>
      </c>
      <c r="E244" t="inlineStr">
        <is>
          <t>The Cavern</t>
        </is>
      </c>
      <c r="F244" s="27" t="n">
        <v>46059</v>
      </c>
      <c r="G244" t="inlineStr">
        <is>
          <t>DEBITO</t>
        </is>
      </c>
      <c r="H244" t="inlineStr">
        <is>
          <t>Spal Ind Bras de Bebidas Sa</t>
        </is>
      </c>
      <c r="I244" t="n">
        <v>-852.41</v>
      </c>
    </row>
    <row r="245">
      <c r="A245" t="n">
        <v>256716</v>
      </c>
      <c r="B245" t="n">
        <v>226</v>
      </c>
      <c r="C245" t="inlineStr">
        <is>
          <t>The Cavern - Kamino</t>
        </is>
      </c>
      <c r="D245" t="n">
        <v>176</v>
      </c>
      <c r="E245" t="inlineStr">
        <is>
          <t>The Cavern</t>
        </is>
      </c>
      <c r="F245" s="27" t="n">
        <v>46059</v>
      </c>
      <c r="G245" t="inlineStr">
        <is>
          <t>DEBITO</t>
        </is>
      </c>
      <c r="H245" t="inlineStr">
        <is>
          <t>Vagner Brandao</t>
        </is>
      </c>
      <c r="I245" t="n">
        <v>-1528.84</v>
      </c>
    </row>
    <row r="246">
      <c r="A246" t="n">
        <v>256717</v>
      </c>
      <c r="B246" t="n">
        <v>226</v>
      </c>
      <c r="C246" t="inlineStr">
        <is>
          <t>The Cavern - Kamino</t>
        </is>
      </c>
      <c r="D246" t="n">
        <v>176</v>
      </c>
      <c r="E246" t="inlineStr">
        <is>
          <t>The Cavern</t>
        </is>
      </c>
      <c r="F246" s="27" t="n">
        <v>46059</v>
      </c>
      <c r="G246" t="inlineStr">
        <is>
          <t>DEBITO</t>
        </is>
      </c>
      <c r="H246" t="inlineStr">
        <is>
          <t>Zahil</t>
        </is>
      </c>
      <c r="I246" t="n">
        <v>-10970.67</v>
      </c>
    </row>
    <row r="247">
      <c r="A247" t="n">
        <v>256718</v>
      </c>
      <c r="B247" t="n">
        <v>226</v>
      </c>
      <c r="C247" t="inlineStr">
        <is>
          <t>The Cavern - Kamino</t>
        </is>
      </c>
      <c r="D247" t="n">
        <v>176</v>
      </c>
      <c r="E247" t="inlineStr">
        <is>
          <t>The Cavern</t>
        </is>
      </c>
      <c r="F247" s="27" t="n">
        <v>46059</v>
      </c>
      <c r="G247" t="inlineStr">
        <is>
          <t>DEBITO</t>
        </is>
      </c>
      <c r="H247" t="inlineStr">
        <is>
          <t>Potencial Servicos Tecnicos</t>
        </is>
      </c>
      <c r="I247" t="n">
        <v>-9500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Mutuo_ID</t>
        </is>
      </c>
      <c r="B1" t="inlineStr">
        <is>
          <t>Data_Mutuo</t>
        </is>
      </c>
      <c r="C1" t="inlineStr">
        <is>
          <t>ID_Casa_Saida</t>
        </is>
      </c>
      <c r="D1" t="inlineStr">
        <is>
          <t>Casa_Saida</t>
        </is>
      </c>
      <c r="E1" t="inlineStr">
        <is>
          <t>ID_Conta_Saida</t>
        </is>
      </c>
      <c r="F1" t="inlineStr">
        <is>
          <t>Conta_Saida</t>
        </is>
      </c>
      <c r="G1" t="inlineStr">
        <is>
          <t>ID_Casa_Entrada</t>
        </is>
      </c>
      <c r="H1" t="inlineStr">
        <is>
          <t>Casa_Entrada</t>
        </is>
      </c>
      <c r="I1" t="inlineStr">
        <is>
          <t>ID_Conta_Entrada</t>
        </is>
      </c>
      <c r="J1" t="inlineStr">
        <is>
          <t>Conta_Entrada</t>
        </is>
      </c>
      <c r="K1" t="inlineStr">
        <is>
          <t>Tag_Faturam_Zig</t>
        </is>
      </c>
      <c r="L1" t="inlineStr">
        <is>
          <t>Observacoes</t>
        </is>
      </c>
      <c r="M1" t="inlineStr">
        <is>
          <t>Valor_Entrada</t>
        </is>
      </c>
      <c r="N1" t="inlineStr">
        <is>
          <t>Valor_Saida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ID_Transacao_Tesouraria</t>
        </is>
      </c>
      <c r="B1" t="inlineStr">
        <is>
          <t>ID_Casa</t>
        </is>
      </c>
      <c r="C1" t="inlineStr">
        <is>
          <t>Casa</t>
        </is>
      </c>
      <c r="D1" t="inlineStr">
        <is>
          <t>ID_Empresa_Tesouraria</t>
        </is>
      </c>
      <c r="E1" t="inlineStr">
        <is>
          <t>Empresa_Tesouraria</t>
        </is>
      </c>
      <c r="F1" t="inlineStr">
        <is>
          <t>Data_Transacao</t>
        </is>
      </c>
      <c r="G1" t="inlineStr">
        <is>
          <t>Valor</t>
        </is>
      </c>
      <c r="H1" t="inlineStr">
        <is>
          <t>Descricao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ID_Casa</t>
        </is>
      </c>
      <c r="B1" t="inlineStr">
        <is>
          <t>Casa</t>
        </is>
      </c>
      <c r="C1" t="inlineStr">
        <is>
          <t>Data_Ajuste</t>
        </is>
      </c>
      <c r="D1" t="inlineStr">
        <is>
          <t>Valor</t>
        </is>
      </c>
      <c r="E1" t="inlineStr">
        <is>
          <t>Categoria</t>
        </is>
      </c>
      <c r="F1" t="inlineStr">
        <is>
          <t>Descrição</t>
        </is>
      </c>
    </row>
    <row r="2">
      <c r="A2" t="n">
        <v>176</v>
      </c>
      <c r="B2" t="inlineStr">
        <is>
          <t>The Cavern</t>
        </is>
      </c>
      <c r="C2" s="27" t="n">
        <v>46081</v>
      </c>
      <c r="D2" t="n">
        <v>-3769.3</v>
      </c>
      <c r="E2" t="inlineStr">
        <is>
          <t>RESG/VENCTO CDB</t>
        </is>
      </c>
      <c r="F2" t="inlineStr">
        <is>
          <t>SAQUE ZIG QUE ENTROU NO ITAU</t>
        </is>
      </c>
    </row>
    <row r="3">
      <c r="A3" t="n">
        <v>176</v>
      </c>
      <c r="B3" t="inlineStr">
        <is>
          <t>The Cavern</t>
        </is>
      </c>
      <c r="C3" s="27" t="n">
        <v>46080</v>
      </c>
      <c r="D3" t="n">
        <v>4600</v>
      </c>
      <c r="E3" t="inlineStr">
        <is>
          <t>RESG/VENCTO CDB</t>
        </is>
      </c>
      <c r="F3" t="inlineStr">
        <is>
          <t>DESPESAS PAGA PELO ROMULO NO ITAU ID 12.109 - 12.110 PARCELADO</t>
        </is>
      </c>
    </row>
    <row r="4">
      <c r="A4" t="n">
        <v>176</v>
      </c>
      <c r="B4" t="inlineStr">
        <is>
          <t>The Cavern</t>
        </is>
      </c>
      <c r="C4" s="27" t="n">
        <v>46079</v>
      </c>
      <c r="D4" t="n">
        <v>-2335.41</v>
      </c>
      <c r="E4" t="inlineStr">
        <is>
          <t>RESG/VENCTO CDB</t>
        </is>
      </c>
      <c r="F4" t="inlineStr">
        <is>
          <t>SAQUE ZIG QUE ENTROU NO ITAU</t>
        </is>
      </c>
    </row>
    <row r="5">
      <c r="A5" t="n">
        <v>176</v>
      </c>
      <c r="B5" t="inlineStr">
        <is>
          <t>The Cavern</t>
        </is>
      </c>
      <c r="C5" s="27" t="n">
        <v>46076</v>
      </c>
      <c r="D5" t="n">
        <v>-292.61</v>
      </c>
      <c r="E5" t="inlineStr">
        <is>
          <t>RESG/VENCTO CDB</t>
        </is>
      </c>
      <c r="F5" t="inlineStr">
        <is>
          <t>SAQUE ZIG QUE ENTROU NO ITAU</t>
        </is>
      </c>
    </row>
    <row r="6">
      <c r="A6" t="n">
        <v>176</v>
      </c>
      <c r="B6" t="inlineStr">
        <is>
          <t>The Cavern</t>
        </is>
      </c>
      <c r="C6" s="27" t="n">
        <v>46075</v>
      </c>
      <c r="D6" t="n">
        <v>-3110.6</v>
      </c>
      <c r="E6" t="inlineStr">
        <is>
          <t>RESG/VENCTO CDB</t>
        </is>
      </c>
      <c r="F6" t="inlineStr">
        <is>
          <t>SAQUE ZIG QUE ENTROU NO ITAU</t>
        </is>
      </c>
    </row>
    <row r="7">
      <c r="A7" t="n">
        <v>176</v>
      </c>
      <c r="B7" t="inlineStr">
        <is>
          <t>The Cavern</t>
        </is>
      </c>
      <c r="C7" s="27" t="n">
        <v>46074</v>
      </c>
      <c r="D7" t="n">
        <v>-3653.93</v>
      </c>
      <c r="E7" t="inlineStr">
        <is>
          <t>RESG/VENCTO CDB</t>
        </is>
      </c>
      <c r="F7" t="inlineStr">
        <is>
          <t>SAQUE ZIG QUE ENTROU NO ITAU</t>
        </is>
      </c>
    </row>
    <row r="8">
      <c r="A8" t="n">
        <v>176</v>
      </c>
      <c r="B8" t="inlineStr">
        <is>
          <t>The Cavern</t>
        </is>
      </c>
      <c r="C8" s="27" t="n">
        <v>46073</v>
      </c>
      <c r="D8" t="n">
        <v>-108.57</v>
      </c>
      <c r="E8" t="inlineStr">
        <is>
          <t>RESG/VENCTO CDB</t>
        </is>
      </c>
      <c r="F8" t="inlineStr">
        <is>
          <t>SAQUE ZIG QUE ENTROU NO ITAU</t>
        </is>
      </c>
    </row>
    <row r="9">
      <c r="A9" t="n">
        <v>176</v>
      </c>
      <c r="B9" t="inlineStr">
        <is>
          <t>The Cavern</t>
        </is>
      </c>
      <c r="C9" s="27" t="n">
        <v>46072</v>
      </c>
      <c r="D9" t="n">
        <v>-152.87</v>
      </c>
      <c r="E9" t="inlineStr">
        <is>
          <t>RESG/VENCTO CDB</t>
        </is>
      </c>
      <c r="F9" t="inlineStr">
        <is>
          <t>SAQUE ZIG QUE ENTROU NO ITAU</t>
        </is>
      </c>
    </row>
    <row r="10">
      <c r="A10" t="n">
        <v>176</v>
      </c>
      <c r="B10" t="inlineStr">
        <is>
          <t>The Cavern</t>
        </is>
      </c>
      <c r="C10" s="27" t="n">
        <v>46071</v>
      </c>
      <c r="D10" t="n">
        <v>-817.22</v>
      </c>
      <c r="E10" t="inlineStr">
        <is>
          <t>RESG/VENCTO CDB</t>
        </is>
      </c>
      <c r="F10" t="inlineStr">
        <is>
          <t>SAQUE ZIG QUE ENTROU NO ITAU</t>
        </is>
      </c>
    </row>
    <row r="11">
      <c r="A11" t="n">
        <v>176</v>
      </c>
      <c r="B11" t="inlineStr">
        <is>
          <t>The Cavern</t>
        </is>
      </c>
      <c r="C11" s="27" t="n">
        <v>46070</v>
      </c>
      <c r="D11" t="n">
        <v>-448.48</v>
      </c>
      <c r="E11" t="inlineStr">
        <is>
          <t>RESG/VENCTO CDB</t>
        </is>
      </c>
      <c r="F11" t="inlineStr">
        <is>
          <t>SAQUE ZIG QUE ENTROU NO ITAU</t>
        </is>
      </c>
    </row>
    <row r="12">
      <c r="A12" t="n">
        <v>176</v>
      </c>
      <c r="B12" t="inlineStr">
        <is>
          <t>The Cavern</t>
        </is>
      </c>
      <c r="C12" s="27" t="n">
        <v>46069</v>
      </c>
      <c r="D12" t="n">
        <v>-9619.6</v>
      </c>
      <c r="E12" t="inlineStr">
        <is>
          <t>RESG/VENCTO CDB</t>
        </is>
      </c>
      <c r="F12" t="inlineStr">
        <is>
          <t>SAQUE ZIG QUE ENTROU NO ITAU</t>
        </is>
      </c>
    </row>
    <row r="13">
      <c r="A13" t="n">
        <v>176</v>
      </c>
      <c r="B13" t="inlineStr">
        <is>
          <t>The Cavern</t>
        </is>
      </c>
      <c r="C13" s="27" t="n">
        <v>46068</v>
      </c>
      <c r="D13" t="n">
        <v>-6094.92</v>
      </c>
      <c r="E13" t="inlineStr">
        <is>
          <t>RESG/VENCTO CDB</t>
        </is>
      </c>
      <c r="F13" t="inlineStr">
        <is>
          <t>SAQUE ZIG QUE ENTROU NO ITAU</t>
        </is>
      </c>
    </row>
    <row r="14">
      <c r="A14" t="n">
        <v>176</v>
      </c>
      <c r="B14" t="inlineStr">
        <is>
          <t>The Cavern</t>
        </is>
      </c>
      <c r="C14" s="27" t="n">
        <v>46067</v>
      </c>
      <c r="D14" t="n">
        <v>-707.03</v>
      </c>
      <c r="E14" t="inlineStr">
        <is>
          <t>RESG/VENCTO CDB</t>
        </is>
      </c>
      <c r="F14" t="inlineStr">
        <is>
          <t>SAQUE ZIG QUE ENTROU NO ITAU</t>
        </is>
      </c>
    </row>
    <row r="15">
      <c r="A15" t="n">
        <v>176</v>
      </c>
      <c r="B15" t="inlineStr">
        <is>
          <t>The Cavern</t>
        </is>
      </c>
      <c r="C15" s="27" t="n">
        <v>46066</v>
      </c>
      <c r="D15" t="n">
        <v>945</v>
      </c>
      <c r="E15" t="inlineStr">
        <is>
          <t>Tesouraria - Despesa paga em dinheiro</t>
        </is>
      </c>
      <c r="F15" t="inlineStr">
        <is>
          <t>ID PAGO DIRETAMENTE PELA JANAINA NÃO TEMOS O EXTRATO ID 207345</t>
        </is>
      </c>
    </row>
    <row r="16">
      <c r="A16" t="n">
        <v>176</v>
      </c>
      <c r="B16" t="inlineStr">
        <is>
          <t>The Cavern</t>
        </is>
      </c>
      <c r="C16" s="27" t="n">
        <v>46064</v>
      </c>
      <c r="D16" t="n">
        <v>-1633.32</v>
      </c>
      <c r="E16" t="inlineStr">
        <is>
          <t>RESG/VENCTO CDB</t>
        </is>
      </c>
      <c r="F16" t="inlineStr">
        <is>
          <t>SAQUE ZIG QUE ENTROU NO ITAU</t>
        </is>
      </c>
    </row>
    <row r="17">
      <c r="A17" t="n">
        <v>176</v>
      </c>
      <c r="B17" t="inlineStr">
        <is>
          <t>The Cavern</t>
        </is>
      </c>
      <c r="C17" s="27" t="n">
        <v>46063</v>
      </c>
      <c r="D17" t="n">
        <v>-266.9</v>
      </c>
      <c r="E17" t="inlineStr">
        <is>
          <t>RESG/VENCTO CDB</t>
        </is>
      </c>
      <c r="F17" t="inlineStr">
        <is>
          <t>SAQUE ZIG QUE ENTROU NO ITAU</t>
        </is>
      </c>
    </row>
    <row r="18">
      <c r="A18" t="n">
        <v>176</v>
      </c>
      <c r="B18" t="inlineStr">
        <is>
          <t>The Cavern</t>
        </is>
      </c>
      <c r="C18" s="27" t="n">
        <v>46062</v>
      </c>
      <c r="D18" t="n">
        <v>-4671.96</v>
      </c>
      <c r="E18" t="inlineStr">
        <is>
          <t>RESG/VENCTO CDB</t>
        </is>
      </c>
      <c r="F18" t="inlineStr">
        <is>
          <t>SAQUE ZIG QUE ENTROU NO ITAU</t>
        </is>
      </c>
    </row>
    <row r="19">
      <c r="A19" t="n">
        <v>176</v>
      </c>
      <c r="B19" t="inlineStr">
        <is>
          <t>The Cavern</t>
        </is>
      </c>
      <c r="C19" s="27" t="n">
        <v>46061</v>
      </c>
      <c r="D19" t="n">
        <v>-21803.14</v>
      </c>
      <c r="E19" t="inlineStr">
        <is>
          <t>RESG/VENCTO CDB</t>
        </is>
      </c>
      <c r="F19" t="inlineStr">
        <is>
          <t>-21.803,14</t>
        </is>
      </c>
    </row>
    <row r="20">
      <c r="A20" t="n">
        <v>176</v>
      </c>
      <c r="B20" t="inlineStr">
        <is>
          <t>The Cavern</t>
        </is>
      </c>
      <c r="C20" s="27" t="n">
        <v>46060</v>
      </c>
      <c r="D20" t="n">
        <v>-8599.879999999999</v>
      </c>
      <c r="E20" t="inlineStr">
        <is>
          <t>RESG/VENCTO CDB</t>
        </is>
      </c>
      <c r="F20" t="inlineStr">
        <is>
          <t>SAQUE ZIG QUE ENTROU NO ITAU</t>
        </is>
      </c>
    </row>
    <row r="21">
      <c r="A21" t="n">
        <v>176</v>
      </c>
      <c r="B21" t="inlineStr">
        <is>
          <t>The Cavern</t>
        </is>
      </c>
      <c r="C21" s="27" t="n">
        <v>46060</v>
      </c>
      <c r="D21" t="n">
        <v>-2191.11</v>
      </c>
      <c r="E21" t="inlineStr">
        <is>
          <t>RESG/VENCTO CDB</t>
        </is>
      </c>
      <c r="F21" t="inlineStr">
        <is>
          <t>SAQUE ZIG QUE ENTROU NO ITAU</t>
        </is>
      </c>
    </row>
    <row r="22">
      <c r="A22" t="n">
        <v>176</v>
      </c>
      <c r="B22" t="inlineStr">
        <is>
          <t>The Cavern</t>
        </is>
      </c>
      <c r="C22" s="27" t="n">
        <v>46059</v>
      </c>
      <c r="D22" t="n">
        <v>-3728.5</v>
      </c>
      <c r="E22" t="inlineStr">
        <is>
          <t>RESG/VENCTO CDB</t>
        </is>
      </c>
      <c r="F22" t="inlineStr">
        <is>
          <t>SAQUE ZIG QUE ENTROU NO ITAU</t>
        </is>
      </c>
    </row>
    <row r="23">
      <c r="A23" t="n">
        <v>176</v>
      </c>
      <c r="B23" t="inlineStr">
        <is>
          <t>The Cavern</t>
        </is>
      </c>
      <c r="C23" s="27" t="n">
        <v>46058</v>
      </c>
      <c r="D23" t="n">
        <v>-2885.86</v>
      </c>
      <c r="E23" t="inlineStr">
        <is>
          <t>RESG/VENCTO CDB</t>
        </is>
      </c>
      <c r="F23" t="inlineStr">
        <is>
          <t>SAQUE ZIG QUE ENTROU NO ITAU</t>
        </is>
      </c>
    </row>
    <row r="24">
      <c r="A24" t="n">
        <v>176</v>
      </c>
      <c r="B24" t="inlineStr">
        <is>
          <t>The Cavern</t>
        </is>
      </c>
      <c r="C24" s="27" t="n">
        <v>46057</v>
      </c>
      <c r="D24" t="n">
        <v>-1482.77</v>
      </c>
      <c r="E24" t="inlineStr">
        <is>
          <t>RESG/VENCTO CDB</t>
        </is>
      </c>
      <c r="F24" t="inlineStr">
        <is>
          <t>SAQUE ZIG QUE ENTROU NO ITAU</t>
        </is>
      </c>
    </row>
    <row r="25">
      <c r="A25" t="n">
        <v>176</v>
      </c>
      <c r="B25" t="inlineStr">
        <is>
          <t>The Cavern</t>
        </is>
      </c>
      <c r="C25" s="27" t="n">
        <v>46055</v>
      </c>
      <c r="D25" t="n">
        <v>-616.3200000000001</v>
      </c>
      <c r="E25" t="inlineStr">
        <is>
          <t>Tesouraria - Depósito em conta</t>
        </is>
      </c>
      <c r="F25" t="inlineStr">
        <is>
          <t>SAQUE ZIG QUE ENTROU NO ITAU</t>
        </is>
      </c>
    </row>
    <row r="26">
      <c r="A26" t="n">
        <v>176</v>
      </c>
      <c r="B26" t="inlineStr">
        <is>
          <t>The Cavern</t>
        </is>
      </c>
      <c r="C26" s="27" t="n">
        <v>46054</v>
      </c>
      <c r="D26" t="n">
        <v>-14591.9</v>
      </c>
      <c r="E26" t="inlineStr">
        <is>
          <t>RESG/VENCTO CDB</t>
        </is>
      </c>
      <c r="F26" t="inlineStr">
        <is>
          <t>SAQUE ZIG QUE ENTROU NO ITAU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ID_Bloqueio</t>
        </is>
      </c>
      <c r="B1" t="inlineStr">
        <is>
          <t>ID_Casa</t>
        </is>
      </c>
      <c r="C1" t="inlineStr">
        <is>
          <t>Casa</t>
        </is>
      </c>
      <c r="D1" t="inlineStr">
        <is>
          <t>Data_Transacao</t>
        </is>
      </c>
      <c r="E1" t="inlineStr">
        <is>
          <t>ID_Conta_Bancaria</t>
        </is>
      </c>
      <c r="F1" t="inlineStr">
        <is>
          <t>Nome da Conta</t>
        </is>
      </c>
      <c r="G1" t="inlineStr">
        <is>
          <t>Valor</t>
        </is>
      </c>
      <c r="H1" t="inlineStr">
        <is>
          <t>Observacao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Gomes da Cunha</dc:creator>
  <dcterms:created xsi:type="dcterms:W3CDTF">2023-11-14T17:21:36Z</dcterms:created>
  <dcterms:modified xsi:type="dcterms:W3CDTF">2026-03-19T20:31:23Z</dcterms:modified>
  <cp:lastModifiedBy>Catarina Scabelli</cp:lastModifiedBy>
</cp:coreProperties>
</file>